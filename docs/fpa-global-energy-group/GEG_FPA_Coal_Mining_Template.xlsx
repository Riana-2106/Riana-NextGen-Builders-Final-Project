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2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3.xml" ContentType="application/vnd.openxmlformats-officedocument.drawing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4.xml" ContentType="application/vnd.openxmlformats-officedocument.drawing+xml"/>
  <Override PartName="/xl/worksheets/sheet3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1 Asumsi Contoh" sheetId="2" state="visible" r:id="rId2"/>
    <sheet xmlns:r="http://schemas.openxmlformats.org/officeDocument/2006/relationships" name="A2 Laba Rugi Contoh" sheetId="3" state="visible" r:id="rId3"/>
    <sheet xmlns:r="http://schemas.openxmlformats.org/officeDocument/2006/relationships" name="A3 Neraca Contoh" sheetId="4" state="visible" r:id="rId4"/>
    <sheet xmlns:r="http://schemas.openxmlformats.org/officeDocument/2006/relationships" name="A4 Arus Kas Contoh" sheetId="5" state="visible" r:id="rId5"/>
    <sheet xmlns:r="http://schemas.openxmlformats.org/officeDocument/2006/relationships" name="B1 Struktur Rev-Cost" sheetId="6" state="visible" r:id="rId6"/>
    <sheet xmlns:r="http://schemas.openxmlformats.org/officeDocument/2006/relationships" name="B2 COP dan KPI" sheetId="7" state="visible" r:id="rId7"/>
    <sheet xmlns:r="http://schemas.openxmlformats.org/officeDocument/2006/relationships" name="B3 KPI Cost vs Revenue" sheetId="8" state="visible" r:id="rId8"/>
    <sheet xmlns:r="http://schemas.openxmlformats.org/officeDocument/2006/relationships" name="B4 Efisiensi Biaya" sheetId="9" state="visible" r:id="rId9"/>
    <sheet xmlns:r="http://schemas.openxmlformats.org/officeDocument/2006/relationships" name="B5 Benchmark Emiten" sheetId="10" state="visible" r:id="rId10"/>
    <sheet xmlns:r="http://schemas.openxmlformats.org/officeDocument/2006/relationships" name="C0 GEG Petunjuk" sheetId="11" state="visible" r:id="rId11"/>
    <sheet xmlns:r="http://schemas.openxmlformats.org/officeDocument/2006/relationships" name="C1 GEG Setting" sheetId="12" state="visible" r:id="rId12"/>
    <sheet xmlns:r="http://schemas.openxmlformats.org/officeDocument/2006/relationships" name="C2 GEG Ops Budget" sheetId="13" state="visible" r:id="rId13"/>
    <sheet xmlns:r="http://schemas.openxmlformats.org/officeDocument/2006/relationships" name="C3 GEG Ops Aktual" sheetId="14" state="visible" r:id="rId14"/>
    <sheet xmlns:r="http://schemas.openxmlformats.org/officeDocument/2006/relationships" name="C4 GEG LR Budget" sheetId="15" state="visible" r:id="rId15"/>
    <sheet xmlns:r="http://schemas.openxmlformats.org/officeDocument/2006/relationships" name="C5 GEG LR Aktual" sheetId="16" state="visible" r:id="rId16"/>
    <sheet xmlns:r="http://schemas.openxmlformats.org/officeDocument/2006/relationships" name="C6 GEG Neraca Aktual" sheetId="17" state="visible" r:id="rId17"/>
    <sheet xmlns:r="http://schemas.openxmlformats.org/officeDocument/2006/relationships" name="C7 GEG Arus Kas" sheetId="18" state="visible" r:id="rId18"/>
    <sheet xmlns:r="http://schemas.openxmlformats.org/officeDocument/2006/relationships" name="C8 GEG Lap LR" sheetId="19" state="visible" r:id="rId19"/>
    <sheet xmlns:r="http://schemas.openxmlformats.org/officeDocument/2006/relationships" name="C9 GEG Lap Ops" sheetId="20" state="visible" r:id="rId20"/>
    <sheet xmlns:r="http://schemas.openxmlformats.org/officeDocument/2006/relationships" name="C10 GEG COP" sheetId="21" state="visible" r:id="rId21"/>
    <sheet xmlns:r="http://schemas.openxmlformats.org/officeDocument/2006/relationships" name="C11 GEG KPI Scorecard" sheetId="22" state="visible" r:id="rId22"/>
    <sheet xmlns:r="http://schemas.openxmlformats.org/officeDocument/2006/relationships" name="C12 GEG Dashboard" sheetId="23" state="visible" r:id="rId23"/>
    <sheet xmlns:r="http://schemas.openxmlformats.org/officeDocument/2006/relationships" name="C13 GEG Financial Highlight" sheetId="24" state="visible" r:id="rId24"/>
    <sheet xmlns:r="http://schemas.openxmlformats.org/officeDocument/2006/relationships" name="C14 GEG Analisa Biaya" sheetId="25" state="visible" r:id="rId25"/>
    <sheet xmlns:r="http://schemas.openxmlformats.org/officeDocument/2006/relationships" name="C15 GEG Tren Volume" sheetId="26" state="visible" r:id="rId26"/>
    <sheet xmlns:r="http://schemas.openxmlformats.org/officeDocument/2006/relationships" name="C16 GEG Pit dan Pembeli" sheetId="27" state="visible" r:id="rId27"/>
    <sheet xmlns:r="http://schemas.openxmlformats.org/officeDocument/2006/relationships" name="C17 GEG Arus Kas Langsung" sheetId="28" state="visible" r:id="rId28"/>
    <sheet xmlns:r="http://schemas.openxmlformats.org/officeDocument/2006/relationships" name="C18 GEG Cost per BCM dan MT" sheetId="29" state="visible" r:id="rId29"/>
    <sheet xmlns:r="http://schemas.openxmlformats.org/officeDocument/2006/relationships" name="C19 GEG GL Trial Balance" sheetId="30" state="visible" r:id="rId30"/>
    <sheet xmlns:r="http://schemas.openxmlformats.org/officeDocument/2006/relationships" name="C20 GEG Covenant Bank" sheetId="31" state="visible" r:id="rId31"/>
    <sheet xmlns:r="http://schemas.openxmlformats.org/officeDocument/2006/relationships" name="C21 GEG Bridge EBITDA" sheetId="32" state="visible" r:id="rId32"/>
    <sheet xmlns:r="http://schemas.openxmlformats.org/officeDocument/2006/relationships" name="C22 GEG Kontrol Data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#,##0.00;(#,##0.00);&quot;-&quot;"/>
    <numFmt numFmtId="166" formatCode="0.0%;(0.0%);&quot;-&quot;"/>
    <numFmt numFmtId="167" formatCode="#,##0.000;(#,##0.000);&quot;-&quot;"/>
    <numFmt numFmtId="168" formatCode="0.00%;(0.00%);&quot;-&quot;"/>
    <numFmt numFmtId="169" formatCode="0.00&quot;x&quot;;(0.00&quot;x&quot;);&quot;-&quot;"/>
    <numFmt numFmtId="170" formatCode="#,##0.0;(#,##0.0);&quot;-&quot;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i val="1"/>
      <color rgb="00000000"/>
      <sz val="10"/>
    </font>
    <font>
      <name val="Arial"/>
      <b val="1"/>
      <color rgb="00008000"/>
      <sz val="10"/>
    </font>
    <font>
      <name val="Arial"/>
      <i val="1"/>
      <color rgb="00000000"/>
      <sz val="10"/>
    </font>
    <font>
      <name val="Arial"/>
      <color rgb="00595959"/>
      <sz val="10"/>
    </font>
    <font>
      <name val="Arial"/>
      <color rgb="00404040"/>
      <sz val="10"/>
    </font>
    <font>
      <name val="Arial"/>
      <color rgb="00808080"/>
      <sz val="10"/>
    </font>
    <font>
      <name val="Arial"/>
      <i val="1"/>
      <color rgb="00404040"/>
      <sz val="10"/>
    </font>
    <font>
      <name val="Arial"/>
      <i val="1"/>
      <color rgb="00C00000"/>
      <sz val="10"/>
    </font>
    <font>
      <name val="Arial"/>
      <b val="1"/>
      <color rgb="0052514E"/>
      <sz val="9"/>
    </font>
    <font>
      <name val="Arial"/>
      <b val="1"/>
      <color rgb="000B0B0B"/>
      <sz val="18"/>
    </font>
    <font>
      <name val="Arial"/>
      <color rgb="0052514E"/>
      <sz val="10"/>
    </font>
    <font>
      <name val="Arial"/>
      <b val="1"/>
      <color rgb="000B0B0B"/>
      <sz val="10"/>
    </font>
    <font>
      <name val="Arial"/>
      <color rgb="0052514E"/>
      <sz val="9"/>
    </font>
    <font>
      <name val="Arial"/>
      <b val="1"/>
      <color rgb="001F3864"/>
      <sz val="10"/>
    </font>
    <font>
      <name val="Arial"/>
      <i val="1"/>
      <color rgb="00008000"/>
      <sz val="10"/>
    </font>
    <font>
      <name val="Arial"/>
      <color rgb="00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FFF00"/>
      </patternFill>
    </fill>
    <fill>
      <patternFill patternType="solid">
        <fgColor rgb="00F4F3EF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12" fillId="0" borderId="0" pivotButton="0" quotePrefix="0" xfId="0"/>
    <xf numFmtId="0" fontId="6" fillId="5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164" fontId="6" fillId="5" borderId="0" pivotButton="0" quotePrefix="0" xfId="0"/>
    <xf numFmtId="165" fontId="6" fillId="5" borderId="0" pivotButton="0" quotePrefix="0" xfId="0"/>
    <xf numFmtId="164" fontId="5" fillId="0" borderId="0" pivotButton="0" quotePrefix="0" xfId="0"/>
    <xf numFmtId="0" fontId="4" fillId="0" borderId="1" pivotButton="0" quotePrefix="0" xfId="0"/>
    <xf numFmtId="0" fontId="2" fillId="0" borderId="1" pivotButton="0" quotePrefix="0" xfId="0"/>
    <xf numFmtId="164" fontId="4" fillId="0" borderId="1" pivotButton="0" quotePrefix="0" xfId="0"/>
    <xf numFmtId="0" fontId="0" fillId="0" borderId="1" pivotButton="0" quotePrefix="0" xfId="0"/>
    <xf numFmtId="166" fontId="5" fillId="0" borderId="0" pivotButton="0" quotePrefix="0" xfId="0"/>
    <xf numFmtId="166" fontId="6" fillId="5" borderId="0" pivotButton="0" quotePrefix="0" xfId="0"/>
    <xf numFmtId="167" fontId="6" fillId="5" borderId="0" pivotButton="0" quotePrefix="0" xfId="0"/>
    <xf numFmtId="168" fontId="6" fillId="5" borderId="0" pivotButton="0" quotePrefix="0" xfId="0"/>
    <xf numFmtId="164" fontId="7" fillId="0" borderId="0" pivotButton="0" quotePrefix="0" xfId="0"/>
    <xf numFmtId="166" fontId="10" fillId="0" borderId="0" pivotButton="0" quotePrefix="0" xfId="0"/>
    <xf numFmtId="166" fontId="10" fillId="0" borderId="1" pivotButton="0" quotePrefix="0" xfId="0"/>
    <xf numFmtId="0" fontId="4" fillId="6" borderId="1" pivotButton="0" quotePrefix="0" xfId="0"/>
    <xf numFmtId="0" fontId="0" fillId="6" borderId="1" pivotButton="0" quotePrefix="0" xfId="0"/>
    <xf numFmtId="164" fontId="4" fillId="6" borderId="1" pivotButton="0" quotePrefix="0" xfId="0"/>
    <xf numFmtId="166" fontId="10" fillId="6" borderId="1" pivotButton="0" quotePrefix="0" xfId="0"/>
    <xf numFmtId="0" fontId="8" fillId="0" borderId="0" pivotButton="0" quotePrefix="0" xfId="0"/>
    <xf numFmtId="164" fontId="9" fillId="0" borderId="1" pivotButton="0" quotePrefix="0" xfId="0"/>
    <xf numFmtId="0" fontId="10" fillId="0" borderId="0" pivotButton="0" quotePrefix="0" xfId="0"/>
    <xf numFmtId="164" fontId="10" fillId="0" borderId="0" pivotButton="0" quotePrefix="0" xfId="0"/>
    <xf numFmtId="165" fontId="7" fillId="0" borderId="0" pivotButton="0" quotePrefix="0" xfId="0"/>
    <xf numFmtId="165" fontId="9" fillId="6" borderId="1" pivotButton="0" quotePrefix="0" xfId="0"/>
    <xf numFmtId="166" fontId="4" fillId="6" borderId="1" pivotButton="0" quotePrefix="0" xfId="0"/>
    <xf numFmtId="166" fontId="7" fillId="0" borderId="0" pivotButton="0" quotePrefix="0" xfId="0"/>
    <xf numFmtId="165" fontId="4" fillId="6" borderId="1" pivotButton="0" quotePrefix="0" xfId="0"/>
    <xf numFmtId="166" fontId="6" fillId="7" borderId="0" pivotButton="0" quotePrefix="0" xfId="0"/>
    <xf numFmtId="0" fontId="11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0" fontId="4" fillId="6" borderId="0" pivotButton="0" quotePrefix="0" xfId="0"/>
    <xf numFmtId="0" fontId="2" fillId="6" borderId="0" pivotButton="0" quotePrefix="0" xfId="0"/>
    <xf numFmtId="164" fontId="9" fillId="6" borderId="0" pivotButton="0" quotePrefix="0" xfId="0"/>
    <xf numFmtId="164" fontId="7" fillId="6" borderId="0" pivotButton="0" quotePrefix="0" xfId="0"/>
    <xf numFmtId="165" fontId="9" fillId="6" borderId="0" pivotButton="0" quotePrefix="0" xfId="0"/>
    <xf numFmtId="165" fontId="5" fillId="6" borderId="0" pivotButton="0" quotePrefix="0" xfId="0"/>
    <xf numFmtId="166" fontId="5" fillId="6" borderId="0" pivotButton="0" quotePrefix="0" xfId="0"/>
    <xf numFmtId="0" fontId="5" fillId="6" borderId="0" applyAlignment="1" pivotButton="0" quotePrefix="0" xfId="0">
      <alignment horizontal="center"/>
    </xf>
    <xf numFmtId="167" fontId="7" fillId="0" borderId="0" pivotButton="0" quotePrefix="0" xfId="0"/>
    <xf numFmtId="167" fontId="5" fillId="0" borderId="0" pivotButton="0" quotePrefix="0" xfId="0"/>
    <xf numFmtId="164" fontId="4" fillId="6" borderId="0" pivotButton="0" quotePrefix="0" xfId="0"/>
    <xf numFmtId="164" fontId="7" fillId="0" borderId="0" applyAlignment="1" pivotButton="0" quotePrefix="0" xfId="0">
      <alignment horizontal="center"/>
    </xf>
    <xf numFmtId="165" fontId="4" fillId="0" borderId="0" pivotButton="0" quotePrefix="0" xfId="0"/>
    <xf numFmtId="164" fontId="5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66" fontId="5" fillId="5" borderId="0" pivotButton="0" quotePrefix="0" xfId="0"/>
    <xf numFmtId="169" fontId="7" fillId="0" borderId="0" pivotButton="0" quotePrefix="0" xfId="0"/>
    <xf numFmtId="169" fontId="6" fillId="5" borderId="0" pivotButton="0" quotePrefix="0" xfId="0"/>
    <xf numFmtId="166" fontId="4" fillId="0" borderId="0" pivotButton="0" quotePrefix="0" xfId="0"/>
    <xf numFmtId="0" fontId="14" fillId="0" borderId="0" pivotButton="0" quotePrefix="0" xfId="0"/>
    <xf numFmtId="168" fontId="5" fillId="0" borderId="0" pivotButton="0" quotePrefix="0" xfId="0"/>
    <xf numFmtId="0" fontId="4" fillId="6" borderId="1" applyAlignment="1" pivotButton="0" quotePrefix="0" xfId="0">
      <alignment horizontal="center"/>
    </xf>
    <xf numFmtId="164" fontId="9" fillId="0" borderId="0" pivotButton="0" quotePrefix="0" xfId="0"/>
    <xf numFmtId="164" fontId="4" fillId="0" borderId="0" pivotButton="0" quotePrefix="0" xfId="0"/>
    <xf numFmtId="0" fontId="0" fillId="6" borderId="0" pivotButton="0" quotePrefix="0" xfId="0"/>
    <xf numFmtId="165" fontId="4" fillId="6" borderId="0" pivotButton="0" quotePrefix="0" xfId="0"/>
    <xf numFmtId="166" fontId="4" fillId="6" borderId="0" pivotButton="0" quotePrefix="0" xfId="0"/>
    <xf numFmtId="0" fontId="15" fillId="0" borderId="0" pivotButton="0" quotePrefix="0" xfId="0"/>
    <xf numFmtId="0" fontId="5" fillId="5" borderId="0" pivotButton="0" quotePrefix="0" xfId="0"/>
    <xf numFmtId="1" fontId="6" fillId="5" borderId="0" pivotButton="0" quotePrefix="0" xfId="0"/>
    <xf numFmtId="164" fontId="6" fillId="7" borderId="0" pivotButton="0" quotePrefix="0" xfId="0"/>
    <xf numFmtId="170" fontId="6" fillId="5" borderId="0" pivotButton="0" quotePrefix="0" xfId="0"/>
    <xf numFmtId="164" fontId="13" fillId="0" borderId="0" applyAlignment="1" pivotButton="0" quotePrefix="0" xfId="0">
      <alignment horizontal="center"/>
    </xf>
    <xf numFmtId="170" fontId="4" fillId="0" borderId="0" pivotButton="0" quotePrefix="0" xfId="0"/>
    <xf numFmtId="0" fontId="11" fillId="6" borderId="1" pivotButton="0" quotePrefix="0" xfId="0"/>
    <xf numFmtId="164" fontId="13" fillId="6" borderId="1" applyAlignment="1" pivotButton="0" quotePrefix="0" xfId="0">
      <alignment horizontal="center"/>
    </xf>
    <xf numFmtId="164" fontId="9" fillId="6" borderId="1" pivotButton="0" quotePrefix="0" xfId="0"/>
    <xf numFmtId="166" fontId="5" fillId="6" borderId="1" pivotButton="0" quotePrefix="0" xfId="0"/>
    <xf numFmtId="0" fontId="5" fillId="6" borderId="1" applyAlignment="1" pivotButton="0" quotePrefix="0" xfId="0">
      <alignment horizontal="center"/>
    </xf>
    <xf numFmtId="164" fontId="7" fillId="6" borderId="1" pivotButton="0" quotePrefix="0" xfId="0"/>
    <xf numFmtId="170" fontId="7" fillId="0" borderId="0" pivotButton="0" quotePrefix="0" xfId="0"/>
    <xf numFmtId="170" fontId="5" fillId="0" borderId="0" pivotButton="0" quotePrefix="0" xfId="0"/>
    <xf numFmtId="168" fontId="7" fillId="0" borderId="0" pivotButton="0" quotePrefix="0" xfId="0"/>
    <xf numFmtId="165" fontId="4" fillId="7" borderId="0" pivotButton="0" quotePrefix="0" xfId="0"/>
    <xf numFmtId="0" fontId="9" fillId="0" borderId="0" pivotButton="0" quotePrefix="0" xfId="0"/>
    <xf numFmtId="0" fontId="16" fillId="8" borderId="0" pivotButton="0" quotePrefix="0" xfId="0"/>
    <xf numFmtId="164" fontId="17" fillId="8" borderId="0" pivotButton="0" quotePrefix="0" xfId="0"/>
    <xf numFmtId="165" fontId="17" fillId="8" borderId="0" pivotButton="0" quotePrefix="0" xfId="0"/>
    <xf numFmtId="0" fontId="18" fillId="8" borderId="0" pivotButton="0" quotePrefix="0" xfId="0"/>
    <xf numFmtId="0" fontId="19" fillId="8" borderId="0" pivotButton="0" quotePrefix="0" xfId="0"/>
    <xf numFmtId="0" fontId="9" fillId="8" borderId="0" pivotButton="0" quotePrefix="0" xfId="0"/>
    <xf numFmtId="0" fontId="20" fillId="8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horizontal="center"/>
    </xf>
    <xf numFmtId="0" fontId="21" fillId="4" borderId="0" pivotButton="0" quotePrefix="0" xfId="0"/>
    <xf numFmtId="0" fontId="7" fillId="0" borderId="0" pivotButton="0" quotePrefix="0" xfId="0"/>
    <xf numFmtId="165" fontId="9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6" fillId="5" borderId="0" applyAlignment="1" pivotButton="0" quotePrefix="0" xfId="0">
      <alignment vertical="top" wrapText="1"/>
    </xf>
    <xf numFmtId="164" fontId="5" fillId="6" borderId="0" pivotButton="0" quotePrefix="0" xfId="0"/>
    <xf numFmtId="0" fontId="5" fillId="6" borderId="0" pivotButton="0" quotePrefix="0" xfId="0"/>
    <xf numFmtId="164" fontId="6" fillId="0" borderId="0" pivotButton="0" quotePrefix="0" xfId="0"/>
    <xf numFmtId="169" fontId="5" fillId="0" borderId="0" pivotButton="0" quotePrefix="0" xfId="0"/>
    <xf numFmtId="164" fontId="22" fillId="0" borderId="0" pivotButton="0" quotePrefix="0" xfId="0"/>
    <xf numFmtId="164" fontId="5" fillId="5" borderId="0" pivotButton="0" quotePrefix="0" xfId="0"/>
    <xf numFmtId="165" fontId="10" fillId="0" borderId="0" pivotButton="0" quotePrefix="0" xfId="0"/>
    <xf numFmtId="0" fontId="13" fillId="4" borderId="0" pivotButton="0" quotePrefix="0" xfId="0"/>
    <xf numFmtId="0" fontId="6" fillId="0" borderId="0" pivotButton="0" quotePrefix="0" xfId="0"/>
    <xf numFmtId="169" fontId="6" fillId="6" borderId="0" pivotButton="0" quotePrefix="0" xfId="0"/>
    <xf numFmtId="169" fontId="9" fillId="6" borderId="0" pivotButton="0" quotePrefix="0" xfId="0"/>
    <xf numFmtId="0" fontId="5" fillId="3" borderId="0" applyAlignment="1" pivotButton="0" quotePrefix="0" xfId="0">
      <alignment horizontal="center" vertical="center" wrapText="1"/>
    </xf>
    <xf numFmtId="164" fontId="13" fillId="0" borderId="0" pivotButton="0" quotePrefix="0" xfId="0"/>
    <xf numFmtId="0" fontId="4" fillId="0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dxfs count="9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9C5700"/>
      </font>
      <fill>
        <patternFill patternType="solid">
          <fgColor rgb="00FFEB9C"/>
        </patternFill>
      </fill>
    </dxf>
    <dxf>
      <font>
        <name val="Arial"/>
        <b val="1"/>
        <color rgb="00006100"/>
      </font>
    </dxf>
    <dxf>
      <font>
        <name val="Arial"/>
        <b val="1"/>
        <color rgb="009C0006"/>
      </font>
    </dxf>
    <dxf>
      <font>
        <name val="Arial"/>
        <color rgb="00BFBDB6"/>
      </font>
    </dxf>
    <dxf>
      <font>
        <name val="Arial"/>
        <color rgb="009C0006"/>
      </font>
    </dxf>
    <dxf>
      <fill>
        <patternFill patternType="solid">
          <fgColor rgb="00FFC7CE"/>
        </patternFill>
      </fill>
    </dxf>
    <dxf>
      <font>
        <name val="Arial"/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</a:defRPr>
            </a:pPr>
            <a:r>
              <a:rPr sz="1100" b="1">
                <a:solidFill>
                  <a:srgbClr val="0B0B0B"/>
                </a:solidFill>
              </a:rPr>
              <a:t>Pendapatan Bulanan (Rp juta)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'C12 GEG Dashboard'!B75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'C12 GEG Dashboard'!$A$76:$A$87</f>
            </numRef>
          </cat>
          <val>
            <numRef>
              <f>'C12 GEG Dashboard'!$B$76:$B$87</f>
            </numRef>
          </val>
        </ser>
        <ser>
          <idx val="1"/>
          <order val="1"/>
          <tx>
            <strRef>
              <f>'C12 GEG Dashboard'!C75</f>
            </strRef>
          </tx>
          <spPr>
            <a:solidFill xmlns:a="http://schemas.openxmlformats.org/drawingml/2006/main">
              <a:srgbClr val="A3A19A"/>
            </a:solidFill>
            <a:ln xmlns:a="http://schemas.openxmlformats.org/drawingml/2006/main">
              <a:noFill/>
              <a:prstDash val="solid"/>
            </a:ln>
          </spPr>
          <cat>
            <numRef>
              <f>'C12 GEG Dashboard'!$A$76:$A$87</f>
            </numRef>
          </cat>
          <val>
            <numRef>
              <f>'C12 GEG Dashboard'!$C$76:$C$87</f>
            </numRef>
          </val>
        </ser>
        <gapWidth val="60"/>
        <overlap val="-8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DB6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E3DF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</a:defRPr>
            </a:pPr>
            <a:r>
              <a:rPr sz="1100" b="1">
                <a:solidFill>
                  <a:srgbClr val="0B0B0B"/>
                </a:solidFill>
              </a:rPr>
              <a:t>EBITDA Bulanan (Rp juta)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'C12 GEG Dashboard'!D75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'C12 GEG Dashboard'!$A$76:$A$87</f>
            </numRef>
          </cat>
          <val>
            <numRef>
              <f>'C12 GEG Dashboard'!$D$76:$D$87</f>
            </numRef>
          </val>
        </ser>
        <ser>
          <idx val="1"/>
          <order val="1"/>
          <tx>
            <strRef>
              <f>'C12 GEG Dashboard'!E75</f>
            </strRef>
          </tx>
          <spPr>
            <a:solidFill xmlns:a="http://schemas.openxmlformats.org/drawingml/2006/main">
              <a:srgbClr val="A3A19A"/>
            </a:solidFill>
            <a:ln xmlns:a="http://schemas.openxmlformats.org/drawingml/2006/main">
              <a:noFill/>
              <a:prstDash val="solid"/>
            </a:ln>
          </spPr>
          <cat>
            <numRef>
              <f>'C12 GEG Dashboard'!$A$76:$A$87</f>
            </numRef>
          </cat>
          <val>
            <numRef>
              <f>'C12 GEG Dashboard'!$E$76:$E$87</f>
            </numRef>
          </val>
        </ser>
        <gapWidth val="60"/>
        <overlap val="-8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DB6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E3DF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</a:defRPr>
            </a:pPr>
            <a:r>
              <a:rPr sz="1100" b="1">
                <a:solidFill>
                  <a:srgbClr val="0B0B0B"/>
                </a:solidFill>
              </a:rPr>
              <a:t>Produksi Batubara Bulanan (ton)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'C12 GEG Dashboard'!F75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'C12 GEG Dashboard'!$A$76:$A$87</f>
            </numRef>
          </cat>
          <val>
            <numRef>
              <f>'C12 GEG Dashboard'!$F$76:$F$87</f>
            </numRef>
          </val>
        </ser>
        <ser>
          <idx val="1"/>
          <order val="1"/>
          <tx>
            <strRef>
              <f>'C12 GEG Dashboard'!G75</f>
            </strRef>
          </tx>
          <spPr>
            <a:solidFill xmlns:a="http://schemas.openxmlformats.org/drawingml/2006/main">
              <a:srgbClr val="A3A19A"/>
            </a:solidFill>
            <a:ln xmlns:a="http://schemas.openxmlformats.org/drawingml/2006/main">
              <a:noFill/>
              <a:prstDash val="solid"/>
            </a:ln>
          </spPr>
          <cat>
            <numRef>
              <f>'C12 GEG Dashboard'!$A$76:$A$87</f>
            </numRef>
          </cat>
          <val>
            <numRef>
              <f>'C12 GEG Dashboard'!$G$76:$G$87</f>
            </numRef>
          </val>
        </ser>
        <gapWidth val="60"/>
        <overlap val="-8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DB6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E3DF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</a:defRPr>
            </a:pPr>
            <a:r>
              <a:rPr sz="1100" b="1">
                <a:solidFill>
                  <a:srgbClr val="0B0B0B"/>
                </a:solidFill>
              </a:rPr>
              <a:t>Stripping Ratio (bcm/t)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'C12 GEG Dashboard'!H75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'C12 GEG Dashboard'!$A$76:$A$87</f>
            </numRef>
          </cat>
          <val>
            <numRef>
              <f>'C12 GEG Dashboard'!$H$76:$H$87</f>
            </numRef>
          </val>
          <smooth val="0"/>
        </ser>
        <ser>
          <idx val="1"/>
          <order val="1"/>
          <tx>
            <strRef>
              <f>'C12 GEG Dashboard'!I75</f>
            </strRef>
          </tx>
          <spPr>
            <a:ln xmlns:a="http://schemas.openxmlformats.org/drawingml/2006/main" w="25400">
              <a:solidFill>
                <a:srgbClr val="A3A19A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A3A19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'C12 GEG Dashboard'!$A$76:$A$87</f>
            </numRef>
          </cat>
          <val>
            <numRef>
              <f>'C12 GEG Dashboard'!$I$76:$I$87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DB6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E3DF"/>
              </a:solidFill>
              <a:prstDash val="solid"/>
            </a:ln>
          </spPr>
        </majorGridlines>
        <numFmt formatCode="0.0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</a:defRPr>
            </a:pPr>
            <a:r>
              <a:rPr sz="1100" b="1">
                <a:solidFill>
                  <a:srgbClr val="0B0B0B"/>
                </a:solidFill>
              </a:rPr>
              <a:t>Cash Cost FOB vs Harga Jual (USD/t)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'C12 GEG Dashboard'!J75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'C12 GEG Dashboard'!$A$76:$A$87</f>
            </numRef>
          </cat>
          <val>
            <numRef>
              <f>'C12 GEG Dashboard'!$J$76:$J$87</f>
            </numRef>
          </val>
          <smooth val="0"/>
        </ser>
        <ser>
          <idx val="1"/>
          <order val="1"/>
          <tx>
            <strRef>
              <f>'C12 GEG Dashboard'!K75</f>
            </strRef>
          </tx>
          <spPr>
            <a:ln xmlns:a="http://schemas.openxmlformats.org/drawingml/2006/main" w="25400">
              <a:solidFill>
                <a:srgbClr val="A3A19A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A3A19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'C12 GEG Dashboard'!$A$76:$A$87</f>
            </numRef>
          </cat>
          <val>
            <numRef>
              <f>'C12 GEG Dashboard'!$K$76:$K$87</f>
            </numRef>
          </val>
          <smooth val="0"/>
        </ser>
        <ser>
          <idx val="2"/>
          <order val="2"/>
          <tx>
            <strRef>
              <f>'C12 GEG Dashboard'!L75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B6834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'C12 GEG Dashboard'!$A$76:$A$87</f>
            </numRef>
          </cat>
          <val>
            <numRef>
              <f>'C12 GEG Dashboard'!$L$76:$L$87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DB6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E3DF"/>
              </a:solidFill>
              <a:prstDash val="solid"/>
            </a:ln>
          </spPr>
        </majorGridlines>
        <numFmt formatCode="0.0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</a:defRPr>
            </a:pPr>
            <a:r>
              <a:rPr sz="1100" b="1">
                <a:solidFill>
                  <a:srgbClr val="0B0B0B"/>
                </a:solidFill>
              </a:rPr>
              <a:t>Fuel Ratio (L/bcm)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'C12 GEG Dashboard'!M75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'C12 GEG Dashboard'!$A$76:$A$87</f>
            </numRef>
          </cat>
          <val>
            <numRef>
              <f>'C12 GEG Dashboard'!$M$76:$M$87</f>
            </numRef>
          </val>
          <smooth val="0"/>
        </ser>
        <ser>
          <idx val="1"/>
          <order val="1"/>
          <tx>
            <strRef>
              <f>'C12 GEG Dashboard'!N75</f>
            </strRef>
          </tx>
          <spPr>
            <a:ln xmlns:a="http://schemas.openxmlformats.org/drawingml/2006/main" w="25400">
              <a:solidFill>
                <a:srgbClr val="A3A19A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A3A19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'C12 GEG Dashboard'!$A$76:$A$87</f>
            </numRef>
          </cat>
          <val>
            <numRef>
              <f>'C12 GEG Dashboard'!$N$76:$N$87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DB6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E3DF"/>
              </a:solidFill>
              <a:prstDash val="solid"/>
            </a:ln>
          </spPr>
        </majorGridlines>
        <numFmt formatCode="0.0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</a:defRPr>
            </a:pPr>
            <a:r>
              <a:rPr sz="1100" b="1">
                <a:solidFill>
                  <a:srgbClr val="0B0B0B"/>
                </a:solidFill>
              </a:rPr>
              <a:t>Struktur Biaya Kas YTD (Rp juta)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'C12 GEG Dashboard'!B90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'C12 GEG Dashboard'!$A$91:$A$98</f>
            </numRef>
          </cat>
          <val>
            <numRef>
              <f>'C12 GEG Dashboard'!$B$91:$B$98</f>
            </numRef>
          </val>
        </ser>
        <ser>
          <idx val="1"/>
          <order val="1"/>
          <tx>
            <strRef>
              <f>'C12 GEG Dashboard'!C90</f>
            </strRef>
          </tx>
          <spPr>
            <a:solidFill xmlns:a="http://schemas.openxmlformats.org/drawingml/2006/main">
              <a:srgbClr val="A3A19A"/>
            </a:solidFill>
            <a:ln xmlns:a="http://schemas.openxmlformats.org/drawingml/2006/main">
              <a:noFill/>
              <a:prstDash val="solid"/>
            </a:ln>
          </spPr>
          <cat>
            <numRef>
              <f>'C12 GEG Dashboard'!$A$91:$A$98</f>
            </numRef>
          </cat>
          <val>
            <numRef>
              <f>'C12 GEG Dashboard'!$C$91:$C$98</f>
            </numRef>
          </val>
        </ser>
        <gapWidth val="60"/>
        <overlap val="-8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DB6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E3DF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</a:defRPr>
            </a:pPr>
            <a:r>
              <a:rPr sz="1100" b="1">
                <a:solidFill>
                  <a:srgbClr val="0B0B0B"/>
                </a:solidFill>
              </a:rPr>
              <a:t>Skor KPI per Perspektif (1–5)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'C12 GEG Dashboard'!B101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'C12 GEG Dashboard'!$A$102:$A$106</f>
            </numRef>
          </cat>
          <val>
            <numRef>
              <f>'C12 GEG Dashboard'!$B$102:$B$106</f>
            </numRef>
          </val>
        </ser>
        <gapWidth val="60"/>
        <overlap val="-8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DB6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4E3DF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</a:defRPr>
            </a:pPr>
            <a:r>
              <a:rPr sz="1100" b="1">
                <a:solidFill>
                  <a:srgbClr val="0B0B0B"/>
                </a:solidFill>
              </a:rPr>
              <a:t>Jumlah KPI per status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'C12 GEG Dashboard'!E101</f>
            </strRef>
          </tx>
          <spPr>
            <a:solidFill xmlns:a="http://schemas.openxmlformats.org/drawingml/2006/main">
              <a:srgbClr val="0CA30C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0CA30C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AB219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03B3B"/>
              </a:solidFill>
              <a:ln xmlns:a="http://schemas.openxmlformats.org/drawingml/2006/main">
                <a:noFill/>
                <a:prstDash val="solid"/>
              </a:ln>
            </spPr>
          </dPt>
          <cat>
            <numRef>
              <f>'C12 GEG Dashboard'!$D$102:$D$104</f>
            </numRef>
          </cat>
          <val>
            <numRef>
              <f>'C12 GEG Dashboard'!$E$102:$E$104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DB6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E3DF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</a:defRPr>
            </a:pPr>
            <a:r>
              <a:rPr sz="1100" b="1">
                <a:solidFill>
                  <a:srgbClr val="0B0B0B"/>
                </a:solidFill>
              </a:rPr>
              <a:t>Produksi Batubara Bulanan (ton)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'C15 GEG Tren Volume'!B87</f>
            </strRef>
          </tx>
          <spPr>
            <a:ln xmlns:a="http://schemas.openxmlformats.org/drawingml/2006/main" w="25400">
              <a:solidFill>
                <a:srgbClr val="7FB6EA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7FB6E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'C15 GEG Tren Volume'!$A$88:$A$99</f>
            </numRef>
          </cat>
          <val>
            <numRef>
              <f>'C15 GEG Tren Volume'!$B$88:$B$99</f>
            </numRef>
          </val>
        </ser>
        <ser>
          <idx val="1"/>
          <order val="1"/>
          <tx>
            <strRef>
              <f>'C15 GEG Tren Volume'!C87</f>
            </strRef>
          </tx>
          <spPr>
            <a:ln xmlns:a="http://schemas.openxmlformats.org/drawingml/2006/main" w="25400">
              <a:solidFill>
                <a:srgbClr val="A3A19A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A3A19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'C15 GEG Tren Volume'!$A$88:$A$99</f>
            </numRef>
          </cat>
          <val>
            <numRef>
              <f>'C15 GEG Tren Volume'!$C$88:$C$99</f>
            </numRef>
          </val>
        </ser>
        <ser>
          <idx val="2"/>
          <order val="2"/>
          <tx>
            <strRef>
              <f>'C15 GEG Tren Volume'!D87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'C15 GEG Tren Volume'!$A$88:$A$99</f>
            </numRef>
          </cat>
          <val>
            <numRef>
              <f>'C15 GEG Tren Volume'!$D$88:$D$99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DB6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E3DF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</a:defRPr>
            </a:pPr>
            <a:r>
              <a:rPr sz="1100" b="1">
                <a:solidFill>
                  <a:srgbClr val="0B0B0B"/>
                </a:solidFill>
              </a:rPr>
              <a:t>Penjualan Batubara Bulanan (ton)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'C15 GEG Tren Volume'!E87</f>
            </strRef>
          </tx>
          <spPr>
            <a:ln xmlns:a="http://schemas.openxmlformats.org/drawingml/2006/main" w="25400">
              <a:solidFill>
                <a:srgbClr val="7FB6EA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7FB6E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'C15 GEG Tren Volume'!$A$88:$A$99</f>
            </numRef>
          </cat>
          <val>
            <numRef>
              <f>'C15 GEG Tren Volume'!$E$88:$E$99</f>
            </numRef>
          </val>
        </ser>
        <ser>
          <idx val="1"/>
          <order val="1"/>
          <tx>
            <strRef>
              <f>'C15 GEG Tren Volume'!F87</f>
            </strRef>
          </tx>
          <spPr>
            <a:ln xmlns:a="http://schemas.openxmlformats.org/drawingml/2006/main" w="25400">
              <a:solidFill>
                <a:srgbClr val="A3A19A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A3A19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'C15 GEG Tren Volume'!$A$88:$A$99</f>
            </numRef>
          </cat>
          <val>
            <numRef>
              <f>'C15 GEG Tren Volume'!$F$88:$F$99</f>
            </numRef>
          </val>
        </ser>
        <ser>
          <idx val="2"/>
          <order val="2"/>
          <tx>
            <strRef>
              <f>'C15 GEG Tren Volume'!G87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'C15 GEG Tren Volume'!$A$88:$A$99</f>
            </numRef>
          </cat>
          <val>
            <numRef>
              <f>'C15 GEG Tren Volume'!$G$88:$G$99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DB6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E3DF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</a:defRPr>
            </a:pPr>
            <a:r>
              <a:rPr sz="1100" b="1">
                <a:solidFill>
                  <a:srgbClr val="0B0B0B"/>
                </a:solidFill>
              </a:rPr>
              <a:t>OB Removal Bulanan (bcm)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'C15 GEG Tren Volume'!H87</f>
            </strRef>
          </tx>
          <spPr>
            <a:ln xmlns:a="http://schemas.openxmlformats.org/drawingml/2006/main" w="25400">
              <a:solidFill>
                <a:srgbClr val="7FB6EA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7FB6E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'C15 GEG Tren Volume'!$A$88:$A$99</f>
            </numRef>
          </cat>
          <val>
            <numRef>
              <f>'C15 GEG Tren Volume'!$H$88:$H$99</f>
            </numRef>
          </val>
        </ser>
        <ser>
          <idx val="1"/>
          <order val="1"/>
          <tx>
            <strRef>
              <f>'C15 GEG Tren Volume'!I87</f>
            </strRef>
          </tx>
          <spPr>
            <a:ln xmlns:a="http://schemas.openxmlformats.org/drawingml/2006/main" w="25400">
              <a:solidFill>
                <a:srgbClr val="A3A19A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A3A19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'C15 GEG Tren Volume'!$A$88:$A$99</f>
            </numRef>
          </cat>
          <val>
            <numRef>
              <f>'C15 GEG Tren Volume'!$I$88:$I$99</f>
            </numRef>
          </val>
        </ser>
        <ser>
          <idx val="2"/>
          <order val="2"/>
          <tx>
            <strRef>
              <f>'C15 GEG Tren Volume'!J87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'C15 GEG Tren Volume'!$A$88:$A$99</f>
            </numRef>
          </cat>
          <val>
            <numRef>
              <f>'C15 GEG Tren Volume'!$J$88:$J$99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DB6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E3DF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</a:defRPr>
            </a:pPr>
            <a:r>
              <a:rPr sz="1100" b="1">
                <a:solidFill>
                  <a:srgbClr val="0B0B0B"/>
                </a:solidFill>
              </a:rPr>
              <a:t>Stripping Ratio (bcm/t)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'C15 GEG Tren Volume'!K87</f>
            </strRef>
          </tx>
          <spPr>
            <a:ln xmlns:a="http://schemas.openxmlformats.org/drawingml/2006/main" w="25400">
              <a:solidFill>
                <a:srgbClr val="7FB6EA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7FB6E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'C15 GEG Tren Volume'!$A$88:$A$99</f>
            </numRef>
          </cat>
          <val>
            <numRef>
              <f>'C15 GEG Tren Volume'!$K$88:$K$99</f>
            </numRef>
          </val>
        </ser>
        <ser>
          <idx val="1"/>
          <order val="1"/>
          <tx>
            <strRef>
              <f>'C15 GEG Tren Volume'!L87</f>
            </strRef>
          </tx>
          <spPr>
            <a:ln xmlns:a="http://schemas.openxmlformats.org/drawingml/2006/main" w="25400">
              <a:solidFill>
                <a:srgbClr val="A3A19A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A3A19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'C15 GEG Tren Volume'!$A$88:$A$99</f>
            </numRef>
          </cat>
          <val>
            <numRef>
              <f>'C15 GEG Tren Volume'!$L$88:$L$99</f>
            </numRef>
          </val>
        </ser>
        <ser>
          <idx val="2"/>
          <order val="2"/>
          <tx>
            <strRef>
              <f>'C15 GEG Tren Volume'!M87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'C15 GEG Tren Volume'!$A$88:$A$99</f>
            </numRef>
          </cat>
          <val>
            <numRef>
              <f>'C15 GEG Tren Volume'!$M$88:$M$99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DB6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E3DF"/>
              </a:solidFill>
              <a:prstDash val="solid"/>
            </a:ln>
          </spPr>
        </majorGridlines>
        <numFmt formatCode="0.0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</a:defRPr>
            </a:pPr>
            <a:r>
              <a:rPr sz="1100" b="1">
                <a:solidFill>
                  <a:srgbClr val="0B0B0B"/>
                </a:solidFill>
              </a:rPr>
              <a:t>Cost per BCM Pengupasan OB (USD/bcm)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'C18 GEG Cost per BCM dan MT'!B65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'C18 GEG Cost per BCM dan MT'!$A$66:$A$77</f>
            </numRef>
          </cat>
          <val>
            <numRef>
              <f>'C18 GEG Cost per BCM dan MT'!$B$66:$B$77</f>
            </numRef>
          </val>
        </ser>
        <ser>
          <idx val="1"/>
          <order val="1"/>
          <tx>
            <strRef>
              <f>'C18 GEG Cost per BCM dan MT'!C65</f>
            </strRef>
          </tx>
          <spPr>
            <a:ln xmlns:a="http://schemas.openxmlformats.org/drawingml/2006/main" w="25400">
              <a:solidFill>
                <a:srgbClr val="A3A19A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A3A19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'C18 GEG Cost per BCM dan MT'!$A$66:$A$77</f>
            </numRef>
          </cat>
          <val>
            <numRef>
              <f>'C18 GEG Cost per BCM dan MT'!$C$66:$C$77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DB6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E3DF"/>
              </a:solidFill>
              <a:prstDash val="solid"/>
            </a:ln>
          </spPr>
        </majorGridlines>
        <numFmt formatCode="0.0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</a:defRPr>
            </a:pPr>
            <a:r>
              <a:rPr sz="1100" b="1">
                <a:solidFill>
                  <a:srgbClr val="0B0B0B"/>
                </a:solidFill>
              </a:rPr>
              <a:t>Cost per MT Terjual vs ASP (USD/MT)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'C18 GEG Cost per BCM dan MT'!F65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'C18 GEG Cost per BCM dan MT'!$A$66:$A$77</f>
            </numRef>
          </cat>
          <val>
            <numRef>
              <f>'C18 GEG Cost per BCM dan MT'!$F$66:$F$77</f>
            </numRef>
          </val>
        </ser>
        <ser>
          <idx val="1"/>
          <order val="1"/>
          <tx>
            <strRef>
              <f>'C18 GEG Cost per BCM dan MT'!G65</f>
            </strRef>
          </tx>
          <spPr>
            <a:ln xmlns:a="http://schemas.openxmlformats.org/drawingml/2006/main" w="25400">
              <a:solidFill>
                <a:srgbClr val="A3A19A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A3A19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'C18 GEG Cost per BCM dan MT'!$A$66:$A$77</f>
            </numRef>
          </cat>
          <val>
            <numRef>
              <f>'C18 GEG Cost per BCM dan MT'!$G$66:$G$77</f>
            </numRef>
          </val>
        </ser>
        <ser>
          <idx val="2"/>
          <order val="2"/>
          <tx>
            <strRef>
              <f>'C18 GEG Cost per BCM dan MT'!H65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B6834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'C18 GEG Cost per BCM dan MT'!$A$66:$A$77</f>
            </numRef>
          </cat>
          <val>
            <numRef>
              <f>'C18 GEG Cost per BCM dan MT'!$H$66:$H$77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DB6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E3DF"/>
              </a:solidFill>
              <a:prstDash val="solid"/>
            </a:ln>
          </spPr>
        </majorGridlines>
        <numFmt formatCode="0.0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</a:defRPr>
            </a:pPr>
            <a:r>
              <a:rPr sz="1100" b="1">
                <a:solidFill>
                  <a:srgbClr val="0B0B0B"/>
                </a:solidFill>
              </a:rPr>
              <a:t>Kontribusi terhadap selisih EBITDA YTD vs Budget (Rp juta)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Menambah EBITDA</v>
          </tx>
          <spPr>
            <a:solidFill xmlns:a="http://schemas.openxmlformats.org/drawingml/2006/main">
              <a:srgbClr val="0CA30C"/>
            </a:solidFill>
            <a:ln xmlns:a="http://schemas.openxmlformats.org/drawingml/2006/main">
              <a:noFill/>
              <a:prstDash val="solid"/>
            </a:ln>
          </spPr>
          <cat>
            <numRef>
              <f>'C21 GEG Bridge EBITDA'!$A$6:$A$16</f>
            </numRef>
          </cat>
          <val>
            <numRef>
              <f>'C21 GEG Bridge EBITDA'!$G$6:$G$16</f>
            </numRef>
          </val>
        </ser>
        <ser>
          <idx val="1"/>
          <order val="1"/>
          <tx>
            <v>Mengurangi EBITDA</v>
          </tx>
          <spPr>
            <a:solidFill xmlns:a="http://schemas.openxmlformats.org/drawingml/2006/main">
              <a:srgbClr val="D03B3B"/>
            </a:solidFill>
            <a:ln xmlns:a="http://schemas.openxmlformats.org/drawingml/2006/main">
              <a:noFill/>
              <a:prstDash val="solid"/>
            </a:ln>
          </spPr>
          <cat>
            <numRef>
              <f>'C21 GEG Bridge EBITDA'!$A$6:$A$16</f>
            </numRef>
          </cat>
          <val>
            <numRef>
              <f>'C21 GEG Bridge EBITDA'!$H$6:$H$16</f>
            </numRef>
          </val>
        </ser>
        <gapWidth val="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DB6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E3DF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940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5940000" cy="273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5940000" cy="273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25</row>
      <rowOff>0</rowOff>
    </from>
    <ext cx="5940000" cy="273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41</row>
      <rowOff>0</rowOff>
    </from>
    <ext cx="5940000" cy="273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41</row>
      <rowOff>0</rowOff>
    </from>
    <ext cx="5940000" cy="273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57</row>
      <rowOff>0</rowOff>
    </from>
    <ext cx="5940000" cy="2736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57</row>
      <rowOff>0</rowOff>
    </from>
    <ext cx="5940000" cy="2736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18</col>
      <colOff>0</colOff>
      <row>46</row>
      <rowOff>0</rowOff>
    </from>
    <ext cx="4320000" cy="2736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52</row>
      <rowOff>0</rowOff>
    </from>
    <ext cx="6120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52</row>
      <rowOff>0</rowOff>
    </from>
    <ext cx="6120000" cy="273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69</row>
      <rowOff>0</rowOff>
    </from>
    <ext cx="6120000" cy="273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69</row>
      <rowOff>0</rowOff>
    </from>
    <ext cx="6120000" cy="273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79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79</row>
      <rowOff>0</rowOff>
    </from>
    <ext cx="61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20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1 Asumsi Contoh'!A1" TargetMode="External" Id="rId1"/><Relationship Type="http://schemas.openxmlformats.org/officeDocument/2006/relationships/hyperlink" Target="#'A2 Laba Rugi Contoh'!A1" TargetMode="External" Id="rId2"/><Relationship Type="http://schemas.openxmlformats.org/officeDocument/2006/relationships/hyperlink" Target="#'A3 Neraca Contoh'!A1" TargetMode="External" Id="rId3"/><Relationship Type="http://schemas.openxmlformats.org/officeDocument/2006/relationships/hyperlink" Target="#'A4 Arus Kas Contoh'!A1" TargetMode="External" Id="rId4"/><Relationship Type="http://schemas.openxmlformats.org/officeDocument/2006/relationships/hyperlink" Target="#'B1 Struktur Rev-Cost'!A1" TargetMode="External" Id="rId5"/><Relationship Type="http://schemas.openxmlformats.org/officeDocument/2006/relationships/hyperlink" Target="#'B2 COP dan KPI'!A1" TargetMode="External" Id="rId6"/><Relationship Type="http://schemas.openxmlformats.org/officeDocument/2006/relationships/hyperlink" Target="#'B3 KPI Cost vs Revenue'!A1" TargetMode="External" Id="rId7"/><Relationship Type="http://schemas.openxmlformats.org/officeDocument/2006/relationships/hyperlink" Target="#'B4 Efisiensi Biaya'!A1" TargetMode="External" Id="rId8"/><Relationship Type="http://schemas.openxmlformats.org/officeDocument/2006/relationships/hyperlink" Target="#'B5 Benchmark Emiten'!A1" TargetMode="External" Id="rId9"/><Relationship Type="http://schemas.openxmlformats.org/officeDocument/2006/relationships/hyperlink" Target="#'C0 GEG Petunjuk'!A1" TargetMode="External" Id="rId10"/><Relationship Type="http://schemas.openxmlformats.org/officeDocument/2006/relationships/hyperlink" Target="#'C1 GEG Setting'!A1" TargetMode="External" Id="rId11"/><Relationship Type="http://schemas.openxmlformats.org/officeDocument/2006/relationships/hyperlink" Target="#'C2 GEG Ops Budget'!A1" TargetMode="External" Id="rId12"/><Relationship Type="http://schemas.openxmlformats.org/officeDocument/2006/relationships/hyperlink" Target="#'C3 GEG Ops Aktual'!A1" TargetMode="External" Id="rId13"/><Relationship Type="http://schemas.openxmlformats.org/officeDocument/2006/relationships/hyperlink" Target="#'C4 GEG LR Budget'!A1" TargetMode="External" Id="rId14"/><Relationship Type="http://schemas.openxmlformats.org/officeDocument/2006/relationships/hyperlink" Target="#'C5 GEG LR Aktual'!A1" TargetMode="External" Id="rId15"/><Relationship Type="http://schemas.openxmlformats.org/officeDocument/2006/relationships/hyperlink" Target="#'C6 GEG Neraca Aktual'!A1" TargetMode="External" Id="rId16"/><Relationship Type="http://schemas.openxmlformats.org/officeDocument/2006/relationships/hyperlink" Target="#'C7 GEG Arus Kas'!A1" TargetMode="External" Id="rId17"/><Relationship Type="http://schemas.openxmlformats.org/officeDocument/2006/relationships/hyperlink" Target="#'C8 GEG Lap LR'!A1" TargetMode="External" Id="rId18"/><Relationship Type="http://schemas.openxmlformats.org/officeDocument/2006/relationships/hyperlink" Target="#'C9 GEG Lap Ops'!A1" TargetMode="External" Id="rId19"/><Relationship Type="http://schemas.openxmlformats.org/officeDocument/2006/relationships/hyperlink" Target="#'C10 GEG COP'!A1" TargetMode="External" Id="rId20"/><Relationship Type="http://schemas.openxmlformats.org/officeDocument/2006/relationships/hyperlink" Target="#'C11 GEG KPI Scorecard'!A1" TargetMode="External" Id="rId21"/><Relationship Type="http://schemas.openxmlformats.org/officeDocument/2006/relationships/hyperlink" Target="#'C12 GEG Dashboard'!A1" TargetMode="External" Id="rId22"/><Relationship Type="http://schemas.openxmlformats.org/officeDocument/2006/relationships/hyperlink" Target="#'C13 GEG Financial Highlight'!A1" TargetMode="External" Id="rId23"/><Relationship Type="http://schemas.openxmlformats.org/officeDocument/2006/relationships/hyperlink" Target="#'C14 GEG Analisa Biaya'!A1" TargetMode="External" Id="rId24"/><Relationship Type="http://schemas.openxmlformats.org/officeDocument/2006/relationships/hyperlink" Target="#'C15 GEG Tren Volume'!A1" TargetMode="External" Id="rId25"/><Relationship Type="http://schemas.openxmlformats.org/officeDocument/2006/relationships/hyperlink" Target="#'C16 GEG Pit dan Pembeli'!A1" TargetMode="External" Id="rId26"/><Relationship Type="http://schemas.openxmlformats.org/officeDocument/2006/relationships/hyperlink" Target="#'C17 GEG Arus Kas Langsung'!A1" TargetMode="External" Id="rId27"/><Relationship Type="http://schemas.openxmlformats.org/officeDocument/2006/relationships/hyperlink" Target="#'C18 GEG Cost per BCM dan MT'!A1" TargetMode="External" Id="rId28"/><Relationship Type="http://schemas.openxmlformats.org/officeDocument/2006/relationships/hyperlink" Target="#'C19 GEG GL Trial Balance'!A1" TargetMode="External" Id="rId29"/><Relationship Type="http://schemas.openxmlformats.org/officeDocument/2006/relationships/hyperlink" Target="#'C20 GEG Covenant Bank'!A1" TargetMode="External" Id="rId30"/><Relationship Type="http://schemas.openxmlformats.org/officeDocument/2006/relationships/hyperlink" Target="#'C21 GEG Bridge EBITDA'!A1" TargetMode="External" Id="rId31"/><Relationship Type="http://schemas.openxmlformats.org/officeDocument/2006/relationships/hyperlink" Target="#'C22 GEG Kontrol Data'!A1" TargetMode="External" Id="rId32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0" customWidth="1" min="2" max="2"/>
    <col width="2" customWidth="1" min="3" max="3"/>
  </cols>
  <sheetData>
    <row r="1">
      <c r="A1" s="1" t="inlineStr">
        <is>
          <t>Paket FP&amp;A Tambang Batubara – Global Energy Group</t>
        </is>
      </c>
      <c r="B1" s="2" t="n"/>
      <c r="C1" s="2" t="n"/>
    </row>
    <row r="2">
      <c r="A2" s="3" t="inlineStr">
        <is>
          <t>Disusun oleh FP&amp;A | Laporan keuangan contoh, analisa struktur biaya &amp; KPI, dan template pelaporan bulanan GEG</t>
        </is>
      </c>
    </row>
    <row r="4">
      <c r="A4" s="4" t="inlineStr">
        <is>
          <t>DAFTAR ISI</t>
        </is>
      </c>
      <c r="B4" s="5" t="n"/>
      <c r="C4" s="5" t="n"/>
    </row>
    <row r="5">
      <c r="A5" s="6" t="inlineStr">
        <is>
          <t>BAGIAN A – CONTOH LAPORAN KEUANGAN LENGKAP (perusahaan fiktif, format emiten batubara Tbk, PSAK)</t>
        </is>
      </c>
    </row>
    <row r="6">
      <c r="A6" s="7" t="inlineStr">
        <is>
          <t>A1 Asumsi Contoh</t>
        </is>
      </c>
      <c r="B6" s="8" t="inlineStr">
        <is>
          <t>Asumsi &amp; driver: harga, kurs, volume, SR, tarif kontraktor, BBM, logistik, royalti, overhead, capex, modal kerja</t>
        </is>
      </c>
    </row>
    <row r="7">
      <c r="A7" s="7" t="inlineStr">
        <is>
          <t>A2 Laba Rugi Contoh</t>
        </is>
      </c>
      <c r="B7" s="8" t="inlineStr">
        <is>
          <t>Laba rugi rinci: breakdown pendapatan (ekspor/DMO/non-DMO/penalti/jasa), BPP (tambang, logistik, royalti, overhead, D&amp;A), beban penjualan, G&amp;A, lain-lain</t>
        </is>
      </c>
    </row>
    <row r="8">
      <c r="A8" s="7" t="inlineStr">
        <is>
          <t>A3 Neraca Contoh</t>
        </is>
      </c>
      <c r="B8" s="8" t="inlineStr">
        <is>
          <t>Neraca 3 periode, terhubung dengan laba rugi &amp; arus kas (cek keseimbangan = 0)</t>
        </is>
      </c>
    </row>
    <row r="9">
      <c r="A9" s="7" t="inlineStr">
        <is>
          <t>A4 Arus Kas Contoh</t>
        </is>
      </c>
      <c r="B9" s="8" t="inlineStr">
        <is>
          <t>Arus kas metode tidak langsung + rekonsiliasi metode langsung</t>
        </is>
      </c>
    </row>
    <row r="10">
      <c r="A10" s="6" t="inlineStr">
        <is>
          <t>BAGIAN B – ANALISA UNTUK MANAJEMEN</t>
        </is>
      </c>
    </row>
    <row r="11">
      <c r="A11" s="7" t="inlineStr">
        <is>
          <t>B1 Struktur Rev-Cost</t>
        </is>
      </c>
      <c r="B11" s="8" t="inlineStr">
        <is>
          <t>Struktur pendapatan (bauran pasar, ASP) &amp; struktur biaya (porsi, sifat tetap/variabel, pemicu), titik impas</t>
        </is>
      </c>
    </row>
    <row r="12">
      <c r="A12" s="7" t="inlineStr">
        <is>
          <t>B2 COP dan KPI</t>
        </is>
      </c>
      <c r="B12" s="8" t="inlineStr">
        <is>
          <t>Cost of production per unit (USD/bcm, USD/t, USD/t-km, cash cost, AISC) + penilaian KPI COP dengan skor</t>
        </is>
      </c>
    </row>
    <row r="13">
      <c r="A13" s="7" t="inlineStr">
        <is>
          <t>B3 KPI Cost vs Revenue</t>
        </is>
      </c>
      <c r="B13" s="8" t="inlineStr">
        <is>
          <t>27 KPI cost vs revenue (jaws, rasio biaya, marjin, harga impas, leverage, konversi kas) + kesimpulan otomatis</t>
        </is>
      </c>
    </row>
    <row r="14">
      <c r="A14" s="7" t="inlineStr">
        <is>
          <t>B4 Efisiensi Biaya</t>
        </is>
      </c>
      <c r="B14" s="8" t="inlineStr">
        <is>
          <t>Varians biaya: efek volume vs tarif vs kurs; jembatan pendapatan &amp; EBITDA (pasar vs manajemen); inisiatif penghematan</t>
        </is>
      </c>
    </row>
    <row r="15">
      <c r="A15" s="7" t="inlineStr">
        <is>
          <t>B5 Benchmark Emiten</t>
        </is>
      </c>
      <c r="B15" s="8" t="inlineStr">
        <is>
          <t>Emiten batubara BEI sebagai acuan &amp; kisaran KPI industri (indikatif)</t>
        </is>
      </c>
    </row>
    <row r="16">
      <c r="A16" s="6" t="inlineStr">
        <is>
          <t>BAGIAN C – TEMPLATE PELAPORAN BULANAN GLOBAL ENERGY GROUP</t>
        </is>
      </c>
    </row>
    <row r="17">
      <c r="A17" s="7" t="inlineStr">
        <is>
          <t>C0 GEG Petunjuk</t>
        </is>
      </c>
      <c r="B17" s="8" t="inlineStr">
        <is>
          <t>Petunjuk, kode warna, jadwal closing bulanan</t>
        </is>
      </c>
    </row>
    <row r="18">
      <c r="A18" s="7" t="inlineStr">
        <is>
          <t>C1 GEG Setting</t>
        </is>
      </c>
      <c r="B18" s="8" t="inlineStr">
        <is>
          <t>Pengaturan bulan laporan &amp; skala KPI</t>
        </is>
      </c>
    </row>
    <row r="19">
      <c r="A19" s="7" t="inlineStr">
        <is>
          <t>C2 GEG Ops Budget</t>
        </is>
      </c>
      <c r="B19" s="8" t="inlineStr">
        <is>
          <t>Input budget operasional bulanan</t>
        </is>
      </c>
    </row>
    <row r="20">
      <c r="A20" s="7" t="inlineStr">
        <is>
          <t>C3 GEG Ops Aktual</t>
        </is>
      </c>
      <c r="B20" s="8" t="inlineStr">
        <is>
          <t>Input aktual operasional bulanan</t>
        </is>
      </c>
    </row>
    <row r="21">
      <c r="A21" s="7" t="inlineStr">
        <is>
          <t>C4 GEG LR Budget</t>
        </is>
      </c>
      <c r="B21" s="8" t="inlineStr">
        <is>
          <t>Input budget laba rugi bulanan (kode akun)</t>
        </is>
      </c>
    </row>
    <row r="22">
      <c r="A22" s="7" t="inlineStr">
        <is>
          <t>C5 GEG LR Aktual</t>
        </is>
      </c>
      <c r="B22" s="8" t="inlineStr">
        <is>
          <t>Input aktual laba rugi bulanan (kode akun)</t>
        </is>
      </c>
    </row>
    <row r="23">
      <c r="A23" s="7" t="inlineStr">
        <is>
          <t>C6 GEG Neraca Aktual</t>
        </is>
      </c>
      <c r="B23" s="8" t="inlineStr">
        <is>
          <t>Input neraca akhir bulan</t>
        </is>
      </c>
    </row>
    <row r="24">
      <c r="A24" s="7" t="inlineStr">
        <is>
          <t>C7 GEG Arus Kas</t>
        </is>
      </c>
      <c r="B24" s="8" t="inlineStr">
        <is>
          <t>Arus kas bulanan otomatis</t>
        </is>
      </c>
    </row>
    <row r="25">
      <c r="A25" s="7" t="inlineStr">
        <is>
          <t>C8 GEG Lap LR</t>
        </is>
      </c>
      <c r="B25" s="8" t="inlineStr">
        <is>
          <t>Laporan laba rugi MTD &amp; YTD vs budget</t>
        </is>
      </c>
    </row>
    <row r="26">
      <c r="A26" s="7" t="inlineStr">
        <is>
          <t>C9 GEG Lap Ops</t>
        </is>
      </c>
      <c r="B26" s="8" t="inlineStr">
        <is>
          <t>Laporan operasional MTD &amp; YTD vs budget</t>
        </is>
      </c>
    </row>
    <row r="27">
      <c r="A27" s="7" t="inlineStr">
        <is>
          <t>C10 GEG COP</t>
        </is>
      </c>
      <c r="B27" s="8" t="inlineStr">
        <is>
          <t>Cost of production per unit vs budget</t>
        </is>
      </c>
    </row>
    <row r="28">
      <c r="A28" s="7" t="inlineStr">
        <is>
          <t>C11 GEG KPI Scorecard</t>
        </is>
      </c>
      <c r="B28" s="8" t="inlineStr">
        <is>
          <t>KPI scorecard manajemen (skor &amp; predikat)</t>
        </is>
      </c>
    </row>
    <row r="29">
      <c r="A29" s="7" t="inlineStr">
        <is>
          <t>C12 GEG Dashboard</t>
        </is>
      </c>
      <c r="B29" s="8" t="inlineStr">
        <is>
          <t>DASHBOARD: tile KPI, 8 grafik kinerja (pendapatan, EBITDA, produksi, SR, cash cost vs ASP, fuel ratio, struktur biaya, skor perspektif) + tabel KPI Scored</t>
        </is>
      </c>
    </row>
    <row r="30">
      <c r="A30" s="6" t="inlineStr">
        <is>
          <t>FORMAT LAPORAN BULANAN ALA "AAT FINANCIAL &amp; OPERATIONAL PERFORMANCE REPORT" – disesuaikan untuk batubara</t>
        </is>
      </c>
    </row>
    <row r="31">
      <c r="A31" s="7" t="inlineStr">
        <is>
          <t>C13 GEG Financial Highlight</t>
        </is>
      </c>
      <c r="B31" s="8" t="inlineStr">
        <is>
          <t>Key indicators operasional &amp; keuangan: bulan lalu vs bulan ini (MoM), vs budget, YTD, EBITDA normalisasi, CADS, DSCR + kolom catatan</t>
        </is>
      </c>
    </row>
    <row r="32">
      <c r="A32" s="7" t="inlineStr">
        <is>
          <t>C14 GEG Analisa Biaya</t>
        </is>
      </c>
      <c r="B32" s="8" t="inlineStr">
        <is>
          <t>Analisa biaya per akun &amp; unit cost (USD/bcm, USD/t) – MoM, vs budget, YTD + catatan penjelasan varians</t>
        </is>
      </c>
    </row>
    <row r="33">
      <c r="A33" s="7" t="inlineStr">
        <is>
          <t>C15 GEG Tren Volume</t>
        </is>
      </c>
      <c r="B33" s="8" t="inlineStr">
        <is>
          <t>Tren volume bulanan: aktual tahun lalu vs budget vs aktual (OB, produksi, SR, penjualan, barging, stok) + grafik</t>
        </is>
      </c>
    </row>
    <row r="34">
      <c r="A34" s="7" t="inlineStr">
        <is>
          <t>C16 GEG Pit dan Pembeli</t>
        </is>
      </c>
      <c r="B34" s="8" t="inlineStr">
        <is>
          <t>Rincian produksi/OB/SR per pit &amp; kontraktor serta penjualan per pembeli, dengan cek rekonsiliasi ke C3</t>
        </is>
      </c>
    </row>
    <row r="35">
      <c r="A35" s="7" t="inlineStr">
        <is>
          <t>C17 GEG Arus Kas Langsung</t>
        </is>
      </c>
      <c r="B35" s="8" t="inlineStr">
        <is>
          <t>Arus kas metode langsung: kas operasi, debt service, CADS, capex, DSCR – aktual otomatis vs budget</t>
        </is>
      </c>
    </row>
    <row r="36">
      <c r="A36" s="7" t="inlineStr">
        <is>
          <t>C18 GEG Cost per BCM dan MT</t>
        </is>
      </c>
      <c r="B36" s="8" t="inlineStr">
        <is>
          <t>Analisa COST PER BCM (OB) &amp; COST PER MT batubara terjual: MoM, vs budget, YTD, jembatan efek tarif vs efek SR, tren bulanan + grafik</t>
        </is>
      </c>
    </row>
    <row r="37">
      <c r="A37" s="6" t="inlineStr">
        <is>
          <t>REVISI MENGACU MIS AAT (Dec-23): ALUR DATA GL → MIS, COVENANT, BRIDGE &amp; KONTROL</t>
        </is>
      </c>
    </row>
    <row r="38">
      <c r="A38" s="7" t="inlineStr">
        <is>
          <t>C19 GEG GL Trial Balance</t>
        </is>
      </c>
      <c r="B38" s="8" t="inlineStr">
        <is>
          <t>INPUT UTAMA KEUANGAN: tempel trial balance GL per akun (aktual &amp; budget) + Tag MIS; C4/C5 terisi otomatis via SUMIFS, dengan kontrol akun belum dimapping</t>
        </is>
      </c>
    </row>
    <row r="39">
      <c r="A39" s="7" t="inlineStr">
        <is>
          <t>C20 GEG Covenant Bank</t>
        </is>
      </c>
      <c r="B39" s="8" t="inlineStr">
        <is>
          <t>Kepatuhan covenant bank bulanan: adjusted current ratio, debt to tangible net worth, DSCR, ICR, net debt/EBITDA → MEET / NOT MEET</t>
        </is>
      </c>
    </row>
    <row r="40">
      <c r="A40" s="7" t="inlineStr">
        <is>
          <t>C21 GEG Bridge EBITDA</t>
        </is>
      </c>
      <c r="B40" s="8" t="inlineStr">
        <is>
          <t>Bridge EBITDA budget → aktual (bulan ini &amp; YTD): efek volume, harga, kurs, tiap kelompok biaya + grafik kontribusi</t>
        </is>
      </c>
    </row>
    <row r="41">
      <c r="A41" s="7" t="inlineStr">
        <is>
          <t>C22 GEG Kontrol Data</t>
        </is>
      </c>
      <c r="B41" s="8" t="inlineStr">
        <is>
          <t>Checklist kontrol &amp; rekonsiliasi seluruh workbook → status SIAP KIRIM / BELUM SIAP</t>
        </is>
      </c>
    </row>
    <row r="43">
      <c r="A43" s="4" t="inlineStr">
        <is>
          <t>KODE WARNA</t>
        </is>
      </c>
      <c r="B43" s="5" t="n"/>
      <c r="C43" s="5" t="n"/>
    </row>
    <row r="44">
      <c r="A44" s="9" t="inlineStr">
        <is>
          <t>1.234</t>
        </is>
      </c>
      <c r="B44" s="10" t="inlineStr">
        <is>
          <t>Teks biru / sel kuning muda = input (hardcode) – ganti dengan data Anda</t>
        </is>
      </c>
    </row>
    <row r="45">
      <c r="A45" s="11" t="inlineStr">
        <is>
          <t>1.234</t>
        </is>
      </c>
      <c r="B45" s="10" t="inlineStr">
        <is>
          <t>Teks hitam = rumus</t>
        </is>
      </c>
    </row>
    <row r="46">
      <c r="A46" s="12" t="inlineStr">
        <is>
          <t>1.234</t>
        </is>
      </c>
      <c r="B46" s="10" t="inlineStr">
        <is>
          <t>Teks hijau = tautan antar-sheet</t>
        </is>
      </c>
    </row>
    <row r="47">
      <c r="A47" s="13" t="inlineStr">
        <is>
          <t>1.234</t>
        </is>
      </c>
      <c r="B47" s="10" t="inlineStr">
        <is>
          <t>Sel kuning terang = parameter kunci / selector</t>
        </is>
      </c>
    </row>
    <row r="49">
      <c r="A49" s="4" t="inlineStr">
        <is>
          <t>CATATAN PENTING</t>
        </is>
      </c>
      <c r="B49" s="5" t="n"/>
      <c r="C49" s="5" t="n"/>
    </row>
    <row r="50">
      <c r="A50" s="14" t="inlineStr">
        <is>
          <t>•</t>
        </is>
      </c>
      <c r="B50" s="15" t="inlineStr">
        <is>
          <t>Bagian A &amp; B memakai perusahaan FIKTIF "PT Batubara Contoh Tbk" dengan format penyajian yang lazim di emiten batubara BEI. Angka ilustratif, BUKAN data emiten mana pun.</t>
        </is>
      </c>
    </row>
    <row r="51">
      <c r="A51" s="14" t="inlineStr">
        <is>
          <t>•</t>
        </is>
      </c>
      <c r="B51" s="15" t="inlineStr">
        <is>
          <t>Laporan keuangan asli emiten (PTBA, ITMG, AADI, BUMI, BYAN, dll.) dapat diunduh di www.idx.co.id untuk pembanding angka riil.</t>
        </is>
      </c>
    </row>
    <row r="52">
      <c r="A52" s="14" t="inlineStr">
        <is>
          <t>•</t>
        </is>
      </c>
      <c r="B52" s="15" t="inlineStr">
        <is>
          <t>Bagian C terisi DATA CONTOH (Jan–Agu 2026) agar semua rumus terlihat bekerja. Ganti seluruh sel input dengan data GEG.</t>
        </is>
      </c>
    </row>
    <row r="53">
      <c r="A53" s="14" t="inlineStr">
        <is>
          <t>•</t>
        </is>
      </c>
      <c r="B53" s="15" t="inlineStr">
        <is>
          <t>Satuan uang: Rp juta. Harga &amp; tarif: USD. Volume: ton / bcm. Kurs dipakai untuk konversi per unit.</t>
        </is>
      </c>
    </row>
    <row r="54">
      <c r="A54" s="14" t="inlineStr">
        <is>
          <t>•</t>
        </is>
      </c>
      <c r="B54" s="15" t="inlineStr">
        <is>
          <t>Semua angka di laporan, COP dan KPI adalah rumus – bila input diubah, seluruh laporan ikut terhitung ulang.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7" r:id="rId10"/>
    <hyperlink xmlns:r="http://schemas.openxmlformats.org/officeDocument/2006/relationships" ref="A18" r:id="rId11"/>
    <hyperlink xmlns:r="http://schemas.openxmlformats.org/officeDocument/2006/relationships" ref="A19" r:id="rId12"/>
    <hyperlink xmlns:r="http://schemas.openxmlformats.org/officeDocument/2006/relationships" ref="A20" r:id="rId13"/>
    <hyperlink xmlns:r="http://schemas.openxmlformats.org/officeDocument/2006/relationships" ref="A21" r:id="rId14"/>
    <hyperlink xmlns:r="http://schemas.openxmlformats.org/officeDocument/2006/relationships" ref="A22" r:id="rId15"/>
    <hyperlink xmlns:r="http://schemas.openxmlformats.org/officeDocument/2006/relationships" ref="A23" r:id="rId16"/>
    <hyperlink xmlns:r="http://schemas.openxmlformats.org/officeDocument/2006/relationships" ref="A24" r:id="rId17"/>
    <hyperlink xmlns:r="http://schemas.openxmlformats.org/officeDocument/2006/relationships" ref="A25" r:id="rId18"/>
    <hyperlink xmlns:r="http://schemas.openxmlformats.org/officeDocument/2006/relationships" ref="A26" r:id="rId19"/>
    <hyperlink xmlns:r="http://schemas.openxmlformats.org/officeDocument/2006/relationships" ref="A27" r:id="rId20"/>
    <hyperlink xmlns:r="http://schemas.openxmlformats.org/officeDocument/2006/relationships" ref="A28" r:id="rId21"/>
    <hyperlink xmlns:r="http://schemas.openxmlformats.org/officeDocument/2006/relationships" ref="A29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8" r:id="rId29"/>
    <hyperlink xmlns:r="http://schemas.openxmlformats.org/officeDocument/2006/relationships" ref="A39" r:id="rId30"/>
    <hyperlink xmlns:r="http://schemas.openxmlformats.org/officeDocument/2006/relationships" ref="A40" r:id="rId31"/>
    <hyperlink xmlns:r="http://schemas.openxmlformats.org/officeDocument/2006/relationships" ref="A41" r:id="rId32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E10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8" customWidth="1" min="2" max="2"/>
    <col width="15" customWidth="1" min="3" max="3"/>
    <col width="15" customWidth="1" min="4" max="4"/>
    <col width="62" customWidth="1" min="5" max="5"/>
  </cols>
  <sheetData>
    <row r="1">
      <c r="A1" s="1" t="inlineStr">
        <is>
          <t>PT Batubara Contoh Tbk (fiktif) – Asumsi &amp; Pemicu (Driver) Operasional</t>
        </is>
      </c>
      <c r="B1" s="2" t="n"/>
      <c r="C1" s="2" t="n"/>
      <c r="D1" s="2" t="n"/>
      <c r="E1" s="2" t="n"/>
    </row>
    <row r="2">
      <c r="A2" s="3" t="inlineStr">
        <is>
          <t>Lembar input model contoh. Teks biru/sel kuning = input; hitam = rumus; hijau = tautan antar-sheet. Satuan uang: Rp juta.</t>
        </is>
      </c>
    </row>
    <row r="5">
      <c r="A5" s="16" t="inlineStr">
        <is>
          <t>Parameter</t>
        </is>
      </c>
      <c r="B5" s="16" t="inlineStr">
        <is>
          <t>Satuan</t>
        </is>
      </c>
      <c r="C5" s="16" t="inlineStr">
        <is>
          <t>FY2024</t>
        </is>
      </c>
      <c r="D5" s="16" t="inlineStr">
        <is>
          <t>FY2025</t>
        </is>
      </c>
      <c r="E5" s="16" t="inlineStr">
        <is>
          <t>Keterangan / sumber</t>
        </is>
      </c>
    </row>
    <row r="6">
      <c r="A6" s="4" t="inlineStr">
        <is>
          <t>1. MAKRO &amp; HARGA</t>
        </is>
      </c>
      <c r="B6" s="5" t="n"/>
      <c r="C6" s="5" t="n"/>
      <c r="D6" s="5" t="n"/>
      <c r="E6" s="5" t="n"/>
    </row>
    <row r="7">
      <c r="A7" s="10" t="inlineStr">
        <is>
          <t xml:space="preserve">   Kurs rata-rata</t>
        </is>
      </c>
      <c r="B7" s="3" t="inlineStr">
        <is>
          <t>Rp/USD</t>
        </is>
      </c>
      <c r="C7" s="17" t="n">
        <v>15850</v>
      </c>
      <c r="D7" s="17" t="n">
        <v>16250</v>
      </c>
      <c r="E7" s="3" t="inlineStr">
        <is>
          <t>Asumsi ilustratif, mendekati rata-rata JISDOR tahun berjalan</t>
        </is>
      </c>
    </row>
    <row r="8">
      <c r="A8" s="10" t="inlineStr">
        <is>
          <t xml:space="preserve">   Harga indeks acuan setara CV produk (HBA/ICI)</t>
        </is>
      </c>
      <c r="B8" s="3" t="inlineStr">
        <is>
          <t>USD/t</t>
        </is>
      </c>
      <c r="C8" s="18" t="n">
        <v>72</v>
      </c>
      <c r="D8" s="18" t="n">
        <v>64</v>
      </c>
      <c r="E8" s="3" t="inlineStr">
        <is>
          <t>Ilustratif; gunakan HBA (Kepmen ESDM) / ICI sesuai CV</t>
        </is>
      </c>
    </row>
    <row r="9">
      <c r="A9" s="10" t="inlineStr">
        <is>
          <t xml:space="preserve">   ASP – Ekspor (FOB/CIF)</t>
        </is>
      </c>
      <c r="B9" s="3" t="inlineStr">
        <is>
          <t>USD/t</t>
        </is>
      </c>
      <c r="C9" s="18" t="n">
        <v>70</v>
      </c>
      <c r="D9" s="18" t="n">
        <v>62</v>
      </c>
      <c r="E9" s="3" t="inlineStr">
        <is>
          <t>Harga realisasi rata-rata tertimbang</t>
        </is>
      </c>
    </row>
    <row r="10">
      <c r="A10" s="10" t="inlineStr">
        <is>
          <t xml:space="preserve">   ASP – Domestik DMO (kelistrikan/PLN)</t>
        </is>
      </c>
      <c r="B10" s="3" t="inlineStr">
        <is>
          <t>USD/t</t>
        </is>
      </c>
      <c r="C10" s="18" t="n">
        <v>50</v>
      </c>
      <c r="D10" s="18" t="n">
        <v>50</v>
      </c>
      <c r="E10" s="3" t="inlineStr">
        <is>
          <t>Harga DMO dibatasi (cap USD 70/t @6.322 GAR), disesuaikan CV</t>
        </is>
      </c>
    </row>
    <row r="11">
      <c r="A11" s="10" t="inlineStr">
        <is>
          <t xml:space="preserve">   ASP – Domestik non-DMO (industri)</t>
        </is>
      </c>
      <c r="B11" s="3" t="inlineStr">
        <is>
          <t>USD/t</t>
        </is>
      </c>
      <c r="C11" s="18" t="n">
        <v>65</v>
      </c>
      <c r="D11" s="18" t="n">
        <v>58</v>
      </c>
    </row>
    <row r="12">
      <c r="A12" s="10" t="inlineStr">
        <is>
          <t xml:space="preserve">   Nilai kalori rata-rata produk</t>
        </is>
      </c>
      <c r="B12" s="3" t="inlineStr">
        <is>
          <t>kcal/kg GAR</t>
        </is>
      </c>
      <c r="C12" s="17" t="n">
        <v>4600</v>
      </c>
      <c r="D12" s="17" t="n">
        <v>4600</v>
      </c>
    </row>
    <row r="13">
      <c r="A13" s="4" t="inlineStr">
        <is>
          <t>2. VOLUME OPERASI</t>
        </is>
      </c>
      <c r="B13" s="5" t="n"/>
      <c r="C13" s="5" t="n"/>
      <c r="D13" s="5" t="n"/>
      <c r="E13" s="5" t="n"/>
    </row>
    <row r="14">
      <c r="A14" s="10" t="inlineStr">
        <is>
          <t xml:space="preserve">   Produksi batubara (ROM)</t>
        </is>
      </c>
      <c r="B14" s="3" t="inlineStr">
        <is>
          <t>ton</t>
        </is>
      </c>
      <c r="C14" s="17" t="n">
        <v>10800000</v>
      </c>
      <c r="D14" s="17" t="n">
        <v>11800000</v>
      </c>
    </row>
    <row r="15">
      <c r="A15" s="10" t="inlineStr">
        <is>
          <t xml:space="preserve">   Stripping ratio (SR)</t>
        </is>
      </c>
      <c r="B15" s="3" t="inlineStr">
        <is>
          <t>bcm/ton</t>
        </is>
      </c>
      <c r="C15" s="18" t="n">
        <v>7.8</v>
      </c>
      <c r="D15" s="18" t="n">
        <v>7.4</v>
      </c>
      <c r="E15" s="3" t="inlineStr">
        <is>
          <t>Sesuai rencana tambang (RKAB)</t>
        </is>
      </c>
    </row>
    <row r="16">
      <c r="A16" s="10" t="inlineStr">
        <is>
          <t xml:space="preserve">   Pengupasan tanah penutup (OB removal)</t>
        </is>
      </c>
      <c r="B16" s="3" t="inlineStr">
        <is>
          <t>bcm</t>
        </is>
      </c>
      <c r="C16" s="19">
        <f>C14*C15</f>
        <v/>
      </c>
      <c r="D16" s="19">
        <f>D14*D15</f>
        <v/>
      </c>
    </row>
    <row r="17">
      <c r="A17" s="10" t="inlineStr">
        <is>
          <t xml:space="preserve">   Jarak hauling tambang – pelabuhan</t>
        </is>
      </c>
      <c r="B17" s="3" t="inlineStr">
        <is>
          <t>km</t>
        </is>
      </c>
      <c r="C17" s="17" t="n">
        <v>42</v>
      </c>
      <c r="D17" s="17" t="n">
        <v>42</v>
      </c>
    </row>
    <row r="18">
      <c r="A18" s="10" t="inlineStr">
        <is>
          <t xml:space="preserve">   Penjualan – Ekspor</t>
        </is>
      </c>
      <c r="B18" s="3" t="inlineStr">
        <is>
          <t>ton</t>
        </is>
      </c>
      <c r="C18" s="17" t="n">
        <v>6900000</v>
      </c>
      <c r="D18" s="17" t="n">
        <v>7600000</v>
      </c>
    </row>
    <row r="19">
      <c r="A19" s="10" t="inlineStr">
        <is>
          <t xml:space="preserve">   Penjualan – Domestik DMO</t>
        </is>
      </c>
      <c r="B19" s="3" t="inlineStr">
        <is>
          <t>ton</t>
        </is>
      </c>
      <c r="C19" s="17" t="n">
        <v>2700000</v>
      </c>
      <c r="D19" s="17" t="n">
        <v>2900000</v>
      </c>
    </row>
    <row r="20">
      <c r="A20" s="10" t="inlineStr">
        <is>
          <t xml:space="preserve">   Penjualan – Domestik non-DMO</t>
        </is>
      </c>
      <c r="B20" s="3" t="inlineStr">
        <is>
          <t>ton</t>
        </is>
      </c>
      <c r="C20" s="17" t="n">
        <v>1100000</v>
      </c>
      <c r="D20" s="17" t="n">
        <v>1150000</v>
      </c>
    </row>
    <row r="21">
      <c r="A21" s="20" t="inlineStr">
        <is>
          <t xml:space="preserve">   Total penjualan</t>
        </is>
      </c>
      <c r="B21" s="21" t="inlineStr">
        <is>
          <t>ton</t>
        </is>
      </c>
      <c r="C21" s="22">
        <f>SUM(C18:C20)</f>
        <v/>
      </c>
      <c r="D21" s="22">
        <f>SUM(D18:D20)</f>
        <v/>
      </c>
      <c r="E21" s="23" t="n"/>
    </row>
    <row r="22">
      <c r="A22" s="10" t="inlineStr">
        <is>
          <t xml:space="preserve">   Porsi DMO terhadap total penjualan</t>
        </is>
      </c>
      <c r="B22" s="3" t="inlineStr">
        <is>
          <t>%</t>
        </is>
      </c>
      <c r="C22" s="24">
        <f>IFERROR(C19/C21,0)</f>
        <v/>
      </c>
      <c r="D22" s="24">
        <f>IFERROR(D19/D21,0)</f>
        <v/>
      </c>
      <c r="E22" s="3" t="inlineStr">
        <is>
          <t>Kewajiban DMO minimal 25% (Kepmen ESDM)</t>
        </is>
      </c>
    </row>
    <row r="23">
      <c r="A23" s="10" t="inlineStr">
        <is>
          <t xml:space="preserve">   Stok batubara awal tahun</t>
        </is>
      </c>
      <c r="B23" s="3" t="inlineStr">
        <is>
          <t>ton</t>
        </is>
      </c>
      <c r="C23" s="17" t="n">
        <v>450000</v>
      </c>
      <c r="D23" s="19">
        <f>C24</f>
        <v/>
      </c>
      <c r="E23" s="3" t="inlineStr">
        <is>
          <t>2025 = stok akhir 2024</t>
        </is>
      </c>
    </row>
    <row r="24">
      <c r="A24" s="10" t="inlineStr">
        <is>
          <t xml:space="preserve">   Stok batubara akhir tahun</t>
        </is>
      </c>
      <c r="B24" s="3" t="inlineStr">
        <is>
          <t>ton</t>
        </is>
      </c>
      <c r="C24" s="19">
        <f>C23+C14-C21</f>
        <v/>
      </c>
      <c r="D24" s="19">
        <f>D23+D14-D21</f>
        <v/>
      </c>
    </row>
    <row r="25">
      <c r="A25" s="10" t="inlineStr">
        <is>
          <t xml:space="preserve">   Jumlah karyawan organik</t>
        </is>
      </c>
      <c r="B25" s="3" t="inlineStr">
        <is>
          <t>orang</t>
        </is>
      </c>
      <c r="C25" s="17" t="n">
        <v>1150</v>
      </c>
      <c r="D25" s="17" t="n">
        <v>1180</v>
      </c>
    </row>
    <row r="26">
      <c r="A26" s="4" t="inlineStr">
        <is>
          <t>3. TARIF BIAYA TAMBANG &amp; LOGISTIK</t>
        </is>
      </c>
      <c r="B26" s="5" t="n"/>
      <c r="C26" s="5" t="n"/>
      <c r="D26" s="5" t="n"/>
      <c r="E26" s="5" t="n"/>
    </row>
    <row r="27">
      <c r="A27" s="10" t="inlineStr">
        <is>
          <t xml:space="preserve">   Tarif kontraktor OB (excl. BBM)</t>
        </is>
      </c>
      <c r="B27" s="3" t="inlineStr">
        <is>
          <t>USD/bcm</t>
        </is>
      </c>
      <c r="C27" s="18" t="n">
        <v>1.85</v>
      </c>
      <c r="D27" s="18" t="n">
        <v>1.8</v>
      </c>
      <c r="E27" s="3" t="inlineStr">
        <is>
          <t>BBM disuplai pemilik (owner-supplied fuel)</t>
        </is>
      </c>
    </row>
    <row r="28">
      <c r="A28" s="10" t="inlineStr">
        <is>
          <t xml:space="preserve">   Tarif coal getting</t>
        </is>
      </c>
      <c r="B28" s="3" t="inlineStr">
        <is>
          <t>USD/ton</t>
        </is>
      </c>
      <c r="C28" s="18" t="n">
        <v>0.95</v>
      </c>
      <c r="D28" s="18" t="n">
        <v>0.95</v>
      </c>
    </row>
    <row r="29">
      <c r="A29" s="10" t="inlineStr">
        <is>
          <t xml:space="preserve">   Rasio BBM (fuel ratio)</t>
        </is>
      </c>
      <c r="B29" s="3" t="inlineStr">
        <is>
          <t>liter/bcm</t>
        </is>
      </c>
      <c r="C29" s="18" t="n">
        <v>0.95</v>
      </c>
      <c r="D29" s="18" t="n">
        <v>0.9</v>
      </c>
    </row>
    <row r="30">
      <c r="A30" s="10" t="inlineStr">
        <is>
          <t xml:space="preserve">   Harga BBM solar industri</t>
        </is>
      </c>
      <c r="B30" s="3" t="inlineStr">
        <is>
          <t>Rp/liter</t>
        </is>
      </c>
      <c r="C30" s="17" t="n">
        <v>13500</v>
      </c>
      <c r="D30" s="17" t="n">
        <v>13000</v>
      </c>
    </row>
    <row r="31">
      <c r="A31" s="10" t="inlineStr">
        <is>
          <t xml:space="preserve">   Porsi OB yang diledakkan</t>
        </is>
      </c>
      <c r="B31" s="3" t="inlineStr">
        <is>
          <t>%</t>
        </is>
      </c>
      <c r="C31" s="25" t="n">
        <v>0.4</v>
      </c>
      <c r="D31" s="25" t="n">
        <v>0.4</v>
      </c>
    </row>
    <row r="32">
      <c r="A32" s="10" t="inlineStr">
        <is>
          <t xml:space="preserve">   Tarif drill &amp; blast</t>
        </is>
      </c>
      <c r="B32" s="3" t="inlineStr">
        <is>
          <t>USD/bcm</t>
        </is>
      </c>
      <c r="C32" s="18" t="n">
        <v>0.45</v>
      </c>
      <c r="D32" s="18" t="n">
        <v>0.45</v>
      </c>
    </row>
    <row r="33">
      <c r="A33" s="10" t="inlineStr">
        <is>
          <t xml:space="preserve">   Tarif crushing &amp; pengolahan (CPP)</t>
        </is>
      </c>
      <c r="B33" s="3" t="inlineStr">
        <is>
          <t>USD/ton</t>
        </is>
      </c>
      <c r="C33" s="18" t="n">
        <v>0.85</v>
      </c>
      <c r="D33" s="18" t="n">
        <v>0.82</v>
      </c>
    </row>
    <row r="34">
      <c r="A34" s="10" t="inlineStr">
        <is>
          <t xml:space="preserve">   Tarif hauling</t>
        </is>
      </c>
      <c r="B34" s="3" t="inlineStr">
        <is>
          <t>USD/ton-km</t>
        </is>
      </c>
      <c r="C34" s="26" t="n">
        <v>0.105</v>
      </c>
      <c r="D34" s="26" t="n">
        <v>0.1</v>
      </c>
    </row>
    <row r="35">
      <c r="A35" s="10" t="inlineStr">
        <is>
          <t xml:space="preserve">   Tarif pelabuhan &amp; stockpile</t>
        </is>
      </c>
      <c r="B35" s="3" t="inlineStr">
        <is>
          <t>USD/ton</t>
        </is>
      </c>
      <c r="C35" s="18" t="n">
        <v>1.25</v>
      </c>
      <c r="D35" s="18" t="n">
        <v>1.2</v>
      </c>
      <c r="E35" s="3" t="inlineStr">
        <is>
          <t>Basis ton penjualan</t>
        </is>
      </c>
    </row>
    <row r="36">
      <c r="A36" s="10" t="inlineStr">
        <is>
          <t xml:space="preserve">   Tarif tongkang &amp; transshipment</t>
        </is>
      </c>
      <c r="B36" s="3" t="inlineStr">
        <is>
          <t>USD/ton</t>
        </is>
      </c>
      <c r="C36" s="18" t="n">
        <v>4.1</v>
      </c>
      <c r="D36" s="18" t="n">
        <v>3.95</v>
      </c>
      <c r="E36" s="3" t="inlineStr">
        <is>
          <t>Basis ton penjualan</t>
        </is>
      </c>
    </row>
    <row r="37">
      <c r="A37" s="10" t="inlineStr">
        <is>
          <t xml:space="preserve">   Tarif royalti efektif (PNBP)</t>
        </is>
      </c>
      <c r="B37" s="3" t="inlineStr">
        <is>
          <t>% pendapatan</t>
        </is>
      </c>
      <c r="C37" s="25" t="n">
        <v>0.07000000000000001</v>
      </c>
      <c r="D37" s="25" t="n">
        <v>0.065</v>
      </c>
      <c r="E37" s="3" t="inlineStr">
        <is>
          <t>IUP: bertingkat per CV &amp; HBA (PP 26/2022); IUPK: PP 15/2022</t>
        </is>
      </c>
    </row>
    <row r="38">
      <c r="A38" s="10" t="inlineStr">
        <is>
          <t xml:space="preserve">   Penyesuaian harga / penalti kualitas</t>
        </is>
      </c>
      <c r="B38" s="3" t="inlineStr">
        <is>
          <t>% pendapatan</t>
        </is>
      </c>
      <c r="C38" s="27" t="n">
        <v>0.006</v>
      </c>
      <c r="D38" s="27" t="n">
        <v>0.005</v>
      </c>
      <c r="E38" s="3" t="inlineStr">
        <is>
          <t>Penalti CV, TM, ash, sulfur</t>
        </is>
      </c>
    </row>
    <row r="39">
      <c r="A39" s="4" t="inlineStr">
        <is>
          <t>4. BIAYA TETAP TAMBANG &amp; OVERHEAD SITE (Rp juta)</t>
        </is>
      </c>
      <c r="B39" s="5" t="n"/>
      <c r="C39" s="5" t="n"/>
      <c r="D39" s="5" t="n"/>
      <c r="E39" s="5" t="n"/>
    </row>
    <row r="40">
      <c r="A40" s="10" t="inlineStr">
        <is>
          <t xml:space="preserve">   Sewa alat berat &amp; sarana penunjang</t>
        </is>
      </c>
      <c r="B40" s="3" t="inlineStr">
        <is>
          <t>Rp juta</t>
        </is>
      </c>
      <c r="C40" s="17" t="n">
        <v>120000</v>
      </c>
      <c r="D40" s="17" t="n">
        <v>115000</v>
      </c>
    </row>
    <row r="41">
      <c r="A41" s="10" t="inlineStr">
        <is>
          <t xml:space="preserve">   Pemeliharaan jalan tambang &amp; infrastruktur</t>
        </is>
      </c>
      <c r="B41" s="3" t="inlineStr">
        <is>
          <t>Rp juta</t>
        </is>
      </c>
      <c r="C41" s="17" t="n">
        <v>65000</v>
      </c>
      <c r="D41" s="17" t="n">
        <v>68000</v>
      </c>
    </row>
    <row r="42">
      <c r="A42" s="10" t="inlineStr">
        <is>
          <t xml:space="preserve">   Pengelolaan air tambang (dewatering)</t>
        </is>
      </c>
      <c r="B42" s="3" t="inlineStr">
        <is>
          <t>Rp juta</t>
        </is>
      </c>
      <c r="C42" s="17" t="n">
        <v>48000</v>
      </c>
      <c r="D42" s="17" t="n">
        <v>52000</v>
      </c>
    </row>
    <row r="43">
      <c r="A43" s="10" t="inlineStr">
        <is>
          <t xml:space="preserve">   Survei, geologi &amp; grade control</t>
        </is>
      </c>
      <c r="B43" s="3" t="inlineStr">
        <is>
          <t>Rp juta</t>
        </is>
      </c>
      <c r="C43" s="17" t="n">
        <v>18000</v>
      </c>
      <c r="D43" s="17" t="n">
        <v>19000</v>
      </c>
    </row>
    <row r="44">
      <c r="A44" s="10" t="inlineStr">
        <is>
          <t xml:space="preserve">   Gaji &amp; tunjangan karyawan site</t>
        </is>
      </c>
      <c r="B44" s="3" t="inlineStr">
        <is>
          <t>Rp juta</t>
        </is>
      </c>
      <c r="C44" s="17" t="n">
        <v>210000</v>
      </c>
      <c r="D44" s="17" t="n">
        <v>225000</v>
      </c>
    </row>
    <row r="45">
      <c r="A45" s="10" t="inlineStr">
        <is>
          <t xml:space="preserve">   Camp, mess &amp; katering</t>
        </is>
      </c>
      <c r="B45" s="3" t="inlineStr">
        <is>
          <t>Rp juta</t>
        </is>
      </c>
      <c r="C45" s="17" t="n">
        <v>55000</v>
      </c>
      <c r="D45" s="17" t="n">
        <v>58000</v>
      </c>
    </row>
    <row r="46">
      <c r="A46" s="10" t="inlineStr">
        <is>
          <t xml:space="preserve">   K3 / HSE</t>
        </is>
      </c>
      <c r="B46" s="3" t="inlineStr">
        <is>
          <t>Rp juta</t>
        </is>
      </c>
      <c r="C46" s="17" t="n">
        <v>22000</v>
      </c>
      <c r="D46" s="17" t="n">
        <v>24000</v>
      </c>
    </row>
    <row r="47">
      <c r="A47" s="10" t="inlineStr">
        <is>
          <t xml:space="preserve">   Lingkungan &amp; reklamasi (provisi)</t>
        </is>
      </c>
      <c r="B47" s="3" t="inlineStr">
        <is>
          <t>Rp juta</t>
        </is>
      </c>
      <c r="C47" s="17" t="n">
        <v>60000</v>
      </c>
      <c r="D47" s="17" t="n">
        <v>66000</v>
      </c>
    </row>
    <row r="48">
      <c r="A48" s="10" t="inlineStr">
        <is>
          <t xml:space="preserve">   PPM / CSR</t>
        </is>
      </c>
      <c r="B48" s="3" t="inlineStr">
        <is>
          <t>Rp juta</t>
        </is>
      </c>
      <c r="C48" s="17" t="n">
        <v>30000</v>
      </c>
      <c r="D48" s="17" t="n">
        <v>33000</v>
      </c>
    </row>
    <row r="49">
      <c r="A49" s="10" t="inlineStr">
        <is>
          <t xml:space="preserve">   Iuran tetap &amp; kompensasi lahan</t>
        </is>
      </c>
      <c r="B49" s="3" t="inlineStr">
        <is>
          <t>Rp juta</t>
        </is>
      </c>
      <c r="C49" s="17" t="n">
        <v>25000</v>
      </c>
      <c r="D49" s="17" t="n">
        <v>27000</v>
      </c>
    </row>
    <row r="50">
      <c r="A50" s="4" t="inlineStr">
        <is>
          <t>5. PENYUSUTAN &amp; AMORTISASI (Rp juta)</t>
        </is>
      </c>
      <c r="B50" s="5" t="n"/>
      <c r="C50" s="5" t="n"/>
      <c r="D50" s="5" t="n"/>
      <c r="E50" s="5" t="n"/>
    </row>
    <row r="51">
      <c r="A51" s="10" t="inlineStr">
        <is>
          <t xml:space="preserve">   Penyusutan aset tetap (produksi)</t>
        </is>
      </c>
      <c r="B51" s="3" t="inlineStr">
        <is>
          <t>Rp juta</t>
        </is>
      </c>
      <c r="C51" s="17" t="n">
        <v>310000</v>
      </c>
      <c r="D51" s="17" t="n">
        <v>335000</v>
      </c>
    </row>
    <row r="52">
      <c r="A52" s="10" t="inlineStr">
        <is>
          <t xml:space="preserve">   Amortisasi properti pertambangan</t>
        </is>
      </c>
      <c r="B52" s="3" t="inlineStr">
        <is>
          <t>Rp juta</t>
        </is>
      </c>
      <c r="C52" s="17" t="n">
        <v>140000</v>
      </c>
      <c r="D52" s="17" t="n">
        <v>150000</v>
      </c>
    </row>
    <row r="53">
      <c r="A53" s="10" t="inlineStr">
        <is>
          <t xml:space="preserve">   Amortisasi biaya pengupasan tangguhan</t>
        </is>
      </c>
      <c r="B53" s="3" t="inlineStr">
        <is>
          <t>Rp juta</t>
        </is>
      </c>
      <c r="C53" s="17" t="n">
        <v>90000</v>
      </c>
      <c r="D53" s="17" t="n">
        <v>95000</v>
      </c>
    </row>
    <row r="54">
      <c r="A54" s="10" t="inlineStr">
        <is>
          <t xml:space="preserve">   Penyusutan aset kantor (G&amp;A)</t>
        </is>
      </c>
      <c r="B54" s="3" t="inlineStr">
        <is>
          <t>Rp juta</t>
        </is>
      </c>
      <c r="C54" s="17" t="n">
        <v>12000</v>
      </c>
      <c r="D54" s="17" t="n">
        <v>12500</v>
      </c>
    </row>
    <row r="55">
      <c r="A55" s="4" t="inlineStr">
        <is>
          <t>6. BEBAN PENJUALAN</t>
        </is>
      </c>
      <c r="B55" s="5" t="n"/>
      <c r="C55" s="5" t="n"/>
      <c r="D55" s="5" t="n"/>
      <c r="E55" s="5" t="n"/>
    </row>
    <row r="56">
      <c r="A56" s="10" t="inlineStr">
        <is>
          <t xml:space="preserve">   Porsi ekspor dijual CIF</t>
        </is>
      </c>
      <c r="B56" s="3" t="inlineStr">
        <is>
          <t>%</t>
        </is>
      </c>
      <c r="C56" s="25" t="n">
        <v>0.2</v>
      </c>
      <c r="D56" s="25" t="n">
        <v>0.15</v>
      </c>
    </row>
    <row r="57">
      <c r="A57" s="10" t="inlineStr">
        <is>
          <t xml:space="preserve">   Tarif pengapalan laut (CIF)</t>
        </is>
      </c>
      <c r="B57" s="3" t="inlineStr">
        <is>
          <t>USD/ton</t>
        </is>
      </c>
      <c r="C57" s="18" t="n">
        <v>13</v>
      </c>
      <c r="D57" s="18" t="n">
        <v>11.5</v>
      </c>
    </row>
    <row r="58">
      <c r="A58" s="10" t="inlineStr">
        <is>
          <t xml:space="preserve">   Komisi agen penjualan ekspor</t>
        </is>
      </c>
      <c r="B58" s="3" t="inlineStr">
        <is>
          <t>% pendapatan ekspor</t>
        </is>
      </c>
      <c r="C58" s="25" t="n">
        <v>0.01</v>
      </c>
      <c r="D58" s="25" t="n">
        <v>0.01</v>
      </c>
    </row>
    <row r="59">
      <c r="A59" s="10" t="inlineStr">
        <is>
          <t xml:space="preserve">   Surveyor independen &amp; analisa kualitas</t>
        </is>
      </c>
      <c r="B59" s="3" t="inlineStr">
        <is>
          <t>USD/ton</t>
        </is>
      </c>
      <c r="C59" s="18" t="n">
        <v>0.18</v>
      </c>
      <c r="D59" s="18" t="n">
        <v>0.18</v>
      </c>
    </row>
    <row r="60">
      <c r="A60" s="10" t="inlineStr">
        <is>
          <t xml:space="preserve">   Demurrage</t>
        </is>
      </c>
      <c r="B60" s="3" t="inlineStr">
        <is>
          <t>Rp juta</t>
        </is>
      </c>
      <c r="C60" s="17" t="n">
        <v>38000</v>
      </c>
      <c r="D60" s="17" t="n">
        <v>29000</v>
      </c>
    </row>
    <row r="61">
      <c r="A61" s="10" t="inlineStr">
        <is>
          <t xml:space="preserve">   Dokumen ekspor &amp; pungutan</t>
        </is>
      </c>
      <c r="B61" s="3" t="inlineStr">
        <is>
          <t>Rp juta</t>
        </is>
      </c>
      <c r="C61" s="17" t="n">
        <v>14000</v>
      </c>
      <c r="D61" s="17" t="n">
        <v>15000</v>
      </c>
    </row>
    <row r="62">
      <c r="A62" s="10" t="inlineStr">
        <is>
          <t xml:space="preserve">   Pemasaran &amp; promosi</t>
        </is>
      </c>
      <c r="B62" s="3" t="inlineStr">
        <is>
          <t>Rp juta</t>
        </is>
      </c>
      <c r="C62" s="17" t="n">
        <v>6000</v>
      </c>
      <c r="D62" s="17" t="n">
        <v>6500</v>
      </c>
    </row>
    <row r="63">
      <c r="A63" s="4" t="inlineStr">
        <is>
          <t>7. BEBAN UMUM &amp; ADMINISTRASI (Rp juta)</t>
        </is>
      </c>
      <c r="B63" s="5" t="n"/>
      <c r="C63" s="5" t="n"/>
      <c r="D63" s="5" t="n"/>
      <c r="E63" s="5" t="n"/>
    </row>
    <row r="64">
      <c r="A64" s="10" t="inlineStr">
        <is>
          <t xml:space="preserve">   Gaji &amp; tunjangan kantor pusat</t>
        </is>
      </c>
      <c r="B64" s="3" t="inlineStr">
        <is>
          <t>Rp juta</t>
        </is>
      </c>
      <c r="C64" s="17" t="n">
        <v>185000</v>
      </c>
      <c r="D64" s="17" t="n">
        <v>198000</v>
      </c>
    </row>
    <row r="65">
      <c r="A65" s="10" t="inlineStr">
        <is>
          <t xml:space="preserve">   Jasa profesional (hukum, audit, konsultan)</t>
        </is>
      </c>
      <c r="B65" s="3" t="inlineStr">
        <is>
          <t>Rp juta</t>
        </is>
      </c>
      <c r="C65" s="17" t="n">
        <v>42000</v>
      </c>
      <c r="D65" s="17" t="n">
        <v>45000</v>
      </c>
    </row>
    <row r="66">
      <c r="A66" s="10" t="inlineStr">
        <is>
          <t xml:space="preserve">   Sewa kantor</t>
        </is>
      </c>
      <c r="B66" s="3" t="inlineStr">
        <is>
          <t>Rp juta</t>
        </is>
      </c>
      <c r="C66" s="17" t="n">
        <v>18000</v>
      </c>
      <c r="D66" s="17" t="n">
        <v>18500</v>
      </c>
    </row>
    <row r="67">
      <c r="A67" s="10" t="inlineStr">
        <is>
          <t xml:space="preserve">   Perjalanan dinas</t>
        </is>
      </c>
      <c r="B67" s="3" t="inlineStr">
        <is>
          <t>Rp juta</t>
        </is>
      </c>
      <c r="C67" s="17" t="n">
        <v>16000</v>
      </c>
      <c r="D67" s="17" t="n">
        <v>15000</v>
      </c>
    </row>
    <row r="68">
      <c r="A68" s="10" t="inlineStr">
        <is>
          <t xml:space="preserve">   Asuransi</t>
        </is>
      </c>
      <c r="B68" s="3" t="inlineStr">
        <is>
          <t>Rp juta</t>
        </is>
      </c>
      <c r="C68" s="17" t="n">
        <v>21000</v>
      </c>
      <c r="D68" s="17" t="n">
        <v>22000</v>
      </c>
    </row>
    <row r="69">
      <c r="A69" s="10" t="inlineStr">
        <is>
          <t xml:space="preserve">   Pajak, perizinan &amp; iuran</t>
        </is>
      </c>
      <c r="B69" s="3" t="inlineStr">
        <is>
          <t>Rp juta</t>
        </is>
      </c>
      <c r="C69" s="17" t="n">
        <v>12000</v>
      </c>
      <c r="D69" s="17" t="n">
        <v>13000</v>
      </c>
    </row>
    <row r="70">
      <c r="A70" s="10" t="inlineStr">
        <is>
          <t xml:space="preserve">   Teknologi informasi &amp; komunikasi</t>
        </is>
      </c>
      <c r="B70" s="3" t="inlineStr">
        <is>
          <t>Rp juta</t>
        </is>
      </c>
      <c r="C70" s="17" t="n">
        <v>15000</v>
      </c>
      <c r="D70" s="17" t="n">
        <v>17000</v>
      </c>
    </row>
    <row r="71">
      <c r="A71" s="10" t="inlineStr">
        <is>
          <t xml:space="preserve">   Beban umum lainnya</t>
        </is>
      </c>
      <c r="B71" s="3" t="inlineStr">
        <is>
          <t>Rp juta</t>
        </is>
      </c>
      <c r="C71" s="17" t="n">
        <v>20000</v>
      </c>
      <c r="D71" s="17" t="n">
        <v>19000</v>
      </c>
    </row>
    <row r="72">
      <c r="A72" s="4" t="inlineStr">
        <is>
          <t>8. PENDAPATAN JASA &amp; LAIN-LAIN</t>
        </is>
      </c>
      <c r="B72" s="5" t="n"/>
      <c r="C72" s="5" t="n"/>
      <c r="D72" s="5" t="n"/>
      <c r="E72" s="5" t="n"/>
    </row>
    <row r="73">
      <c r="A73" s="10" t="inlineStr">
        <is>
          <t xml:space="preserve">   Pendapatan jasa pelabuhan/hauling pihak ketiga</t>
        </is>
      </c>
      <c r="B73" s="3" t="inlineStr">
        <is>
          <t>Rp juta</t>
        </is>
      </c>
      <c r="C73" s="17" t="n">
        <v>85000</v>
      </c>
      <c r="D73" s="17" t="n">
        <v>92000</v>
      </c>
    </row>
    <row r="74">
      <c r="A74" s="10" t="inlineStr">
        <is>
          <t xml:space="preserve">   Bunga deposito (atas kas awal tahun)</t>
        </is>
      </c>
      <c r="B74" s="3" t="inlineStr">
        <is>
          <t>%</t>
        </is>
      </c>
      <c r="C74" s="27" t="n">
        <v>0.035</v>
      </c>
      <c r="D74" s="27" t="n">
        <v>0.0325</v>
      </c>
      <c r="E74" s="3" t="inlineStr">
        <is>
          <t>Dihitung atas saldo awal untuk hindari circular</t>
        </is>
      </c>
    </row>
    <row r="75">
      <c r="A75" s="10" t="inlineStr">
        <is>
          <t xml:space="preserve">   Laba (rugi) selisih kurs</t>
        </is>
      </c>
      <c r="B75" s="3" t="inlineStr">
        <is>
          <t>Rp juta</t>
        </is>
      </c>
      <c r="C75" s="17" t="n">
        <v>25000</v>
      </c>
      <c r="D75" s="17" t="n">
        <v>-18000</v>
      </c>
    </row>
    <row r="76">
      <c r="A76" s="10" t="inlineStr">
        <is>
          <t xml:space="preserve">   Bagian laba entitas asosiasi</t>
        </is>
      </c>
      <c r="B76" s="3" t="inlineStr">
        <is>
          <t>Rp juta</t>
        </is>
      </c>
      <c r="C76" s="17" t="n">
        <v>12000</v>
      </c>
      <c r="D76" s="17" t="n">
        <v>14000</v>
      </c>
    </row>
    <row r="77">
      <c r="A77" s="10" t="inlineStr">
        <is>
          <t xml:space="preserve">   Pendapatan (beban) lain-lain – neto</t>
        </is>
      </c>
      <c r="B77" s="3" t="inlineStr">
        <is>
          <t>Rp juta</t>
        </is>
      </c>
      <c r="C77" s="17" t="n">
        <v>5000</v>
      </c>
      <c r="D77" s="17" t="n">
        <v>-3000</v>
      </c>
    </row>
    <row r="78">
      <c r="A78" s="4" t="inlineStr">
        <is>
          <t>9. PENDANAAN, PAJAK &amp; DIVIDEN</t>
        </is>
      </c>
      <c r="B78" s="5" t="n"/>
      <c r="C78" s="5" t="n"/>
      <c r="D78" s="5" t="n"/>
      <c r="E78" s="5" t="n"/>
    </row>
    <row r="79">
      <c r="A79" s="10" t="inlineStr">
        <is>
          <t xml:space="preserve">   Penarikan pinjaman bank jangka panjang</t>
        </is>
      </c>
      <c r="B79" s="3" t="inlineStr">
        <is>
          <t>Rp juta</t>
        </is>
      </c>
      <c r="C79" s="17" t="n">
        <v>0</v>
      </c>
      <c r="D79" s="17" t="n">
        <v>400000</v>
      </c>
    </row>
    <row r="80">
      <c r="A80" s="10" t="inlineStr">
        <is>
          <t xml:space="preserve">   Pembayaran pokok pinjaman</t>
        </is>
      </c>
      <c r="B80" s="3" t="inlineStr">
        <is>
          <t>Rp juta</t>
        </is>
      </c>
      <c r="C80" s="17" t="n">
        <v>350000</v>
      </c>
      <c r="D80" s="17" t="n">
        <v>300000</v>
      </c>
    </row>
    <row r="81">
      <c r="A81" s="10" t="inlineStr">
        <is>
          <t xml:space="preserve">   Jadwal pembayaran pokok tahun berikutnya</t>
        </is>
      </c>
      <c r="B81" s="3" t="inlineStr">
        <is>
          <t>Rp juta</t>
        </is>
      </c>
      <c r="C81" s="17" t="n">
        <v>300000</v>
      </c>
      <c r="D81" s="17" t="n">
        <v>320000</v>
      </c>
      <c r="E81" s="3" t="inlineStr">
        <is>
          <t>Untuk klasifikasi bagian lancar</t>
        </is>
      </c>
    </row>
    <row r="82">
      <c r="A82" s="10" t="inlineStr">
        <is>
          <t xml:space="preserve">   Saldo pinjaman bank jangka panjang akhir tahun</t>
        </is>
      </c>
      <c r="B82" s="3" t="inlineStr">
        <is>
          <t>Rp juta</t>
        </is>
      </c>
      <c r="C82" s="28">
        <f>'A3 Neraca Contoh'!C35+'A3 Neraca Contoh'!C38+C79-C80</f>
        <v/>
      </c>
      <c r="D82" s="19">
        <f>C82+D79-D80</f>
        <v/>
      </c>
    </row>
    <row r="83">
      <c r="A83" s="10" t="inlineStr">
        <is>
          <t xml:space="preserve">   Pinjaman bank jangka pendek (akhir tahun)</t>
        </is>
      </c>
      <c r="B83" s="3" t="inlineStr">
        <is>
          <t>Rp juta</t>
        </is>
      </c>
      <c r="C83" s="17" t="n">
        <v>100000</v>
      </c>
      <c r="D83" s="17" t="n">
        <v>150000</v>
      </c>
    </row>
    <row r="84">
      <c r="A84" s="10" t="inlineStr">
        <is>
          <t xml:space="preserve">   Suku bunga pinjaman rata-rata</t>
        </is>
      </c>
      <c r="B84" s="3" t="inlineStr">
        <is>
          <t>%</t>
        </is>
      </c>
      <c r="C84" s="27" t="n">
        <v>0.08</v>
      </c>
      <c r="D84" s="27" t="n">
        <v>0.0775</v>
      </c>
    </row>
    <row r="85">
      <c r="A85" s="10" t="inlineStr">
        <is>
          <t xml:space="preserve">   Tarif pajak penghasilan badan</t>
        </is>
      </c>
      <c r="B85" s="3" t="inlineStr">
        <is>
          <t>%</t>
        </is>
      </c>
      <c r="C85" s="25" t="n">
        <v>0.22</v>
      </c>
      <c r="D85" s="25" t="n">
        <v>0.22</v>
      </c>
      <c r="E85" s="3" t="inlineStr">
        <is>
          <t>UU HPP</t>
        </is>
      </c>
    </row>
    <row r="86">
      <c r="A86" s="10" t="inlineStr">
        <is>
          <t xml:space="preserve">   Rasio pembayaran dividen (atas laba tahun lalu)</t>
        </is>
      </c>
      <c r="B86" s="3" t="inlineStr">
        <is>
          <t>%</t>
        </is>
      </c>
      <c r="C86" s="25" t="n">
        <v>0.4</v>
      </c>
      <c r="D86" s="25" t="n">
        <v>0.4</v>
      </c>
    </row>
    <row r="87">
      <c r="A87" s="10" t="inlineStr">
        <is>
          <t xml:space="preserve">   Laba bersih tahun sebelumnya</t>
        </is>
      </c>
      <c r="B87" s="3" t="inlineStr">
        <is>
          <t>Rp juta</t>
        </is>
      </c>
      <c r="C87" s="17" t="n">
        <v>2100000</v>
      </c>
      <c r="D87" s="28">
        <f>'A2 Laba Rugi Contoh'!C89</f>
        <v/>
      </c>
      <c r="E87" s="3" t="inlineStr">
        <is>
          <t>2024: laba 2023 (input); 2025: dari A2</t>
        </is>
      </c>
    </row>
    <row r="88">
      <c r="A88" s="10" t="inlineStr">
        <is>
          <t xml:space="preserve">   Dividen tunai dibayar</t>
        </is>
      </c>
      <c r="B88" s="3" t="inlineStr">
        <is>
          <t>Rp juta</t>
        </is>
      </c>
      <c r="C88" s="19">
        <f>C87*C86</f>
        <v/>
      </c>
      <c r="D88" s="19">
        <f>D87*D86</f>
        <v/>
      </c>
    </row>
    <row r="89">
      <c r="A89" s="4" t="inlineStr">
        <is>
          <t>10. BELANJA MODAL (Rp juta)</t>
        </is>
      </c>
      <c r="B89" s="5" t="n"/>
      <c r="C89" s="5" t="n"/>
      <c r="D89" s="5" t="n"/>
      <c r="E89" s="5" t="n"/>
    </row>
    <row r="90">
      <c r="A90" s="10" t="inlineStr">
        <is>
          <t xml:space="preserve">   Capex aset tetap</t>
        </is>
      </c>
      <c r="B90" s="3" t="inlineStr">
        <is>
          <t>Rp juta</t>
        </is>
      </c>
      <c r="C90" s="17" t="n">
        <v>420000</v>
      </c>
      <c r="D90" s="17" t="n">
        <v>560000</v>
      </c>
    </row>
    <row r="91">
      <c r="A91" s="10" t="inlineStr">
        <is>
          <t xml:space="preserve">   Penambahan properti pertambangan</t>
        </is>
      </c>
      <c r="B91" s="3" t="inlineStr">
        <is>
          <t>Rp juta</t>
        </is>
      </c>
      <c r="C91" s="17" t="n">
        <v>150000</v>
      </c>
      <c r="D91" s="17" t="n">
        <v>180000</v>
      </c>
    </row>
    <row r="92">
      <c r="A92" s="10" t="inlineStr">
        <is>
          <t xml:space="preserve">   Biaya pengupasan tangguhan dikapitalisasi</t>
        </is>
      </c>
      <c r="B92" s="3" t="inlineStr">
        <is>
          <t>Rp juta</t>
        </is>
      </c>
      <c r="C92" s="17" t="n">
        <v>110000</v>
      </c>
      <c r="D92" s="17" t="n">
        <v>100000</v>
      </c>
    </row>
    <row r="93">
      <c r="A93" s="10" t="inlineStr">
        <is>
          <t xml:space="preserve">   Belanja eksplorasi &amp; evaluasi</t>
        </is>
      </c>
      <c r="B93" s="3" t="inlineStr">
        <is>
          <t>Rp juta</t>
        </is>
      </c>
      <c r="C93" s="17" t="n">
        <v>5000</v>
      </c>
      <c r="D93" s="17" t="n">
        <v>10000</v>
      </c>
    </row>
    <row r="94">
      <c r="A94" s="4" t="inlineStr">
        <is>
          <t>11. MODAL KERJA &amp; POS NERACA LAIN</t>
        </is>
      </c>
      <c r="B94" s="5" t="n"/>
      <c r="C94" s="5" t="n"/>
      <c r="D94" s="5" t="n"/>
      <c r="E94" s="5" t="n"/>
    </row>
    <row r="95">
      <c r="A95" s="10" t="inlineStr">
        <is>
          <t xml:space="preserve">   Hari piutang (DSO)</t>
        </is>
      </c>
      <c r="B95" s="3" t="inlineStr">
        <is>
          <t>hari</t>
        </is>
      </c>
      <c r="C95" s="17" t="n">
        <v>30</v>
      </c>
      <c r="D95" s="17" t="n">
        <v>32</v>
      </c>
    </row>
    <row r="96">
      <c r="A96" s="10" t="inlineStr">
        <is>
          <t xml:space="preserve">   Hari utang usaha (DPO) atas biaya kas produksi</t>
        </is>
      </c>
      <c r="B96" s="3" t="inlineStr">
        <is>
          <t>hari</t>
        </is>
      </c>
      <c r="C96" s="17" t="n">
        <v>45</v>
      </c>
      <c r="D96" s="17" t="n">
        <v>48</v>
      </c>
    </row>
    <row r="97">
      <c r="A97" s="10" t="inlineStr">
        <is>
          <t xml:space="preserve">   Persediaan suku cadang &amp; BBM</t>
        </is>
      </c>
      <c r="B97" s="3" t="inlineStr">
        <is>
          <t>Rp juta</t>
        </is>
      </c>
      <c r="C97" s="17" t="n">
        <v>210000</v>
      </c>
      <c r="D97" s="17" t="n">
        <v>225000</v>
      </c>
    </row>
    <row r="98">
      <c r="A98" s="10" t="inlineStr">
        <is>
          <t xml:space="preserve">   Piutang lain-lain</t>
        </is>
      </c>
      <c r="B98" s="3" t="inlineStr">
        <is>
          <t>Rp juta</t>
        </is>
      </c>
      <c r="C98" s="17" t="n">
        <v>60000</v>
      </c>
      <c r="D98" s="17" t="n">
        <v>58000</v>
      </c>
    </row>
    <row r="99">
      <c r="A99" s="10" t="inlineStr">
        <is>
          <t xml:space="preserve">   Uang muka &amp; biaya dibayar dimuka</t>
        </is>
      </c>
      <c r="B99" s="3" t="inlineStr">
        <is>
          <t>Rp juta</t>
        </is>
      </c>
      <c r="C99" s="17" t="n">
        <v>95000</v>
      </c>
      <c r="D99" s="17" t="n">
        <v>102000</v>
      </c>
    </row>
    <row r="100">
      <c r="A100" s="10" t="inlineStr">
        <is>
          <t xml:space="preserve">   Pajak dibayar dimuka</t>
        </is>
      </c>
      <c r="B100" s="3" t="inlineStr">
        <is>
          <t>Rp juta</t>
        </is>
      </c>
      <c r="C100" s="17" t="n">
        <v>140000</v>
      </c>
      <c r="D100" s="17" t="n">
        <v>150000</v>
      </c>
    </row>
    <row r="101">
      <c r="A101" s="10" t="inlineStr">
        <is>
          <t xml:space="preserve">   Beban akrual</t>
        </is>
      </c>
      <c r="B101" s="3" t="inlineStr">
        <is>
          <t>Rp juta</t>
        </is>
      </c>
      <c r="C101" s="17" t="n">
        <v>150000</v>
      </c>
      <c r="D101" s="17" t="n">
        <v>162000</v>
      </c>
    </row>
    <row r="102">
      <c r="A102" s="10" t="inlineStr">
        <is>
          <t xml:space="preserve">   Utang royalti (bulan royalti)</t>
        </is>
      </c>
      <c r="B102" s="3" t="inlineStr">
        <is>
          <t>bulan</t>
        </is>
      </c>
      <c r="C102" s="17" t="n">
        <v>1</v>
      </c>
      <c r="D102" s="17" t="n">
        <v>1</v>
      </c>
    </row>
    <row r="103">
      <c r="A103" s="10" t="inlineStr">
        <is>
          <t xml:space="preserve">   Utang pajak (% beban pajak tahun berjalan)</t>
        </is>
      </c>
      <c r="B103" s="3" t="inlineStr">
        <is>
          <t>%</t>
        </is>
      </c>
      <c r="C103" s="25" t="n">
        <v>0.25</v>
      </c>
      <c r="D103" s="25" t="n">
        <v>0.25</v>
      </c>
    </row>
    <row r="104">
      <c r="A104" s="10" t="inlineStr">
        <is>
          <t xml:space="preserve">   Realisasi pengeluaran reklamasi (kas)</t>
        </is>
      </c>
      <c r="B104" s="3" t="inlineStr">
        <is>
          <t>Rp juta</t>
        </is>
      </c>
      <c r="C104" s="17" t="n">
        <v>35000</v>
      </c>
      <c r="D104" s="17" t="n">
        <v>40000</v>
      </c>
    </row>
    <row r="105">
      <c r="A105" s="10" t="inlineStr">
        <is>
          <t xml:space="preserve">   Liabilitas imbalan kerja</t>
        </is>
      </c>
      <c r="B105" s="3" t="inlineStr">
        <is>
          <t>Rp juta</t>
        </is>
      </c>
      <c r="C105" s="17" t="n">
        <v>185000</v>
      </c>
      <c r="D105" s="17" t="n">
        <v>198000</v>
      </c>
    </row>
    <row r="106">
      <c r="A106" s="10" t="inlineStr">
        <is>
          <t xml:space="preserve">   Dana jaminan reklamasi (dibatasi)</t>
        </is>
      </c>
      <c r="B106" s="3" t="inlineStr">
        <is>
          <t>Rp juta</t>
        </is>
      </c>
      <c r="C106" s="17" t="n">
        <v>120000</v>
      </c>
      <c r="D106" s="17" t="n">
        <v>135000</v>
      </c>
    </row>
    <row r="107">
      <c r="A107" s="10" t="inlineStr">
        <is>
          <t xml:space="preserve">   Aset tidak lancar lainnya</t>
        </is>
      </c>
      <c r="B107" s="3" t="inlineStr">
        <is>
          <t>Rp juta</t>
        </is>
      </c>
      <c r="C107" s="17" t="n">
        <v>40000</v>
      </c>
      <c r="D107" s="17" t="n">
        <v>42000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F9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4" customWidth="1" min="2" max="2"/>
    <col width="15" customWidth="1" min="3" max="3"/>
    <col width="15" customWidth="1" min="4" max="4"/>
    <col width="11" customWidth="1" min="5" max="5"/>
    <col width="14" customWidth="1" min="6" max="6"/>
  </cols>
  <sheetData>
    <row r="1">
      <c r="A1" s="1" t="inlineStr">
        <is>
          <t>PT Batubara Contoh Tbk (fiktif) – Laporan Laba Rugi Konsolidasian</t>
        </is>
      </c>
      <c r="B1" s="2" t="n"/>
      <c r="C1" s="2" t="n"/>
      <c r="D1" s="2" t="n"/>
      <c r="E1" s="2" t="n"/>
      <c r="F1" s="2" t="n"/>
    </row>
    <row r="2">
      <c r="A2" s="3" t="inlineStr">
        <is>
          <t>Untuk tahun yang berakhir 31 Desember | dalam Rp juta | angka ilustratif, bukan data emiten sebenarnya</t>
        </is>
      </c>
    </row>
    <row r="5">
      <c r="A5" s="16" t="inlineStr">
        <is>
          <t>Uraian</t>
        </is>
      </c>
      <c r="B5" s="16" t="inlineStr">
        <is>
          <t>Basis perhitungan</t>
        </is>
      </c>
      <c r="C5" s="16" t="inlineStr">
        <is>
          <t>FY2024</t>
        </is>
      </c>
      <c r="D5" s="16" t="inlineStr">
        <is>
          <t>FY2025</t>
        </is>
      </c>
      <c r="E5" s="16" t="inlineStr">
        <is>
          <t>Δ% YoY</t>
        </is>
      </c>
      <c r="F5" s="16" t="inlineStr">
        <is>
          <t>% thd pendapatan FY2025</t>
        </is>
      </c>
    </row>
    <row r="6">
      <c r="A6" s="4" t="inlineStr">
        <is>
          <t>PENDAPATAN</t>
        </is>
      </c>
      <c r="B6" s="5" t="n"/>
      <c r="C6" s="5" t="n"/>
      <c r="D6" s="5" t="n"/>
      <c r="E6" s="5" t="n"/>
      <c r="F6" s="5" t="n"/>
    </row>
    <row r="7">
      <c r="A7" s="10" t="inlineStr">
        <is>
          <t xml:space="preserve">   Penjualan batubara – Ekspor</t>
        </is>
      </c>
      <c r="B7" s="3" t="inlineStr">
        <is>
          <t>Vol × ASP × kurs</t>
        </is>
      </c>
      <c r="C7" s="28">
        <f>'A1 Asumsi Contoh'!C18*'A1 Asumsi Contoh'!C9*'A1 Asumsi Contoh'!C7/1000000</f>
        <v/>
      </c>
      <c r="D7" s="28">
        <f>'A1 Asumsi Contoh'!D18*'A1 Asumsi Contoh'!D9*'A1 Asumsi Contoh'!D7/1000000</f>
        <v/>
      </c>
      <c r="E7" s="29">
        <f>IFERROR((D7-C7)/ABS(C7),"")</f>
        <v/>
      </c>
      <c r="F7" s="29">
        <f>IFERROR(D7/D$13,"")</f>
        <v/>
      </c>
    </row>
    <row r="8">
      <c r="A8" s="10" t="inlineStr">
        <is>
          <t xml:space="preserve">   Penjualan batubara – Domestik DMO</t>
        </is>
      </c>
      <c r="B8" s="3" t="inlineStr">
        <is>
          <t>Vol × ASP × kurs</t>
        </is>
      </c>
      <c r="C8" s="28">
        <f>'A1 Asumsi Contoh'!C19*'A1 Asumsi Contoh'!C10*'A1 Asumsi Contoh'!C7/1000000</f>
        <v/>
      </c>
      <c r="D8" s="28">
        <f>'A1 Asumsi Contoh'!D19*'A1 Asumsi Contoh'!D10*'A1 Asumsi Contoh'!D7/1000000</f>
        <v/>
      </c>
      <c r="E8" s="29">
        <f>IFERROR((D8-C8)/ABS(C8),"")</f>
        <v/>
      </c>
      <c r="F8" s="29">
        <f>IFERROR(D8/D$13,"")</f>
        <v/>
      </c>
    </row>
    <row r="9">
      <c r="A9" s="10" t="inlineStr">
        <is>
          <t xml:space="preserve">   Penjualan batubara – Domestik non-DMO</t>
        </is>
      </c>
      <c r="B9" s="3" t="inlineStr">
        <is>
          <t>Vol × ASP × kurs</t>
        </is>
      </c>
      <c r="C9" s="28">
        <f>'A1 Asumsi Contoh'!C20*'A1 Asumsi Contoh'!C11*'A1 Asumsi Contoh'!C7/1000000</f>
        <v/>
      </c>
      <c r="D9" s="28">
        <f>'A1 Asumsi Contoh'!D20*'A1 Asumsi Contoh'!D11*'A1 Asumsi Contoh'!D7/1000000</f>
        <v/>
      </c>
      <c r="E9" s="29">
        <f>IFERROR((D9-C9)/ABS(C9),"")</f>
        <v/>
      </c>
      <c r="F9" s="29">
        <f>IFERROR(D9/D$13,"")</f>
        <v/>
      </c>
    </row>
    <row r="10">
      <c r="A10" s="20" t="inlineStr">
        <is>
          <t xml:space="preserve">   Subtotal penjualan batubara</t>
        </is>
      </c>
      <c r="B10" s="23" t="n"/>
      <c r="C10" s="22">
        <f>SUM(C7:C9)</f>
        <v/>
      </c>
      <c r="D10" s="22">
        <f>SUM(D7:D9)</f>
        <v/>
      </c>
      <c r="E10" s="30">
        <f>IFERROR((D10-C10)/ABS(C10),"")</f>
        <v/>
      </c>
      <c r="F10" s="30">
        <f>IFERROR(D10/D$13,"")</f>
        <v/>
      </c>
    </row>
    <row r="11">
      <c r="A11" s="10" t="inlineStr">
        <is>
          <t xml:space="preserve">   Penyesuaian harga / penalti kualitas</t>
        </is>
      </c>
      <c r="B11" s="3" t="inlineStr">
        <is>
          <t>% × penjualan</t>
        </is>
      </c>
      <c r="C11" s="28">
        <f>-C10*'A1 Asumsi Contoh'!C38</f>
        <v/>
      </c>
      <c r="D11" s="28">
        <f>-D10*'A1 Asumsi Contoh'!D38</f>
        <v/>
      </c>
      <c r="E11" s="29">
        <f>IFERROR((D11-C11)/ABS(C11),"")</f>
        <v/>
      </c>
      <c r="F11" s="29">
        <f>IFERROR(D11/D$13,"")</f>
        <v/>
      </c>
    </row>
    <row r="12">
      <c r="A12" s="10" t="inlineStr">
        <is>
          <t xml:space="preserve">   Pendapatan jasa pelabuhan/hauling pihak ketiga</t>
        </is>
      </c>
      <c r="C12" s="28">
        <f>'A1 Asumsi Contoh'!C73</f>
        <v/>
      </c>
      <c r="D12" s="28">
        <f>'A1 Asumsi Contoh'!D73</f>
        <v/>
      </c>
      <c r="E12" s="29">
        <f>IFERROR((D12-C12)/ABS(C12),"")</f>
        <v/>
      </c>
      <c r="F12" s="29">
        <f>IFERROR(D12/D$13,"")</f>
        <v/>
      </c>
    </row>
    <row r="13">
      <c r="A13" s="31" t="inlineStr">
        <is>
          <t>PENDAPATAN BERSIH</t>
        </is>
      </c>
      <c r="B13" s="32" t="n"/>
      <c r="C13" s="33">
        <f>C10+C11+C12</f>
        <v/>
      </c>
      <c r="D13" s="33">
        <f>D10+D11+D12</f>
        <v/>
      </c>
      <c r="E13" s="34">
        <f>IFERROR((D13-C13)/ABS(C13),"")</f>
        <v/>
      </c>
      <c r="F13" s="34">
        <f>IFERROR(D13/D$13,"")</f>
        <v/>
      </c>
    </row>
    <row r="15">
      <c r="A15" s="4" t="inlineStr">
        <is>
          <t>BEBAN POKOK PENDAPATAN</t>
        </is>
      </c>
      <c r="B15" s="5" t="n"/>
      <c r="C15" s="5" t="n"/>
      <c r="D15" s="5" t="n"/>
      <c r="E15" s="5" t="n"/>
      <c r="F15" s="5" t="n"/>
    </row>
    <row r="16">
      <c r="A16" s="35" t="inlineStr">
        <is>
          <t>A. Biaya penambangan</t>
        </is>
      </c>
    </row>
    <row r="17">
      <c r="A17" s="10" t="inlineStr">
        <is>
          <t xml:space="preserve">   Pengupasan OB – jasa kontraktor</t>
        </is>
      </c>
      <c r="B17" s="3" t="inlineStr">
        <is>
          <t>bcm × tarif × kurs</t>
        </is>
      </c>
      <c r="C17" s="28">
        <f>'A1 Asumsi Contoh'!C16*'A1 Asumsi Contoh'!C27*'A1 Asumsi Contoh'!C7/1000000</f>
        <v/>
      </c>
      <c r="D17" s="28">
        <f>'A1 Asumsi Contoh'!D16*'A1 Asumsi Contoh'!D27*'A1 Asumsi Contoh'!D7/1000000</f>
        <v/>
      </c>
      <c r="E17" s="29">
        <f>IFERROR((D17-C17)/ABS(C17),"")</f>
        <v/>
      </c>
      <c r="F17" s="29">
        <f>IFERROR(D17/D$13,"")</f>
        <v/>
      </c>
    </row>
    <row r="18">
      <c r="A18" s="10" t="inlineStr">
        <is>
          <t xml:space="preserve">   Bahan bakar (BBM)</t>
        </is>
      </c>
      <c r="B18" s="3" t="inlineStr">
        <is>
          <t>bcm × L/bcm × Rp/L</t>
        </is>
      </c>
      <c r="C18" s="28">
        <f>'A1 Asumsi Contoh'!C16*'A1 Asumsi Contoh'!C29*'A1 Asumsi Contoh'!C30/1000000</f>
        <v/>
      </c>
      <c r="D18" s="28">
        <f>'A1 Asumsi Contoh'!D16*'A1 Asumsi Contoh'!D29*'A1 Asumsi Contoh'!D30/1000000</f>
        <v/>
      </c>
      <c r="E18" s="29">
        <f>IFERROR((D18-C18)/ABS(C18),"")</f>
        <v/>
      </c>
      <c r="F18" s="29">
        <f>IFERROR(D18/D$13,"")</f>
        <v/>
      </c>
    </row>
    <row r="19">
      <c r="A19" s="10" t="inlineStr">
        <is>
          <t xml:space="preserve">   Peledakan (drill &amp; blast)</t>
        </is>
      </c>
      <c r="B19" s="3" t="inlineStr">
        <is>
          <t>bcm × % × tarif</t>
        </is>
      </c>
      <c r="C19" s="28">
        <f>'A1 Asumsi Contoh'!C16*'A1 Asumsi Contoh'!C31*'A1 Asumsi Contoh'!C32*'A1 Asumsi Contoh'!C7/1000000</f>
        <v/>
      </c>
      <c r="D19" s="28">
        <f>'A1 Asumsi Contoh'!D16*'A1 Asumsi Contoh'!D31*'A1 Asumsi Contoh'!D32*'A1 Asumsi Contoh'!D7/1000000</f>
        <v/>
      </c>
      <c r="E19" s="29">
        <f>IFERROR((D19-C19)/ABS(C19),"")</f>
        <v/>
      </c>
      <c r="F19" s="29">
        <f>IFERROR(D19/D$13,"")</f>
        <v/>
      </c>
    </row>
    <row r="20">
      <c r="A20" s="10" t="inlineStr">
        <is>
          <t xml:space="preserve">   Penggalian batubara (coal getting)</t>
        </is>
      </c>
      <c r="B20" s="3" t="inlineStr">
        <is>
          <t>ton × tarif</t>
        </is>
      </c>
      <c r="C20" s="28">
        <f>'A1 Asumsi Contoh'!C14*'A1 Asumsi Contoh'!C28*'A1 Asumsi Contoh'!C7/1000000</f>
        <v/>
      </c>
      <c r="D20" s="28">
        <f>'A1 Asumsi Contoh'!D14*'A1 Asumsi Contoh'!D28*'A1 Asumsi Contoh'!D7/1000000</f>
        <v/>
      </c>
      <c r="E20" s="29">
        <f>IFERROR((D20-C20)/ABS(C20),"")</f>
        <v/>
      </c>
      <c r="F20" s="29">
        <f>IFERROR(D20/D$13,"")</f>
        <v/>
      </c>
    </row>
    <row r="21">
      <c r="A21" s="10" t="inlineStr">
        <is>
          <t xml:space="preserve">   Sewa alat berat &amp; sarana penunjang</t>
        </is>
      </c>
      <c r="C21" s="28">
        <f>'A1 Asumsi Contoh'!C40</f>
        <v/>
      </c>
      <c r="D21" s="28">
        <f>'A1 Asumsi Contoh'!D40</f>
        <v/>
      </c>
      <c r="E21" s="29">
        <f>IFERROR((D21-C21)/ABS(C21),"")</f>
        <v/>
      </c>
      <c r="F21" s="29">
        <f>IFERROR(D21/D$13,"")</f>
        <v/>
      </c>
    </row>
    <row r="22">
      <c r="A22" s="10" t="inlineStr">
        <is>
          <t xml:space="preserve">   Pemeliharaan jalan tambang &amp; infrastruktur</t>
        </is>
      </c>
      <c r="C22" s="28">
        <f>'A1 Asumsi Contoh'!C41</f>
        <v/>
      </c>
      <c r="D22" s="28">
        <f>'A1 Asumsi Contoh'!D41</f>
        <v/>
      </c>
      <c r="E22" s="29">
        <f>IFERROR((D22-C22)/ABS(C22),"")</f>
        <v/>
      </c>
      <c r="F22" s="29">
        <f>IFERROR(D22/D$13,"")</f>
        <v/>
      </c>
    </row>
    <row r="23">
      <c r="A23" s="10" t="inlineStr">
        <is>
          <t xml:space="preserve">   Pengelolaan air tambang (dewatering)</t>
        </is>
      </c>
      <c r="C23" s="28">
        <f>'A1 Asumsi Contoh'!C42</f>
        <v/>
      </c>
      <c r="D23" s="28">
        <f>'A1 Asumsi Contoh'!D42</f>
        <v/>
      </c>
      <c r="E23" s="29">
        <f>IFERROR((D23-C23)/ABS(C23),"")</f>
        <v/>
      </c>
      <c r="F23" s="29">
        <f>IFERROR(D23/D$13,"")</f>
        <v/>
      </c>
    </row>
    <row r="24">
      <c r="A24" s="10" t="inlineStr">
        <is>
          <t xml:space="preserve">   Survei, geologi &amp; grade control</t>
        </is>
      </c>
      <c r="C24" s="28">
        <f>'A1 Asumsi Contoh'!C43</f>
        <v/>
      </c>
      <c r="D24" s="28">
        <f>'A1 Asumsi Contoh'!D43</f>
        <v/>
      </c>
      <c r="E24" s="29">
        <f>IFERROR((D24-C24)/ABS(C24),"")</f>
        <v/>
      </c>
      <c r="F24" s="29">
        <f>IFERROR(D24/D$13,"")</f>
        <v/>
      </c>
    </row>
    <row r="25">
      <c r="A25" s="20" t="inlineStr">
        <is>
          <t xml:space="preserve">   Subtotal biaya penambangan</t>
        </is>
      </c>
      <c r="B25" s="23" t="n"/>
      <c r="C25" s="22">
        <f>SUM(C17:C24)</f>
        <v/>
      </c>
      <c r="D25" s="22">
        <f>SUM(D17:D24)</f>
        <v/>
      </c>
      <c r="E25" s="30">
        <f>IFERROR((D25-C25)/ABS(C25),"")</f>
        <v/>
      </c>
      <c r="F25" s="30">
        <f>IFERROR(D25/D$13,"")</f>
        <v/>
      </c>
    </row>
    <row r="26">
      <c r="A26" s="35" t="inlineStr">
        <is>
          <t>B. Pengolahan &amp; logistik</t>
        </is>
      </c>
    </row>
    <row r="27">
      <c r="A27" s="10" t="inlineStr">
        <is>
          <t xml:space="preserve">   Crushing &amp; pengolahan (CPP)</t>
        </is>
      </c>
      <c r="B27" s="3" t="inlineStr">
        <is>
          <t>ton produksi × tarif</t>
        </is>
      </c>
      <c r="C27" s="28">
        <f>'A1 Asumsi Contoh'!C14*'A1 Asumsi Contoh'!C33*'A1 Asumsi Contoh'!C7/1000000</f>
        <v/>
      </c>
      <c r="D27" s="28">
        <f>'A1 Asumsi Contoh'!D14*'A1 Asumsi Contoh'!D33*'A1 Asumsi Contoh'!D7/1000000</f>
        <v/>
      </c>
      <c r="E27" s="29">
        <f>IFERROR((D27-C27)/ABS(C27),"")</f>
        <v/>
      </c>
      <c r="F27" s="29">
        <f>IFERROR(D27/D$13,"")</f>
        <v/>
      </c>
    </row>
    <row r="28">
      <c r="A28" s="10" t="inlineStr">
        <is>
          <t xml:space="preserve">   Hauling tambang – pelabuhan</t>
        </is>
      </c>
      <c r="B28" s="3" t="inlineStr">
        <is>
          <t>ton × km × tarif</t>
        </is>
      </c>
      <c r="C28" s="28">
        <f>'A1 Asumsi Contoh'!C14*'A1 Asumsi Contoh'!C17*'A1 Asumsi Contoh'!C34*'A1 Asumsi Contoh'!C7/1000000</f>
        <v/>
      </c>
      <c r="D28" s="28">
        <f>'A1 Asumsi Contoh'!D14*'A1 Asumsi Contoh'!D17*'A1 Asumsi Contoh'!D34*'A1 Asumsi Contoh'!D7/1000000</f>
        <v/>
      </c>
      <c r="E28" s="29">
        <f>IFERROR((D28-C28)/ABS(C28),"")</f>
        <v/>
      </c>
      <c r="F28" s="29">
        <f>IFERROR(D28/D$13,"")</f>
        <v/>
      </c>
    </row>
    <row r="29">
      <c r="A29" s="10" t="inlineStr">
        <is>
          <t xml:space="preserve">   Penanganan pelabuhan &amp; stockpile</t>
        </is>
      </c>
      <c r="B29" s="3" t="inlineStr">
        <is>
          <t>ton jual × tarif</t>
        </is>
      </c>
      <c r="C29" s="28">
        <f>'A1 Asumsi Contoh'!C21*'A1 Asumsi Contoh'!C35*'A1 Asumsi Contoh'!C7/1000000</f>
        <v/>
      </c>
      <c r="D29" s="28">
        <f>'A1 Asumsi Contoh'!D21*'A1 Asumsi Contoh'!D35*'A1 Asumsi Contoh'!D7/1000000</f>
        <v/>
      </c>
      <c r="E29" s="29">
        <f>IFERROR((D29-C29)/ABS(C29),"")</f>
        <v/>
      </c>
      <c r="F29" s="29">
        <f>IFERROR(D29/D$13,"")</f>
        <v/>
      </c>
    </row>
    <row r="30">
      <c r="A30" s="10" t="inlineStr">
        <is>
          <t xml:space="preserve">   Tongkang &amp; transshipment (barging)</t>
        </is>
      </c>
      <c r="B30" s="3" t="inlineStr">
        <is>
          <t>ton jual × tarif</t>
        </is>
      </c>
      <c r="C30" s="28">
        <f>'A1 Asumsi Contoh'!C21*'A1 Asumsi Contoh'!C36*'A1 Asumsi Contoh'!C7/1000000</f>
        <v/>
      </c>
      <c r="D30" s="28">
        <f>'A1 Asumsi Contoh'!D21*'A1 Asumsi Contoh'!D36*'A1 Asumsi Contoh'!D7/1000000</f>
        <v/>
      </c>
      <c r="E30" s="29">
        <f>IFERROR((D30-C30)/ABS(C30),"")</f>
        <v/>
      </c>
      <c r="F30" s="29">
        <f>IFERROR(D30/D$13,"")</f>
        <v/>
      </c>
    </row>
    <row r="31">
      <c r="A31" s="20" t="inlineStr">
        <is>
          <t xml:space="preserve">   Subtotal pengolahan &amp; logistik</t>
        </is>
      </c>
      <c r="B31" s="23" t="n"/>
      <c r="C31" s="22">
        <f>SUM(C27:C30)</f>
        <v/>
      </c>
      <c r="D31" s="22">
        <f>SUM(D27:D30)</f>
        <v/>
      </c>
      <c r="E31" s="30">
        <f>IFERROR((D31-C31)/ABS(C31),"")</f>
        <v/>
      </c>
      <c r="F31" s="30">
        <f>IFERROR(D31/D$13,"")</f>
        <v/>
      </c>
    </row>
    <row r="32">
      <c r="A32" s="35" t="inlineStr">
        <is>
          <t>C. Royalti</t>
        </is>
      </c>
    </row>
    <row r="33">
      <c r="A33" s="20" t="inlineStr">
        <is>
          <t xml:space="preserve">   Royalti / PNBP (DHPB)</t>
        </is>
      </c>
      <c r="B33" s="21" t="inlineStr">
        <is>
          <t>penjualan neto × tarif</t>
        </is>
      </c>
      <c r="C33" s="36">
        <f>(C10+C11)*'A1 Asumsi Contoh'!C37</f>
        <v/>
      </c>
      <c r="D33" s="36">
        <f>(D10+D11)*'A1 Asumsi Contoh'!D37</f>
        <v/>
      </c>
      <c r="E33" s="30">
        <f>IFERROR((D33-C33)/ABS(C33),"")</f>
        <v/>
      </c>
      <c r="F33" s="30">
        <f>IFERROR(D33/D$13,"")</f>
        <v/>
      </c>
    </row>
    <row r="34">
      <c r="A34" s="35" t="inlineStr">
        <is>
          <t>D. Biaya tidak langsung tambang (site overhead)</t>
        </is>
      </c>
    </row>
    <row r="35">
      <c r="A35" s="10" t="inlineStr">
        <is>
          <t xml:space="preserve">   Gaji &amp; tunjangan karyawan site</t>
        </is>
      </c>
      <c r="C35" s="28">
        <f>'A1 Asumsi Contoh'!C44</f>
        <v/>
      </c>
      <c r="D35" s="28">
        <f>'A1 Asumsi Contoh'!D44</f>
        <v/>
      </c>
      <c r="E35" s="29">
        <f>IFERROR((D35-C35)/ABS(C35),"")</f>
        <v/>
      </c>
      <c r="F35" s="29">
        <f>IFERROR(D35/D$13,"")</f>
        <v/>
      </c>
    </row>
    <row r="36">
      <c r="A36" s="10" t="inlineStr">
        <is>
          <t xml:space="preserve">   Camp, mess &amp; katering</t>
        </is>
      </c>
      <c r="C36" s="28">
        <f>'A1 Asumsi Contoh'!C45</f>
        <v/>
      </c>
      <c r="D36" s="28">
        <f>'A1 Asumsi Contoh'!D45</f>
        <v/>
      </c>
      <c r="E36" s="29">
        <f>IFERROR((D36-C36)/ABS(C36),"")</f>
        <v/>
      </c>
      <c r="F36" s="29">
        <f>IFERROR(D36/D$13,"")</f>
        <v/>
      </c>
    </row>
    <row r="37">
      <c r="A37" s="10" t="inlineStr">
        <is>
          <t xml:space="preserve">   K3 / HSE</t>
        </is>
      </c>
      <c r="C37" s="28">
        <f>'A1 Asumsi Contoh'!C46</f>
        <v/>
      </c>
      <c r="D37" s="28">
        <f>'A1 Asumsi Contoh'!D46</f>
        <v/>
      </c>
      <c r="E37" s="29">
        <f>IFERROR((D37-C37)/ABS(C37),"")</f>
        <v/>
      </c>
      <c r="F37" s="29">
        <f>IFERROR(D37/D$13,"")</f>
        <v/>
      </c>
    </row>
    <row r="38">
      <c r="A38" s="10" t="inlineStr">
        <is>
          <t xml:space="preserve">   Lingkungan &amp; reklamasi (provisi)</t>
        </is>
      </c>
      <c r="C38" s="28">
        <f>'A1 Asumsi Contoh'!C47</f>
        <v/>
      </c>
      <c r="D38" s="28">
        <f>'A1 Asumsi Contoh'!D47</f>
        <v/>
      </c>
      <c r="E38" s="29">
        <f>IFERROR((D38-C38)/ABS(C38),"")</f>
        <v/>
      </c>
      <c r="F38" s="29">
        <f>IFERROR(D38/D$13,"")</f>
        <v/>
      </c>
    </row>
    <row r="39">
      <c r="A39" s="10" t="inlineStr">
        <is>
          <t xml:space="preserve">   PPM / CSR</t>
        </is>
      </c>
      <c r="C39" s="28">
        <f>'A1 Asumsi Contoh'!C48</f>
        <v/>
      </c>
      <c r="D39" s="28">
        <f>'A1 Asumsi Contoh'!D48</f>
        <v/>
      </c>
      <c r="E39" s="29">
        <f>IFERROR((D39-C39)/ABS(C39),"")</f>
        <v/>
      </c>
      <c r="F39" s="29">
        <f>IFERROR(D39/D$13,"")</f>
        <v/>
      </c>
    </row>
    <row r="40">
      <c r="A40" s="10" t="inlineStr">
        <is>
          <t xml:space="preserve">   Iuran tetap &amp; kompensasi lahan</t>
        </is>
      </c>
      <c r="C40" s="28">
        <f>'A1 Asumsi Contoh'!C49</f>
        <v/>
      </c>
      <c r="D40" s="28">
        <f>'A1 Asumsi Contoh'!D49</f>
        <v/>
      </c>
      <c r="E40" s="29">
        <f>IFERROR((D40-C40)/ABS(C40),"")</f>
        <v/>
      </c>
      <c r="F40" s="29">
        <f>IFERROR(D40/D$13,"")</f>
        <v/>
      </c>
    </row>
    <row r="41">
      <c r="A41" s="20" t="inlineStr">
        <is>
          <t xml:space="preserve">   Subtotal overhead site</t>
        </is>
      </c>
      <c r="B41" s="23" t="n"/>
      <c r="C41" s="22">
        <f>SUM(C35:C40)</f>
        <v/>
      </c>
      <c r="D41" s="22">
        <f>SUM(D35:D40)</f>
        <v/>
      </c>
      <c r="E41" s="30">
        <f>IFERROR((D41-C41)/ABS(C41),"")</f>
        <v/>
      </c>
      <c r="F41" s="30">
        <f>IFERROR(D41/D$13,"")</f>
        <v/>
      </c>
    </row>
    <row r="42">
      <c r="A42" s="35" t="inlineStr">
        <is>
          <t>E. Penyusutan &amp; amortisasi</t>
        </is>
      </c>
    </row>
    <row r="43">
      <c r="A43" s="10" t="inlineStr">
        <is>
          <t xml:space="preserve">   Penyusutan aset tetap</t>
        </is>
      </c>
      <c r="C43" s="28">
        <f>'A1 Asumsi Contoh'!C51</f>
        <v/>
      </c>
      <c r="D43" s="28">
        <f>'A1 Asumsi Contoh'!D51</f>
        <v/>
      </c>
      <c r="E43" s="29">
        <f>IFERROR((D43-C43)/ABS(C43),"")</f>
        <v/>
      </c>
      <c r="F43" s="29">
        <f>IFERROR(D43/D$13,"")</f>
        <v/>
      </c>
    </row>
    <row r="44">
      <c r="A44" s="10" t="inlineStr">
        <is>
          <t xml:space="preserve">   Amortisasi properti pertambangan</t>
        </is>
      </c>
      <c r="C44" s="28">
        <f>'A1 Asumsi Contoh'!C52</f>
        <v/>
      </c>
      <c r="D44" s="28">
        <f>'A1 Asumsi Contoh'!D52</f>
        <v/>
      </c>
      <c r="E44" s="29">
        <f>IFERROR((D44-C44)/ABS(C44),"")</f>
        <v/>
      </c>
      <c r="F44" s="29">
        <f>IFERROR(D44/D$13,"")</f>
        <v/>
      </c>
    </row>
    <row r="45">
      <c r="A45" s="10" t="inlineStr">
        <is>
          <t xml:space="preserve">   Amortisasi biaya pengupasan tangguhan</t>
        </is>
      </c>
      <c r="C45" s="28">
        <f>'A1 Asumsi Contoh'!C53</f>
        <v/>
      </c>
      <c r="D45" s="28">
        <f>'A1 Asumsi Contoh'!D53</f>
        <v/>
      </c>
      <c r="E45" s="29">
        <f>IFERROR((D45-C45)/ABS(C45),"")</f>
        <v/>
      </c>
      <c r="F45" s="29">
        <f>IFERROR(D45/D$13,"")</f>
        <v/>
      </c>
    </row>
    <row r="46">
      <c r="A46" s="20" t="inlineStr">
        <is>
          <t xml:space="preserve">   Subtotal penyusutan &amp; amortisasi</t>
        </is>
      </c>
      <c r="B46" s="23" t="n"/>
      <c r="C46" s="22">
        <f>SUM(C43:C45)</f>
        <v/>
      </c>
      <c r="D46" s="22">
        <f>SUM(D43:D45)</f>
        <v/>
      </c>
      <c r="E46" s="30">
        <f>IFERROR((D46-C46)/ABS(C46),"")</f>
        <v/>
      </c>
      <c r="F46" s="30">
        <f>IFERROR(D46/D$13,"")</f>
        <v/>
      </c>
    </row>
    <row r="47">
      <c r="A47" s="20" t="inlineStr">
        <is>
          <t xml:space="preserve">   Total biaya produksi</t>
        </is>
      </c>
      <c r="B47" s="23" t="n"/>
      <c r="C47" s="22">
        <f>C25+C31+C33+C41+C46</f>
        <v/>
      </c>
      <c r="D47" s="22">
        <f>D25+D31+D33+D41+D46</f>
        <v/>
      </c>
      <c r="E47" s="30">
        <f>IFERROR((D47-C47)/ABS(C47),"")</f>
        <v/>
      </c>
      <c r="F47" s="30">
        <f>IFERROR(D47/D$13,"")</f>
        <v/>
      </c>
    </row>
    <row r="48">
      <c r="A48" s="10" t="inlineStr">
        <is>
          <t xml:space="preserve">   Perubahan persediaan batubara (awal – akhir)</t>
        </is>
      </c>
      <c r="B48" s="3" t="inlineStr">
        <is>
          <t>dari neraca</t>
        </is>
      </c>
      <c r="C48" s="28">
        <f>'A3 Neraca Contoh'!C11-'A3 Neraca Contoh'!D11</f>
        <v/>
      </c>
      <c r="D48" s="28">
        <f>'A3 Neraca Contoh'!D11-'A3 Neraca Contoh'!E11</f>
        <v/>
      </c>
      <c r="E48" s="29">
        <f>IFERROR((D48-C48)/ABS(C48),"")</f>
        <v/>
      </c>
      <c r="F48" s="29">
        <f>IFERROR(D48/D$13,"")</f>
        <v/>
      </c>
    </row>
    <row r="49">
      <c r="A49" s="31" t="inlineStr">
        <is>
          <t>BEBAN POKOK PENDAPATAN</t>
        </is>
      </c>
      <c r="B49" s="32" t="n"/>
      <c r="C49" s="33">
        <f>C47+C48</f>
        <v/>
      </c>
      <c r="D49" s="33">
        <f>D47+D48</f>
        <v/>
      </c>
      <c r="E49" s="34">
        <f>IFERROR((D49-C49)/ABS(C49),"")</f>
        <v/>
      </c>
      <c r="F49" s="34">
        <f>IFERROR(D49/D$13,"")</f>
        <v/>
      </c>
    </row>
    <row r="51">
      <c r="A51" s="31" t="inlineStr">
        <is>
          <t>LABA KOTOR</t>
        </is>
      </c>
      <c r="B51" s="32" t="n"/>
      <c r="C51" s="33">
        <f>C13-C49</f>
        <v/>
      </c>
      <c r="D51" s="33">
        <f>D13-D49</f>
        <v/>
      </c>
      <c r="E51" s="34">
        <f>IFERROR((D51-C51)/ABS(C51),"")</f>
        <v/>
      </c>
      <c r="F51" s="34">
        <f>IFERROR(D51/D$13,"")</f>
        <v/>
      </c>
    </row>
    <row r="52">
      <c r="A52" s="37" t="inlineStr">
        <is>
          <t xml:space="preserve">   Marjin laba kotor</t>
        </is>
      </c>
      <c r="C52" s="29">
        <f>IFERROR(C51/C13,0)</f>
        <v/>
      </c>
      <c r="D52" s="29">
        <f>IFERROR(D51/D13,0)</f>
        <v/>
      </c>
    </row>
    <row r="54">
      <c r="A54" s="4" t="inlineStr">
        <is>
          <t>BEBAN USAHA</t>
        </is>
      </c>
      <c r="B54" s="5" t="n"/>
      <c r="C54" s="5" t="n"/>
      <c r="D54" s="5" t="n"/>
      <c r="E54" s="5" t="n"/>
      <c r="F54" s="5" t="n"/>
    </row>
    <row r="55">
      <c r="A55" s="35" t="inlineStr">
        <is>
          <t>Beban penjualan</t>
        </is>
      </c>
    </row>
    <row r="56">
      <c r="A56" s="10" t="inlineStr">
        <is>
          <t xml:space="preserve">   Pengapalan laut (penjualan CIF)</t>
        </is>
      </c>
      <c r="B56" s="3" t="inlineStr">
        <is>
          <t>ton CIF × tarif</t>
        </is>
      </c>
      <c r="C56" s="28">
        <f>'A1 Asumsi Contoh'!C18*'A1 Asumsi Contoh'!C56*'A1 Asumsi Contoh'!C57*'A1 Asumsi Contoh'!C7/1000000</f>
        <v/>
      </c>
      <c r="D56" s="28">
        <f>'A1 Asumsi Contoh'!D18*'A1 Asumsi Contoh'!D56*'A1 Asumsi Contoh'!D57*'A1 Asumsi Contoh'!D7/1000000</f>
        <v/>
      </c>
      <c r="E56" s="29">
        <f>IFERROR((D56-C56)/ABS(C56),"")</f>
        <v/>
      </c>
      <c r="F56" s="29">
        <f>IFERROR(D56/D$13,"")</f>
        <v/>
      </c>
    </row>
    <row r="57">
      <c r="A57" s="10" t="inlineStr">
        <is>
          <t xml:space="preserve">   Komisi agen penjualan</t>
        </is>
      </c>
      <c r="B57" s="3" t="inlineStr">
        <is>
          <t>% × ekspor</t>
        </is>
      </c>
      <c r="C57" s="28">
        <f>C7*'A1 Asumsi Contoh'!C58</f>
        <v/>
      </c>
      <c r="D57" s="28">
        <f>D7*'A1 Asumsi Contoh'!D58</f>
        <v/>
      </c>
      <c r="E57" s="29">
        <f>IFERROR((D57-C57)/ABS(C57),"")</f>
        <v/>
      </c>
      <c r="F57" s="29">
        <f>IFERROR(D57/D$13,"")</f>
        <v/>
      </c>
    </row>
    <row r="58">
      <c r="A58" s="10" t="inlineStr">
        <is>
          <t xml:space="preserve">   Surveyor independen &amp; analisa kualitas</t>
        </is>
      </c>
      <c r="B58" s="3" t="inlineStr">
        <is>
          <t>ton jual × tarif</t>
        </is>
      </c>
      <c r="C58" s="28">
        <f>'A1 Asumsi Contoh'!C21*'A1 Asumsi Contoh'!C59*'A1 Asumsi Contoh'!C7/1000000</f>
        <v/>
      </c>
      <c r="D58" s="28">
        <f>'A1 Asumsi Contoh'!D21*'A1 Asumsi Contoh'!D59*'A1 Asumsi Contoh'!D7/1000000</f>
        <v/>
      </c>
      <c r="E58" s="29">
        <f>IFERROR((D58-C58)/ABS(C58),"")</f>
        <v/>
      </c>
      <c r="F58" s="29">
        <f>IFERROR(D58/D$13,"")</f>
        <v/>
      </c>
    </row>
    <row r="59">
      <c r="A59" s="10" t="inlineStr">
        <is>
          <t xml:space="preserve">   Demurrage</t>
        </is>
      </c>
      <c r="C59" s="28">
        <f>'A1 Asumsi Contoh'!C60</f>
        <v/>
      </c>
      <c r="D59" s="28">
        <f>'A1 Asumsi Contoh'!D60</f>
        <v/>
      </c>
      <c r="E59" s="29">
        <f>IFERROR((D59-C59)/ABS(C59),"")</f>
        <v/>
      </c>
      <c r="F59" s="29">
        <f>IFERROR(D59/D$13,"")</f>
        <v/>
      </c>
    </row>
    <row r="60">
      <c r="A60" s="10" t="inlineStr">
        <is>
          <t xml:space="preserve">   Dokumen ekspor &amp; pungutan</t>
        </is>
      </c>
      <c r="C60" s="28">
        <f>'A1 Asumsi Contoh'!C61</f>
        <v/>
      </c>
      <c r="D60" s="28">
        <f>'A1 Asumsi Contoh'!D61</f>
        <v/>
      </c>
      <c r="E60" s="29">
        <f>IFERROR((D60-C60)/ABS(C60),"")</f>
        <v/>
      </c>
      <c r="F60" s="29">
        <f>IFERROR(D60/D$13,"")</f>
        <v/>
      </c>
    </row>
    <row r="61">
      <c r="A61" s="10" t="inlineStr">
        <is>
          <t xml:space="preserve">   Pemasaran &amp; promosi</t>
        </is>
      </c>
      <c r="C61" s="28">
        <f>'A1 Asumsi Contoh'!C62</f>
        <v/>
      </c>
      <c r="D61" s="28">
        <f>'A1 Asumsi Contoh'!D62</f>
        <v/>
      </c>
      <c r="E61" s="29">
        <f>IFERROR((D61-C61)/ABS(C61),"")</f>
        <v/>
      </c>
      <c r="F61" s="29">
        <f>IFERROR(D61/D$13,"")</f>
        <v/>
      </c>
    </row>
    <row r="62">
      <c r="A62" s="20" t="inlineStr">
        <is>
          <t xml:space="preserve">   Subtotal beban penjualan</t>
        </is>
      </c>
      <c r="B62" s="23" t="n"/>
      <c r="C62" s="22">
        <f>SUM(C56:C61)</f>
        <v/>
      </c>
      <c r="D62" s="22">
        <f>SUM(D56:D61)</f>
        <v/>
      </c>
      <c r="E62" s="30">
        <f>IFERROR((D62-C62)/ABS(C62),"")</f>
        <v/>
      </c>
      <c r="F62" s="30">
        <f>IFERROR(D62/D$13,"")</f>
        <v/>
      </c>
    </row>
    <row r="63">
      <c r="A63" s="35" t="inlineStr">
        <is>
          <t>Beban umum &amp; administrasi</t>
        </is>
      </c>
    </row>
    <row r="64">
      <c r="A64" s="10" t="inlineStr">
        <is>
          <t xml:space="preserve">   Gaji &amp; tunjangan kantor pusat</t>
        </is>
      </c>
      <c r="C64" s="28">
        <f>'A1 Asumsi Contoh'!C64</f>
        <v/>
      </c>
      <c r="D64" s="28">
        <f>'A1 Asumsi Contoh'!D64</f>
        <v/>
      </c>
      <c r="E64" s="29">
        <f>IFERROR((D64-C64)/ABS(C64),"")</f>
        <v/>
      </c>
      <c r="F64" s="29">
        <f>IFERROR(D64/D$13,"")</f>
        <v/>
      </c>
    </row>
    <row r="65">
      <c r="A65" s="10" t="inlineStr">
        <is>
          <t xml:space="preserve">   Jasa profesional</t>
        </is>
      </c>
      <c r="C65" s="28">
        <f>'A1 Asumsi Contoh'!C65</f>
        <v/>
      </c>
      <c r="D65" s="28">
        <f>'A1 Asumsi Contoh'!D65</f>
        <v/>
      </c>
      <c r="E65" s="29">
        <f>IFERROR((D65-C65)/ABS(C65),"")</f>
        <v/>
      </c>
      <c r="F65" s="29">
        <f>IFERROR(D65/D$13,"")</f>
        <v/>
      </c>
    </row>
    <row r="66">
      <c r="A66" s="10" t="inlineStr">
        <is>
          <t xml:space="preserve">   Sewa kantor</t>
        </is>
      </c>
      <c r="C66" s="28">
        <f>'A1 Asumsi Contoh'!C66</f>
        <v/>
      </c>
      <c r="D66" s="28">
        <f>'A1 Asumsi Contoh'!D66</f>
        <v/>
      </c>
      <c r="E66" s="29">
        <f>IFERROR((D66-C66)/ABS(C66),"")</f>
        <v/>
      </c>
      <c r="F66" s="29">
        <f>IFERROR(D66/D$13,"")</f>
        <v/>
      </c>
    </row>
    <row r="67">
      <c r="A67" s="10" t="inlineStr">
        <is>
          <t xml:space="preserve">   Perjalanan dinas</t>
        </is>
      </c>
      <c r="C67" s="28">
        <f>'A1 Asumsi Contoh'!C67</f>
        <v/>
      </c>
      <c r="D67" s="28">
        <f>'A1 Asumsi Contoh'!D67</f>
        <v/>
      </c>
      <c r="E67" s="29">
        <f>IFERROR((D67-C67)/ABS(C67),"")</f>
        <v/>
      </c>
      <c r="F67" s="29">
        <f>IFERROR(D67/D$13,"")</f>
        <v/>
      </c>
    </row>
    <row r="68">
      <c r="A68" s="10" t="inlineStr">
        <is>
          <t xml:space="preserve">   Asuransi</t>
        </is>
      </c>
      <c r="C68" s="28">
        <f>'A1 Asumsi Contoh'!C68</f>
        <v/>
      </c>
      <c r="D68" s="28">
        <f>'A1 Asumsi Contoh'!D68</f>
        <v/>
      </c>
      <c r="E68" s="29">
        <f>IFERROR((D68-C68)/ABS(C68),"")</f>
        <v/>
      </c>
      <c r="F68" s="29">
        <f>IFERROR(D68/D$13,"")</f>
        <v/>
      </c>
    </row>
    <row r="69">
      <c r="A69" s="10" t="inlineStr">
        <is>
          <t xml:space="preserve">   Pajak, perizinan &amp; iuran</t>
        </is>
      </c>
      <c r="C69" s="28">
        <f>'A1 Asumsi Contoh'!C69</f>
        <v/>
      </c>
      <c r="D69" s="28">
        <f>'A1 Asumsi Contoh'!D69</f>
        <v/>
      </c>
      <c r="E69" s="29">
        <f>IFERROR((D69-C69)/ABS(C69),"")</f>
        <v/>
      </c>
      <c r="F69" s="29">
        <f>IFERROR(D69/D$13,"")</f>
        <v/>
      </c>
    </row>
    <row r="70">
      <c r="A70" s="10" t="inlineStr">
        <is>
          <t xml:space="preserve">   Teknologi informasi &amp; komunikasi</t>
        </is>
      </c>
      <c r="C70" s="28">
        <f>'A1 Asumsi Contoh'!C70</f>
        <v/>
      </c>
      <c r="D70" s="28">
        <f>'A1 Asumsi Contoh'!D70</f>
        <v/>
      </c>
      <c r="E70" s="29">
        <f>IFERROR((D70-C70)/ABS(C70),"")</f>
        <v/>
      </c>
      <c r="F70" s="29">
        <f>IFERROR(D70/D$13,"")</f>
        <v/>
      </c>
    </row>
    <row r="71">
      <c r="A71" s="10" t="inlineStr">
        <is>
          <t xml:space="preserve">   Penyusutan aset kantor</t>
        </is>
      </c>
      <c r="C71" s="28">
        <f>'A1 Asumsi Contoh'!C54</f>
        <v/>
      </c>
      <c r="D71" s="28">
        <f>'A1 Asumsi Contoh'!D54</f>
        <v/>
      </c>
      <c r="E71" s="29">
        <f>IFERROR((D71-C71)/ABS(C71),"")</f>
        <v/>
      </c>
      <c r="F71" s="29">
        <f>IFERROR(D71/D$13,"")</f>
        <v/>
      </c>
    </row>
    <row r="72">
      <c r="A72" s="10" t="inlineStr">
        <is>
          <t xml:space="preserve">   Beban umum lainnya</t>
        </is>
      </c>
      <c r="C72" s="28">
        <f>'A1 Asumsi Contoh'!C71</f>
        <v/>
      </c>
      <c r="D72" s="28">
        <f>'A1 Asumsi Contoh'!D71</f>
        <v/>
      </c>
      <c r="E72" s="29">
        <f>IFERROR((D72-C72)/ABS(C72),"")</f>
        <v/>
      </c>
      <c r="F72" s="29">
        <f>IFERROR(D72/D$13,"")</f>
        <v/>
      </c>
    </row>
    <row r="73">
      <c r="A73" s="20" t="inlineStr">
        <is>
          <t xml:space="preserve">   Subtotal beban umum &amp; administrasi</t>
        </is>
      </c>
      <c r="B73" s="23" t="n"/>
      <c r="C73" s="22">
        <f>SUM(C64:C72)</f>
        <v/>
      </c>
      <c r="D73" s="22">
        <f>SUM(D64:D72)</f>
        <v/>
      </c>
      <c r="E73" s="30">
        <f>IFERROR((D73-C73)/ABS(C73),"")</f>
        <v/>
      </c>
      <c r="F73" s="30">
        <f>IFERROR(D73/D$13,"")</f>
        <v/>
      </c>
    </row>
    <row r="74">
      <c r="A74" s="31" t="inlineStr">
        <is>
          <t>TOTAL BEBAN USAHA</t>
        </is>
      </c>
      <c r="B74" s="32" t="n"/>
      <c r="C74" s="33">
        <f>C62+C73</f>
        <v/>
      </c>
      <c r="D74" s="33">
        <f>D62+D73</f>
        <v/>
      </c>
      <c r="E74" s="34">
        <f>IFERROR((D74-C74)/ABS(C74),"")</f>
        <v/>
      </c>
      <c r="F74" s="34">
        <f>IFERROR(D74/D$13,"")</f>
        <v/>
      </c>
    </row>
    <row r="76">
      <c r="A76" s="31" t="inlineStr">
        <is>
          <t>LABA USAHA</t>
        </is>
      </c>
      <c r="B76" s="32" t="n"/>
      <c r="C76" s="33">
        <f>C51-C74</f>
        <v/>
      </c>
      <c r="D76" s="33">
        <f>D51-D74</f>
        <v/>
      </c>
      <c r="E76" s="34">
        <f>IFERROR((D76-C76)/ABS(C76),"")</f>
        <v/>
      </c>
      <c r="F76" s="34">
        <f>IFERROR(D76/D$13,"")</f>
        <v/>
      </c>
    </row>
    <row r="77">
      <c r="A77" s="37" t="inlineStr">
        <is>
          <t xml:space="preserve">   Marjin laba usaha</t>
        </is>
      </c>
      <c r="C77" s="29">
        <f>IFERROR(C76/C13,0)</f>
        <v/>
      </c>
      <c r="D77" s="29">
        <f>IFERROR(D76/D13,0)</f>
        <v/>
      </c>
    </row>
    <row r="79">
      <c r="A79" s="4" t="inlineStr">
        <is>
          <t>PENDAPATAN (BEBAN) LAIN-LAIN</t>
        </is>
      </c>
      <c r="B79" s="5" t="n"/>
      <c r="C79" s="5" t="n"/>
      <c r="D79" s="5" t="n"/>
      <c r="E79" s="5" t="n"/>
      <c r="F79" s="5" t="n"/>
    </row>
    <row r="80">
      <c r="A80" s="10" t="inlineStr">
        <is>
          <t xml:space="preserve">   Pendapatan bunga</t>
        </is>
      </c>
      <c r="B80" s="3" t="inlineStr">
        <is>
          <t>kas awal × bunga</t>
        </is>
      </c>
      <c r="C80" s="28">
        <f>'A3 Neraca Contoh'!C8*'A1 Asumsi Contoh'!C74</f>
        <v/>
      </c>
      <c r="D80" s="28">
        <f>'A3 Neraca Contoh'!D8*'A1 Asumsi Contoh'!D74</f>
        <v/>
      </c>
      <c r="E80" s="29">
        <f>IFERROR((D80-C80)/ABS(C80),"")</f>
        <v/>
      </c>
      <c r="F80" s="29">
        <f>IFERROR(D80/D$13,"")</f>
        <v/>
      </c>
    </row>
    <row r="81">
      <c r="A81" s="10" t="inlineStr">
        <is>
          <t xml:space="preserve">   Beban keuangan (bunga pinjaman)</t>
        </is>
      </c>
      <c r="B81" s="3" t="inlineStr">
        <is>
          <t>saldo rata-rata × bunga</t>
        </is>
      </c>
      <c r="C81" s="28">
        <f>-((('A3 Neraca Contoh'!C35+'A3 Neraca Contoh'!C38+'A3 Neraca Contoh'!D35+'A3 Neraca Contoh'!D38)/2)+(('A3 Neraca Contoh'!C34+'A3 Neraca Contoh'!D34)/2))*'A1 Asumsi Contoh'!C84</f>
        <v/>
      </c>
      <c r="D81" s="28">
        <f>-((('A3 Neraca Contoh'!D35+'A3 Neraca Contoh'!D38+'A3 Neraca Contoh'!E35+'A3 Neraca Contoh'!E38)/2)+(('A3 Neraca Contoh'!D34+'A3 Neraca Contoh'!E34)/2))*'A1 Asumsi Contoh'!D84</f>
        <v/>
      </c>
      <c r="E81" s="29">
        <f>IFERROR((D81-C81)/ABS(C81),"")</f>
        <v/>
      </c>
      <c r="F81" s="29">
        <f>IFERROR(D81/D$13,"")</f>
        <v/>
      </c>
    </row>
    <row r="82">
      <c r="A82" s="10" t="inlineStr">
        <is>
          <t xml:space="preserve">   Laba (rugi) selisih kurs</t>
        </is>
      </c>
      <c r="C82" s="28">
        <f>'A1 Asumsi Contoh'!C75</f>
        <v/>
      </c>
      <c r="D82" s="28">
        <f>'A1 Asumsi Contoh'!D75</f>
        <v/>
      </c>
      <c r="E82" s="29">
        <f>IFERROR((D82-C82)/ABS(C82),"")</f>
        <v/>
      </c>
      <c r="F82" s="29">
        <f>IFERROR(D82/D$13,"")</f>
        <v/>
      </c>
    </row>
    <row r="83">
      <c r="A83" s="10" t="inlineStr">
        <is>
          <t xml:space="preserve">   Bagian laba entitas asosiasi</t>
        </is>
      </c>
      <c r="C83" s="28">
        <f>'A1 Asumsi Contoh'!C76</f>
        <v/>
      </c>
      <c r="D83" s="28">
        <f>'A1 Asumsi Contoh'!D76</f>
        <v/>
      </c>
      <c r="E83" s="29">
        <f>IFERROR((D83-C83)/ABS(C83),"")</f>
        <v/>
      </c>
      <c r="F83" s="29">
        <f>IFERROR(D83/D$13,"")</f>
        <v/>
      </c>
    </row>
    <row r="84">
      <c r="A84" s="10" t="inlineStr">
        <is>
          <t xml:space="preserve">   Lain-lain – neto</t>
        </is>
      </c>
      <c r="C84" s="28">
        <f>'A1 Asumsi Contoh'!C77</f>
        <v/>
      </c>
      <c r="D84" s="28">
        <f>'A1 Asumsi Contoh'!D77</f>
        <v/>
      </c>
      <c r="E84" s="29">
        <f>IFERROR((D84-C84)/ABS(C84),"")</f>
        <v/>
      </c>
      <c r="F84" s="29">
        <f>IFERROR(D84/D$13,"")</f>
        <v/>
      </c>
    </row>
    <row r="85">
      <c r="A85" s="20" t="inlineStr">
        <is>
          <t xml:space="preserve">   Jumlah pendapatan (beban) lain-lain</t>
        </is>
      </c>
      <c r="B85" s="23" t="n"/>
      <c r="C85" s="22">
        <f>SUM(C80:C84)</f>
        <v/>
      </c>
      <c r="D85" s="22">
        <f>SUM(D80:D84)</f>
        <v/>
      </c>
      <c r="E85" s="30">
        <f>IFERROR((D85-C85)/ABS(C85),"")</f>
        <v/>
      </c>
      <c r="F85" s="30">
        <f>IFERROR(D85/D$13,"")</f>
        <v/>
      </c>
    </row>
    <row r="87">
      <c r="A87" s="31" t="inlineStr">
        <is>
          <t>LABA SEBELUM PAJAK</t>
        </is>
      </c>
      <c r="B87" s="32" t="n"/>
      <c r="C87" s="33">
        <f>C76+C85</f>
        <v/>
      </c>
      <c r="D87" s="33">
        <f>D76+D85</f>
        <v/>
      </c>
      <c r="E87" s="34">
        <f>IFERROR((D87-C87)/ABS(C87),"")</f>
        <v/>
      </c>
      <c r="F87" s="34">
        <f>IFERROR(D87/D$13,"")</f>
        <v/>
      </c>
    </row>
    <row r="88">
      <c r="A88" s="10" t="inlineStr">
        <is>
          <t xml:space="preserve">   Beban pajak penghasilan</t>
        </is>
      </c>
      <c r="B88" s="3" t="inlineStr">
        <is>
          <t>LSP × tarif (disederhanakan)</t>
        </is>
      </c>
      <c r="C88" s="28">
        <f>MAX(0,C87)*'A1 Asumsi Contoh'!C85</f>
        <v/>
      </c>
      <c r="D88" s="28">
        <f>MAX(0,D87)*'A1 Asumsi Contoh'!D85</f>
        <v/>
      </c>
      <c r="E88" s="29">
        <f>IFERROR((D88-C88)/ABS(C88),"")</f>
        <v/>
      </c>
      <c r="F88" s="29">
        <f>IFERROR(D88/D$13,"")</f>
        <v/>
      </c>
    </row>
    <row r="89">
      <c r="A89" s="31" t="inlineStr">
        <is>
          <t>LABA BERSIH TAHUN BERJALAN</t>
        </is>
      </c>
      <c r="B89" s="32" t="n"/>
      <c r="C89" s="33">
        <f>C87-C88</f>
        <v/>
      </c>
      <c r="D89" s="33">
        <f>D87-D88</f>
        <v/>
      </c>
      <c r="E89" s="34">
        <f>IFERROR((D89-C89)/ABS(C89),"")</f>
        <v/>
      </c>
      <c r="F89" s="34">
        <f>IFERROR(D89/D$13,"")</f>
        <v/>
      </c>
    </row>
    <row r="90">
      <c r="A90" s="37" t="inlineStr">
        <is>
          <t xml:space="preserve">   Marjin laba bersih</t>
        </is>
      </c>
      <c r="C90" s="29">
        <f>IFERROR(C89/C13,0)</f>
        <v/>
      </c>
      <c r="D90" s="29">
        <f>IFERROR(D89/D13,0)</f>
        <v/>
      </c>
    </row>
    <row r="92">
      <c r="A92" s="4" t="inlineStr">
        <is>
          <t>MEMO</t>
        </is>
      </c>
      <c r="B92" s="5" t="n"/>
      <c r="C92" s="5" t="n"/>
      <c r="D92" s="5" t="n"/>
      <c r="E92" s="5" t="n"/>
      <c r="F92" s="5" t="n"/>
    </row>
    <row r="93">
      <c r="A93" s="20" t="inlineStr">
        <is>
          <t xml:space="preserve">   EBITDA (laba usaha + penyusutan &amp; amortisasi)</t>
        </is>
      </c>
      <c r="B93" s="23" t="n"/>
      <c r="C93" s="22">
        <f>C76+C46+C71</f>
        <v/>
      </c>
      <c r="D93" s="22">
        <f>D76+D46+D71</f>
        <v/>
      </c>
      <c r="E93" s="30">
        <f>IFERROR((D93-C93)/ABS(C93),"")</f>
        <v/>
      </c>
      <c r="F93" s="30">
        <f>IFERROR(D93/D$13,"")</f>
        <v/>
      </c>
    </row>
    <row r="94">
      <c r="A94" s="37" t="inlineStr">
        <is>
          <t xml:space="preserve">   Marjin EBITDA</t>
        </is>
      </c>
      <c r="C94" s="29">
        <f>IFERROR(C93/C13,0)</f>
        <v/>
      </c>
      <c r="D94" s="29">
        <f>IFERROR(D93/D13,0)</f>
        <v/>
      </c>
    </row>
    <row r="95">
      <c r="A95" s="10" t="inlineStr">
        <is>
          <t xml:space="preserve">   Biaya produksi per ton untuk valuasi persediaan</t>
        </is>
      </c>
      <c r="B95" s="3" t="inlineStr">
        <is>
          <t>Rp/ton</t>
        </is>
      </c>
      <c r="C95" s="28">
        <f>(C25+C27+C28+C41+C46)*1000000/'A1 Asumsi Contoh'!C14</f>
        <v/>
      </c>
      <c r="D95" s="28">
        <f>(D25+D27+D28+D41+D46)*1000000/'A1 Asumsi Contoh'!D14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E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PT Batubara Contoh Tbk (fiktif) – Laporan Posisi Keuangan (Neraca) Konsolidasian</t>
        </is>
      </c>
      <c r="B1" s="2" t="n"/>
      <c r="C1" s="2" t="n"/>
      <c r="D1" s="2" t="n"/>
      <c r="E1" s="2" t="n"/>
    </row>
    <row r="2">
      <c r="A2" s="3" t="inlineStr">
        <is>
          <t>Per 31 Desember | dalam Rp juta | kolom 2023 = saldo awal (input); 2024–2025 dihitung dari driver &amp; arus kas</t>
        </is>
      </c>
    </row>
    <row r="3"/>
    <row r="4"/>
    <row r="5">
      <c r="A5" s="16" t="inlineStr">
        <is>
          <t>Uraian</t>
        </is>
      </c>
      <c r="B5" s="16" t="inlineStr">
        <is>
          <t>Basis</t>
        </is>
      </c>
      <c r="C5" s="16" t="inlineStr">
        <is>
          <t>31 Des 2023</t>
        </is>
      </c>
      <c r="D5" s="16" t="inlineStr">
        <is>
          <t>31 Des 2024</t>
        </is>
      </c>
      <c r="E5" s="16" t="inlineStr">
        <is>
          <t>31 Des 2025</t>
        </is>
      </c>
    </row>
    <row r="6">
      <c r="A6" s="4" t="inlineStr">
        <is>
          <t>ASET</t>
        </is>
      </c>
      <c r="B6" s="5" t="n"/>
      <c r="C6" s="5" t="n"/>
      <c r="D6" s="5" t="n"/>
      <c r="E6" s="5" t="n"/>
    </row>
    <row r="7">
      <c r="A7" s="35" t="inlineStr">
        <is>
          <t>Aset lancar</t>
        </is>
      </c>
    </row>
    <row r="8">
      <c r="A8" s="10" t="inlineStr">
        <is>
          <t xml:space="preserve">   Kas dan setara kas</t>
        </is>
      </c>
      <c r="C8" s="17" t="n">
        <v>1450000</v>
      </c>
      <c r="D8" s="28">
        <f>'A4 Arus Kas Contoh'!C46</f>
        <v/>
      </c>
      <c r="E8" s="28">
        <f>'A4 Arus Kas Contoh'!D46</f>
        <v/>
      </c>
    </row>
    <row r="9">
      <c r="A9" s="10" t="inlineStr">
        <is>
          <t xml:space="preserve">   Piutang usaha</t>
        </is>
      </c>
      <c r="B9" s="3" t="inlineStr">
        <is>
          <t>DSO</t>
        </is>
      </c>
      <c r="C9" s="17" t="n">
        <v>850000</v>
      </c>
      <c r="D9" s="28">
        <f>'A2 Laba Rugi Contoh'!C13*'A1 Asumsi Contoh'!C95/365</f>
        <v/>
      </c>
      <c r="E9" s="28">
        <f>'A2 Laba Rugi Contoh'!D13*'A1 Asumsi Contoh'!D95/365</f>
        <v/>
      </c>
    </row>
    <row r="10">
      <c r="A10" s="10" t="inlineStr">
        <is>
          <t xml:space="preserve">   Piutang lain-lain</t>
        </is>
      </c>
      <c r="C10" s="17" t="n">
        <v>55000</v>
      </c>
      <c r="D10" s="28">
        <f>'A1 Asumsi Contoh'!C98</f>
        <v/>
      </c>
      <c r="E10" s="28">
        <f>'A1 Asumsi Contoh'!D98</f>
        <v/>
      </c>
    </row>
    <row r="11">
      <c r="A11" s="10" t="inlineStr">
        <is>
          <t xml:space="preserve">   Persediaan batubara</t>
        </is>
      </c>
      <c r="B11" s="3" t="inlineStr">
        <is>
          <t>stok × biaya/ton</t>
        </is>
      </c>
      <c r="C11" s="17" t="n">
        <v>243000</v>
      </c>
      <c r="D11" s="28">
        <f>'A1 Asumsi Contoh'!C24*'A2 Laba Rugi Contoh'!C95/1000000</f>
        <v/>
      </c>
      <c r="E11" s="28">
        <f>'A1 Asumsi Contoh'!D24*'A2 Laba Rugi Contoh'!D95/1000000</f>
        <v/>
      </c>
    </row>
    <row r="12">
      <c r="A12" s="10" t="inlineStr">
        <is>
          <t xml:space="preserve">   Persediaan suku cadang &amp; BBM</t>
        </is>
      </c>
      <c r="C12" s="17" t="n">
        <v>195000</v>
      </c>
      <c r="D12" s="28">
        <f>'A1 Asumsi Contoh'!C97</f>
        <v/>
      </c>
      <c r="E12" s="28">
        <f>'A1 Asumsi Contoh'!D97</f>
        <v/>
      </c>
    </row>
    <row r="13">
      <c r="A13" s="10" t="inlineStr">
        <is>
          <t xml:space="preserve">   Uang muka &amp; biaya dibayar dimuka</t>
        </is>
      </c>
      <c r="C13" s="17" t="n">
        <v>90000</v>
      </c>
      <c r="D13" s="28">
        <f>'A1 Asumsi Contoh'!C99</f>
        <v/>
      </c>
      <c r="E13" s="28">
        <f>'A1 Asumsi Contoh'!D99</f>
        <v/>
      </c>
    </row>
    <row r="14">
      <c r="A14" s="10" t="inlineStr">
        <is>
          <t xml:space="preserve">   Pajak dibayar dimuka</t>
        </is>
      </c>
      <c r="C14" s="17" t="n">
        <v>130000</v>
      </c>
      <c r="D14" s="28">
        <f>'A1 Asumsi Contoh'!C100</f>
        <v/>
      </c>
      <c r="E14" s="28">
        <f>'A1 Asumsi Contoh'!D100</f>
        <v/>
      </c>
    </row>
    <row r="15">
      <c r="A15" s="20" t="inlineStr">
        <is>
          <t xml:space="preserve">   Jumlah aset lancar</t>
        </is>
      </c>
      <c r="B15" s="23" t="n"/>
      <c r="C15" s="22">
        <f>SUM(C8:C14)</f>
        <v/>
      </c>
      <c r="D15" s="22">
        <f>SUM(D8:D14)</f>
        <v/>
      </c>
      <c r="E15" s="22">
        <f>SUM(E8:E14)</f>
        <v/>
      </c>
    </row>
    <row r="16">
      <c r="A16" s="35" t="inlineStr">
        <is>
          <t>Aset tidak lancar</t>
        </is>
      </c>
    </row>
    <row r="17">
      <c r="A17" s="10" t="inlineStr">
        <is>
          <t xml:space="preserve">   Aset tetap – neto (termasuk aset hak guna)</t>
        </is>
      </c>
      <c r="C17" s="17" t="n">
        <v>2650000</v>
      </c>
      <c r="D17" s="28">
        <f>C17+'A1 Asumsi Contoh'!C90-'A1 Asumsi Contoh'!C51-'A1 Asumsi Contoh'!C54</f>
        <v/>
      </c>
      <c r="E17" s="28">
        <f>D17+'A1 Asumsi Contoh'!D90-'A1 Asumsi Contoh'!D51-'A1 Asumsi Contoh'!D54</f>
        <v/>
      </c>
    </row>
    <row r="18">
      <c r="A18" s="10" t="inlineStr">
        <is>
          <t xml:space="preserve">   Properti pertambangan – neto</t>
        </is>
      </c>
      <c r="C18" s="17" t="n">
        <v>1450000</v>
      </c>
      <c r="D18" s="28">
        <f>C18+'A1 Asumsi Contoh'!C91-'A1 Asumsi Contoh'!C52</f>
        <v/>
      </c>
      <c r="E18" s="28">
        <f>D18+'A1 Asumsi Contoh'!D91-'A1 Asumsi Contoh'!D52</f>
        <v/>
      </c>
    </row>
    <row r="19">
      <c r="A19" s="10" t="inlineStr">
        <is>
          <t xml:space="preserve">   Aset eksplorasi &amp; evaluasi</t>
        </is>
      </c>
      <c r="C19" s="17" t="n">
        <v>80000</v>
      </c>
      <c r="D19" s="28">
        <f>C19+'A1 Asumsi Contoh'!C93</f>
        <v/>
      </c>
      <c r="E19" s="28">
        <f>D19+'A1 Asumsi Contoh'!D93</f>
        <v/>
      </c>
    </row>
    <row r="20">
      <c r="A20" s="10" t="inlineStr">
        <is>
          <t xml:space="preserve">   Biaya pengupasan tangguhan – neto</t>
        </is>
      </c>
      <c r="C20" s="17" t="n">
        <v>420000</v>
      </c>
      <c r="D20" s="28">
        <f>C20+'A1 Asumsi Contoh'!C92-'A1 Asumsi Contoh'!C53</f>
        <v/>
      </c>
      <c r="E20" s="28">
        <f>D20+'A1 Asumsi Contoh'!D92-'A1 Asumsi Contoh'!D53</f>
        <v/>
      </c>
    </row>
    <row r="21">
      <c r="A21" s="10" t="inlineStr">
        <is>
          <t xml:space="preserve">   Investasi pada entitas asosiasi</t>
        </is>
      </c>
      <c r="C21" s="17" t="n">
        <v>180000</v>
      </c>
      <c r="D21" s="28">
        <f>C21+'A2 Laba Rugi Contoh'!C83</f>
        <v/>
      </c>
      <c r="E21" s="28">
        <f>D21+'A2 Laba Rugi Contoh'!D83</f>
        <v/>
      </c>
    </row>
    <row r="22">
      <c r="A22" s="10" t="inlineStr">
        <is>
          <t xml:space="preserve">   Dana jaminan reklamasi (dibatasi)</t>
        </is>
      </c>
      <c r="C22" s="17" t="n">
        <v>110000</v>
      </c>
      <c r="D22" s="28">
        <f>'A1 Asumsi Contoh'!C106</f>
        <v/>
      </c>
      <c r="E22" s="28">
        <f>'A1 Asumsi Contoh'!D106</f>
        <v/>
      </c>
    </row>
    <row r="23">
      <c r="A23" s="10" t="inlineStr">
        <is>
          <t xml:space="preserve">   Aset pajak tangguhan</t>
        </is>
      </c>
      <c r="C23" s="17" t="n">
        <v>55000</v>
      </c>
      <c r="D23" s="19">
        <f>C23</f>
        <v/>
      </c>
      <c r="E23" s="19">
        <f>D23</f>
        <v/>
      </c>
    </row>
    <row r="24">
      <c r="A24" s="10" t="inlineStr">
        <is>
          <t xml:space="preserve">   Aset tidak lancar lainnya</t>
        </is>
      </c>
      <c r="C24" s="17" t="n">
        <v>38000</v>
      </c>
      <c r="D24" s="28">
        <f>'A1 Asumsi Contoh'!C107</f>
        <v/>
      </c>
      <c r="E24" s="28">
        <f>'A1 Asumsi Contoh'!D107</f>
        <v/>
      </c>
    </row>
    <row r="25">
      <c r="A25" s="20" t="inlineStr">
        <is>
          <t xml:space="preserve">   Jumlah aset tidak lancar</t>
        </is>
      </c>
      <c r="B25" s="23" t="n"/>
      <c r="C25" s="22">
        <f>SUM(C17:C24)</f>
        <v/>
      </c>
      <c r="D25" s="22">
        <f>SUM(D17:D24)</f>
        <v/>
      </c>
      <c r="E25" s="22">
        <f>SUM(E17:E24)</f>
        <v/>
      </c>
    </row>
    <row r="26">
      <c r="A26" s="31" t="inlineStr">
        <is>
          <t>JUMLAH ASET</t>
        </is>
      </c>
      <c r="B26" s="32" t="n"/>
      <c r="C26" s="33">
        <f>C15+C25</f>
        <v/>
      </c>
      <c r="D26" s="33">
        <f>D15+D25</f>
        <v/>
      </c>
      <c r="E26" s="33">
        <f>E15+E25</f>
        <v/>
      </c>
    </row>
    <row r="27"/>
    <row r="28">
      <c r="A28" s="4" t="inlineStr">
        <is>
          <t>LIABILITAS</t>
        </is>
      </c>
      <c r="B28" s="5" t="n"/>
      <c r="C28" s="5" t="n"/>
      <c r="D28" s="5" t="n"/>
      <c r="E28" s="5" t="n"/>
    </row>
    <row r="29">
      <c r="A29" s="35" t="inlineStr">
        <is>
          <t>Liabilitas jangka pendek</t>
        </is>
      </c>
    </row>
    <row r="30">
      <c r="A30" s="10" t="inlineStr">
        <is>
          <t xml:space="preserve">   Utang usaha (kontraktor &amp; pemasok)</t>
        </is>
      </c>
      <c r="B30" s="3" t="inlineStr">
        <is>
          <t>DPO</t>
        </is>
      </c>
      <c r="C30" s="17" t="n">
        <v>620000</v>
      </c>
      <c r="D30" s="28">
        <f>('A2 Laba Rugi Contoh'!C25+'A2 Laba Rugi Contoh'!C31+'A2 Laba Rugi Contoh'!C41-'A2 Laba Rugi Contoh'!C38)*'A1 Asumsi Contoh'!C96/365</f>
        <v/>
      </c>
      <c r="E30" s="28">
        <f>('A2 Laba Rugi Contoh'!D25+'A2 Laba Rugi Contoh'!D31+'A2 Laba Rugi Contoh'!D41-'A2 Laba Rugi Contoh'!D38)*'A1 Asumsi Contoh'!D96/365</f>
        <v/>
      </c>
    </row>
    <row r="31">
      <c r="A31" s="10" t="inlineStr">
        <is>
          <t xml:space="preserve">   Utang royalti</t>
        </is>
      </c>
      <c r="C31" s="17" t="n">
        <v>70000</v>
      </c>
      <c r="D31" s="28">
        <f>'A2 Laba Rugi Contoh'!C33/12*'A1 Asumsi Contoh'!C102</f>
        <v/>
      </c>
      <c r="E31" s="28">
        <f>'A2 Laba Rugi Contoh'!D33/12*'A1 Asumsi Contoh'!D102</f>
        <v/>
      </c>
    </row>
    <row r="32">
      <c r="A32" s="10" t="inlineStr">
        <is>
          <t xml:space="preserve">   Beban akrual</t>
        </is>
      </c>
      <c r="C32" s="17" t="n">
        <v>140000</v>
      </c>
      <c r="D32" s="28">
        <f>'A1 Asumsi Contoh'!C101</f>
        <v/>
      </c>
      <c r="E32" s="28">
        <f>'A1 Asumsi Contoh'!D101</f>
        <v/>
      </c>
    </row>
    <row r="33">
      <c r="A33" s="10" t="inlineStr">
        <is>
          <t xml:space="preserve">   Utang pajak</t>
        </is>
      </c>
      <c r="C33" s="17" t="n">
        <v>150000</v>
      </c>
      <c r="D33" s="28">
        <f>'A2 Laba Rugi Contoh'!C88*'A1 Asumsi Contoh'!C103</f>
        <v/>
      </c>
      <c r="E33" s="28">
        <f>'A2 Laba Rugi Contoh'!D88*'A1 Asumsi Contoh'!D103</f>
        <v/>
      </c>
    </row>
    <row r="34">
      <c r="A34" s="10" t="inlineStr">
        <is>
          <t xml:space="preserve">   Pinjaman bank jangka pendek</t>
        </is>
      </c>
      <c r="C34" s="17" t="n">
        <v>100000</v>
      </c>
      <c r="D34" s="28">
        <f>'A1 Asumsi Contoh'!C83</f>
        <v/>
      </c>
      <c r="E34" s="28">
        <f>'A1 Asumsi Contoh'!D83</f>
        <v/>
      </c>
    </row>
    <row r="35">
      <c r="A35" s="10" t="inlineStr">
        <is>
          <t xml:space="preserve">   Bagian lancar pinjaman bank jangka panjang</t>
        </is>
      </c>
      <c r="C35" s="17" t="n">
        <v>350000</v>
      </c>
      <c r="D35" s="28">
        <f>'A1 Asumsi Contoh'!C81</f>
        <v/>
      </c>
      <c r="E35" s="28">
        <f>'A1 Asumsi Contoh'!D81</f>
        <v/>
      </c>
    </row>
    <row r="36">
      <c r="A36" s="20" t="inlineStr">
        <is>
          <t xml:space="preserve">   Jumlah liabilitas jangka pendek</t>
        </is>
      </c>
      <c r="B36" s="23" t="n"/>
      <c r="C36" s="22">
        <f>SUM(C30:C35)</f>
        <v/>
      </c>
      <c r="D36" s="22">
        <f>SUM(D30:D35)</f>
        <v/>
      </c>
      <c r="E36" s="22">
        <f>SUM(E30:E35)</f>
        <v/>
      </c>
    </row>
    <row r="37">
      <c r="A37" s="35" t="inlineStr">
        <is>
          <t>Liabilitas jangka panjang</t>
        </is>
      </c>
    </row>
    <row r="38">
      <c r="A38" s="10" t="inlineStr">
        <is>
          <t xml:space="preserve">   Pinjaman bank jangka panjang – setelah bagian lancar</t>
        </is>
      </c>
      <c r="C38" s="17" t="n">
        <v>1550000</v>
      </c>
      <c r="D38" s="28">
        <f>'A1 Asumsi Contoh'!C82-D35</f>
        <v/>
      </c>
      <c r="E38" s="28">
        <f>'A1 Asumsi Contoh'!D82-E35</f>
        <v/>
      </c>
    </row>
    <row r="39">
      <c r="A39" s="10" t="inlineStr">
        <is>
          <t xml:space="preserve">   Provisi reklamasi &amp; penutupan tambang</t>
        </is>
      </c>
      <c r="C39" s="17" t="n">
        <v>380000</v>
      </c>
      <c r="D39" s="28">
        <f>C39+'A2 Laba Rugi Contoh'!C38-'A1 Asumsi Contoh'!C104</f>
        <v/>
      </c>
      <c r="E39" s="28">
        <f>D39+'A2 Laba Rugi Contoh'!D38-'A1 Asumsi Contoh'!D104</f>
        <v/>
      </c>
    </row>
    <row r="40">
      <c r="A40" s="10" t="inlineStr">
        <is>
          <t xml:space="preserve">   Liabilitas imbalan kerja</t>
        </is>
      </c>
      <c r="C40" s="17" t="n">
        <v>170000</v>
      </c>
      <c r="D40" s="28">
        <f>'A1 Asumsi Contoh'!C105</f>
        <v/>
      </c>
      <c r="E40" s="28">
        <f>'A1 Asumsi Contoh'!D105</f>
        <v/>
      </c>
    </row>
    <row r="41">
      <c r="A41" s="10" t="inlineStr">
        <is>
          <t xml:space="preserve">   Liabilitas pajak tangguhan</t>
        </is>
      </c>
      <c r="C41" s="17" t="n">
        <v>120000</v>
      </c>
      <c r="D41" s="19">
        <f>C41</f>
        <v/>
      </c>
      <c r="E41" s="19">
        <f>D41</f>
        <v/>
      </c>
    </row>
    <row r="42">
      <c r="A42" s="20" t="inlineStr">
        <is>
          <t xml:space="preserve">   Jumlah liabilitas jangka panjang</t>
        </is>
      </c>
      <c r="B42" s="23" t="n"/>
      <c r="C42" s="22">
        <f>SUM(C38:C41)</f>
        <v/>
      </c>
      <c r="D42" s="22">
        <f>SUM(D38:D41)</f>
        <v/>
      </c>
      <c r="E42" s="22">
        <f>SUM(E38:E41)</f>
        <v/>
      </c>
    </row>
    <row r="43">
      <c r="A43" s="31" t="inlineStr">
        <is>
          <t>JUMLAH LIABILITAS</t>
        </is>
      </c>
      <c r="B43" s="32" t="n"/>
      <c r="C43" s="33">
        <f>C36+C42</f>
        <v/>
      </c>
      <c r="D43" s="33">
        <f>D36+D42</f>
        <v/>
      </c>
      <c r="E43" s="33">
        <f>E36+E42</f>
        <v/>
      </c>
    </row>
    <row r="44"/>
    <row r="45">
      <c r="A45" s="4" t="inlineStr">
        <is>
          <t>EKUITAS</t>
        </is>
      </c>
      <c r="B45" s="5" t="n"/>
      <c r="C45" s="5" t="n"/>
      <c r="D45" s="5" t="n"/>
      <c r="E45" s="5" t="n"/>
    </row>
    <row r="46">
      <c r="A46" s="10" t="inlineStr">
        <is>
          <t xml:space="preserve">   Modal saham</t>
        </is>
      </c>
      <c r="C46" s="17" t="n">
        <v>1150000</v>
      </c>
      <c r="D46" s="19">
        <f>C46</f>
        <v/>
      </c>
      <c r="E46" s="19">
        <f>D46</f>
        <v/>
      </c>
    </row>
    <row r="47">
      <c r="A47" s="10" t="inlineStr">
        <is>
          <t xml:space="preserve">   Tambahan modal disetor</t>
        </is>
      </c>
      <c r="C47" s="17" t="n">
        <v>350000</v>
      </c>
      <c r="D47" s="19">
        <f>C47</f>
        <v/>
      </c>
      <c r="E47" s="19">
        <f>D47</f>
        <v/>
      </c>
    </row>
    <row r="48">
      <c r="A48" s="10" t="inlineStr">
        <is>
          <t xml:space="preserve">   Saldo laba</t>
        </is>
      </c>
      <c r="B48" s="3" t="inlineStr">
        <is>
          <t>awal + laba – dividen</t>
        </is>
      </c>
      <c r="C48" s="17" t="n">
        <v>2671000</v>
      </c>
      <c r="D48" s="28">
        <f>C48+'A2 Laba Rugi Contoh'!C89-'A1 Asumsi Contoh'!C88</f>
        <v/>
      </c>
      <c r="E48" s="28">
        <f>D48+'A2 Laba Rugi Contoh'!D89-'A1 Asumsi Contoh'!D88</f>
        <v/>
      </c>
    </row>
    <row r="49">
      <c r="A49" s="10" t="inlineStr">
        <is>
          <t xml:space="preserve">   Penghasilan komprehensif lain</t>
        </is>
      </c>
      <c r="C49" s="17" t="n">
        <v>25000</v>
      </c>
      <c r="D49" s="19">
        <f>C49</f>
        <v/>
      </c>
      <c r="E49" s="19">
        <f>D49</f>
        <v/>
      </c>
    </row>
    <row r="50">
      <c r="A50" s="10" t="inlineStr">
        <is>
          <t xml:space="preserve">   Kepentingan nonpengendali</t>
        </is>
      </c>
      <c r="C50" s="17" t="n">
        <v>150000</v>
      </c>
      <c r="D50" s="19">
        <f>C50</f>
        <v/>
      </c>
      <c r="E50" s="19">
        <f>D50</f>
        <v/>
      </c>
    </row>
    <row r="51">
      <c r="A51" s="31" t="inlineStr">
        <is>
          <t>JUMLAH EKUITAS</t>
        </is>
      </c>
      <c r="B51" s="32" t="n"/>
      <c r="C51" s="33">
        <f>SUM(C46:C50)</f>
        <v/>
      </c>
      <c r="D51" s="33">
        <f>SUM(D46:D50)</f>
        <v/>
      </c>
      <c r="E51" s="33">
        <f>SUM(E46:E50)</f>
        <v/>
      </c>
    </row>
    <row r="52"/>
    <row r="53">
      <c r="A53" s="31" t="inlineStr">
        <is>
          <t>JUMLAH LIABILITAS DAN EKUITAS</t>
        </is>
      </c>
      <c r="B53" s="32" t="n"/>
      <c r="C53" s="33">
        <f>C43+C51</f>
        <v/>
      </c>
      <c r="D53" s="33">
        <f>D43+D51</f>
        <v/>
      </c>
      <c r="E53" s="33">
        <f>E43+E51</f>
        <v/>
      </c>
    </row>
    <row r="54">
      <c r="A54" s="37" t="inlineStr">
        <is>
          <t xml:space="preserve">   Cek keseimbangan (harus 0)</t>
        </is>
      </c>
      <c r="C54" s="38">
        <f>ROUND(C26-C53,0)</f>
        <v/>
      </c>
      <c r="D54" s="38">
        <f>ROUND(D26-D53,0)</f>
        <v/>
      </c>
      <c r="E54" s="38">
        <f>ROUND(E26-E53,0)</f>
        <v/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D5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8" customWidth="1" min="2" max="2"/>
    <col width="15" customWidth="1" min="3" max="3"/>
    <col width="15" customWidth="1" min="4" max="4"/>
  </cols>
  <sheetData>
    <row r="1">
      <c r="A1" s="1" t="inlineStr">
        <is>
          <t>PT Batubara Contoh Tbk (fiktif) – Laporan Arus Kas Konsolidasian</t>
        </is>
      </c>
      <c r="B1" s="2" t="n"/>
      <c r="C1" s="2" t="n"/>
      <c r="D1" s="2" t="n"/>
    </row>
    <row r="2">
      <c r="A2" s="3" t="inlineStr">
        <is>
          <t>Untuk tahun yang berakhir 31 Desember | dalam Rp juta | metode tidak langsung + rekonsiliasi metode langsung</t>
        </is>
      </c>
    </row>
    <row r="5">
      <c r="A5" s="16" t="inlineStr">
        <is>
          <t>Uraian</t>
        </is>
      </c>
      <c r="B5" s="16" t="inlineStr">
        <is>
          <t>Basis</t>
        </is>
      </c>
      <c r="C5" s="16" t="inlineStr">
        <is>
          <t>FY2024</t>
        </is>
      </c>
      <c r="D5" s="16" t="inlineStr">
        <is>
          <t>FY2025</t>
        </is>
      </c>
    </row>
    <row r="6">
      <c r="A6" s="4" t="inlineStr">
        <is>
          <t>ARUS KAS DARI AKTIVITAS OPERASI (metode tidak langsung)</t>
        </is>
      </c>
      <c r="B6" s="5" t="n"/>
      <c r="C6" s="5" t="n"/>
      <c r="D6" s="5" t="n"/>
    </row>
    <row r="7">
      <c r="A7" s="10" t="inlineStr">
        <is>
          <t xml:space="preserve">   Laba bersih tahun berjalan</t>
        </is>
      </c>
      <c r="C7" s="28">
        <f>'A2 Laba Rugi Contoh'!C89</f>
        <v/>
      </c>
      <c r="D7" s="28">
        <f>'A2 Laba Rugi Contoh'!D89</f>
        <v/>
      </c>
    </row>
    <row r="8">
      <c r="A8" s="35" t="inlineStr">
        <is>
          <t>Penyesuaian pos non-kas</t>
        </is>
      </c>
    </row>
    <row r="9">
      <c r="A9" s="10" t="inlineStr">
        <is>
          <t xml:space="preserve">   Penyusutan &amp; amortisasi</t>
        </is>
      </c>
      <c r="C9" s="28">
        <f>'A2 Laba Rugi Contoh'!C46+'A2 Laba Rugi Contoh'!C71</f>
        <v/>
      </c>
      <c r="D9" s="28">
        <f>'A2 Laba Rugi Contoh'!D46+'A2 Laba Rugi Contoh'!D71</f>
        <v/>
      </c>
    </row>
    <row r="10">
      <c r="A10" s="10" t="inlineStr">
        <is>
          <t xml:space="preserve">   Bagian laba entitas asosiasi</t>
        </is>
      </c>
      <c r="C10" s="28">
        <f>-'A2 Laba Rugi Contoh'!C83</f>
        <v/>
      </c>
      <c r="D10" s="28">
        <f>-'A2 Laba Rugi Contoh'!D83</f>
        <v/>
      </c>
    </row>
    <row r="11">
      <c r="A11" s="10" t="inlineStr">
        <is>
          <t xml:space="preserve">   Kenaikan provisi reklamasi – neto</t>
        </is>
      </c>
      <c r="C11" s="28">
        <f>('A3 Neraca Contoh'!D39-'A3 Neraca Contoh'!C39)</f>
        <v/>
      </c>
      <c r="D11" s="28">
        <f>('A3 Neraca Contoh'!E39-'A3 Neraca Contoh'!D39)</f>
        <v/>
      </c>
    </row>
    <row r="12">
      <c r="A12" s="10" t="inlineStr">
        <is>
          <t xml:space="preserve">   Kenaikan liabilitas imbalan kerja</t>
        </is>
      </c>
      <c r="C12" s="28">
        <f>('A3 Neraca Contoh'!D40-'A3 Neraca Contoh'!C40)</f>
        <v/>
      </c>
      <c r="D12" s="28">
        <f>('A3 Neraca Contoh'!E40-'A3 Neraca Contoh'!D40)</f>
        <v/>
      </c>
    </row>
    <row r="13">
      <c r="A13" s="10" t="inlineStr">
        <is>
          <t xml:space="preserve">   Perubahan pajak tangguhan</t>
        </is>
      </c>
      <c r="C13" s="28">
        <f>-('A3 Neraca Contoh'!D23-'A3 Neraca Contoh'!C23)+('A3 Neraca Contoh'!D41-'A3 Neraca Contoh'!C41)</f>
        <v/>
      </c>
      <c r="D13" s="28">
        <f>-('A3 Neraca Contoh'!E23-'A3 Neraca Contoh'!D23)+('A3 Neraca Contoh'!E41-'A3 Neraca Contoh'!D41)</f>
        <v/>
      </c>
    </row>
    <row r="14">
      <c r="A14" s="35" t="inlineStr">
        <is>
          <t>Perubahan modal kerja</t>
        </is>
      </c>
    </row>
    <row r="15">
      <c r="A15" s="10" t="inlineStr">
        <is>
          <t xml:space="preserve">   Piutang usaha</t>
        </is>
      </c>
      <c r="C15" s="28">
        <f>-('A3 Neraca Contoh'!D9-'A3 Neraca Contoh'!C9)</f>
        <v/>
      </c>
      <c r="D15" s="28">
        <f>-('A3 Neraca Contoh'!E9-'A3 Neraca Contoh'!D9)</f>
        <v/>
      </c>
    </row>
    <row r="16">
      <c r="A16" s="10" t="inlineStr">
        <is>
          <t xml:space="preserve">   Piutang lain-lain</t>
        </is>
      </c>
      <c r="C16" s="28">
        <f>-('A3 Neraca Contoh'!D10-'A3 Neraca Contoh'!C10)</f>
        <v/>
      </c>
      <c r="D16" s="28">
        <f>-('A3 Neraca Contoh'!E10-'A3 Neraca Contoh'!D10)</f>
        <v/>
      </c>
    </row>
    <row r="17">
      <c r="A17" s="10" t="inlineStr">
        <is>
          <t xml:space="preserve">   Persediaan batubara</t>
        </is>
      </c>
      <c r="C17" s="28">
        <f>-('A3 Neraca Contoh'!D11-'A3 Neraca Contoh'!C11)</f>
        <v/>
      </c>
      <c r="D17" s="28">
        <f>-('A3 Neraca Contoh'!E11-'A3 Neraca Contoh'!D11)</f>
        <v/>
      </c>
    </row>
    <row r="18">
      <c r="A18" s="10" t="inlineStr">
        <is>
          <t xml:space="preserve">   Persediaan suku cadang &amp; BBM</t>
        </is>
      </c>
      <c r="C18" s="28">
        <f>-('A3 Neraca Contoh'!D12-'A3 Neraca Contoh'!C12)</f>
        <v/>
      </c>
      <c r="D18" s="28">
        <f>-('A3 Neraca Contoh'!E12-'A3 Neraca Contoh'!D12)</f>
        <v/>
      </c>
    </row>
    <row r="19">
      <c r="A19" s="10" t="inlineStr">
        <is>
          <t xml:space="preserve">   Uang muka &amp; biaya dibayar dimuka</t>
        </is>
      </c>
      <c r="C19" s="28">
        <f>-('A3 Neraca Contoh'!D13-'A3 Neraca Contoh'!C13)</f>
        <v/>
      </c>
      <c r="D19" s="28">
        <f>-('A3 Neraca Contoh'!E13-'A3 Neraca Contoh'!D13)</f>
        <v/>
      </c>
    </row>
    <row r="20">
      <c r="A20" s="10" t="inlineStr">
        <is>
          <t xml:space="preserve">   Pajak dibayar dimuka</t>
        </is>
      </c>
      <c r="C20" s="28">
        <f>-('A3 Neraca Contoh'!D14-'A3 Neraca Contoh'!C14)</f>
        <v/>
      </c>
      <c r="D20" s="28">
        <f>-('A3 Neraca Contoh'!E14-'A3 Neraca Contoh'!D14)</f>
        <v/>
      </c>
    </row>
    <row r="21">
      <c r="A21" s="10" t="inlineStr">
        <is>
          <t xml:space="preserve">   Utang usaha</t>
        </is>
      </c>
      <c r="C21" s="28">
        <f>('A3 Neraca Contoh'!D30-'A3 Neraca Contoh'!C30)</f>
        <v/>
      </c>
      <c r="D21" s="28">
        <f>('A3 Neraca Contoh'!E30-'A3 Neraca Contoh'!D30)</f>
        <v/>
      </c>
    </row>
    <row r="22">
      <c r="A22" s="10" t="inlineStr">
        <is>
          <t xml:space="preserve">   Utang royalti</t>
        </is>
      </c>
      <c r="C22" s="28">
        <f>('A3 Neraca Contoh'!D31-'A3 Neraca Contoh'!C31)</f>
        <v/>
      </c>
      <c r="D22" s="28">
        <f>('A3 Neraca Contoh'!E31-'A3 Neraca Contoh'!D31)</f>
        <v/>
      </c>
    </row>
    <row r="23">
      <c r="A23" s="10" t="inlineStr">
        <is>
          <t xml:space="preserve">   Beban akrual</t>
        </is>
      </c>
      <c r="C23" s="28">
        <f>('A3 Neraca Contoh'!D32-'A3 Neraca Contoh'!C32)</f>
        <v/>
      </c>
      <c r="D23" s="28">
        <f>('A3 Neraca Contoh'!E32-'A3 Neraca Contoh'!D32)</f>
        <v/>
      </c>
    </row>
    <row r="24">
      <c r="A24" s="10" t="inlineStr">
        <is>
          <t xml:space="preserve">   Utang pajak</t>
        </is>
      </c>
      <c r="C24" s="28">
        <f>('A3 Neraca Contoh'!D33-'A3 Neraca Contoh'!C33)</f>
        <v/>
      </c>
      <c r="D24" s="28">
        <f>('A3 Neraca Contoh'!E33-'A3 Neraca Contoh'!D33)</f>
        <v/>
      </c>
    </row>
    <row r="25">
      <c r="A25" s="31" t="inlineStr">
        <is>
          <t>Kas bersih dari aktivitas operasi</t>
        </is>
      </c>
      <c r="B25" s="32" t="n"/>
      <c r="C25" s="33">
        <f>SUM(C7:C24)</f>
        <v/>
      </c>
      <c r="D25" s="33">
        <f>SUM(D7:D24)</f>
        <v/>
      </c>
    </row>
    <row r="27">
      <c r="A27" s="4" t="inlineStr">
        <is>
          <t>ARUS KAS DARI AKTIVITAS INVESTASI</t>
        </is>
      </c>
      <c r="B27" s="5" t="n"/>
      <c r="C27" s="5" t="n"/>
      <c r="D27" s="5" t="n"/>
    </row>
    <row r="28">
      <c r="A28" s="10" t="inlineStr">
        <is>
          <t xml:space="preserve">   Perolehan aset tetap</t>
        </is>
      </c>
      <c r="C28" s="28">
        <f>-(('A3 Neraca Contoh'!D17-'A3 Neraca Contoh'!C17)+'A2 Laba Rugi Contoh'!C43+'A2 Laba Rugi Contoh'!C71)</f>
        <v/>
      </c>
      <c r="D28" s="28">
        <f>-(('A3 Neraca Contoh'!E17-'A3 Neraca Contoh'!D17)+'A2 Laba Rugi Contoh'!D43+'A2 Laba Rugi Contoh'!D71)</f>
        <v/>
      </c>
    </row>
    <row r="29">
      <c r="A29" s="10" t="inlineStr">
        <is>
          <t xml:space="preserve">   Penambahan properti pertambangan</t>
        </is>
      </c>
      <c r="C29" s="28">
        <f>-(('A3 Neraca Contoh'!D18-'A3 Neraca Contoh'!C18)+'A2 Laba Rugi Contoh'!C44)</f>
        <v/>
      </c>
      <c r="D29" s="28">
        <f>-(('A3 Neraca Contoh'!E18-'A3 Neraca Contoh'!D18)+'A2 Laba Rugi Contoh'!D44)</f>
        <v/>
      </c>
    </row>
    <row r="30">
      <c r="A30" s="10" t="inlineStr">
        <is>
          <t xml:space="preserve">   Biaya pengupasan tangguhan</t>
        </is>
      </c>
      <c r="C30" s="28">
        <f>-(('A3 Neraca Contoh'!D20-'A3 Neraca Contoh'!C20)+'A2 Laba Rugi Contoh'!C45)</f>
        <v/>
      </c>
      <c r="D30" s="28">
        <f>-(('A3 Neraca Contoh'!E20-'A3 Neraca Contoh'!D20)+'A2 Laba Rugi Contoh'!D45)</f>
        <v/>
      </c>
    </row>
    <row r="31">
      <c r="A31" s="10" t="inlineStr">
        <is>
          <t xml:space="preserve">   Pengeluaran eksplorasi &amp; evaluasi</t>
        </is>
      </c>
      <c r="C31" s="28">
        <f>-('A3 Neraca Contoh'!D19-'A3 Neraca Contoh'!C19)</f>
        <v/>
      </c>
      <c r="D31" s="28">
        <f>-('A3 Neraca Contoh'!E19-'A3 Neraca Contoh'!D19)</f>
        <v/>
      </c>
    </row>
    <row r="32">
      <c r="A32" s="10" t="inlineStr">
        <is>
          <t xml:space="preserve">   Penempatan dana jaminan reklamasi</t>
        </is>
      </c>
      <c r="C32" s="28">
        <f>-('A3 Neraca Contoh'!D22-'A3 Neraca Contoh'!C22)</f>
        <v/>
      </c>
      <c r="D32" s="28">
        <f>-('A3 Neraca Contoh'!E22-'A3 Neraca Contoh'!D22)</f>
        <v/>
      </c>
    </row>
    <row r="33">
      <c r="A33" s="10" t="inlineStr">
        <is>
          <t xml:space="preserve">   Aset tidak lancar lainnya</t>
        </is>
      </c>
      <c r="C33" s="28">
        <f>-('A3 Neraca Contoh'!D24-'A3 Neraca Contoh'!C24)</f>
        <v/>
      </c>
      <c r="D33" s="28">
        <f>-('A3 Neraca Contoh'!E24-'A3 Neraca Contoh'!D24)</f>
        <v/>
      </c>
    </row>
    <row r="34">
      <c r="A34" s="31" t="inlineStr">
        <is>
          <t>Kas bersih untuk aktivitas investasi</t>
        </is>
      </c>
      <c r="B34" s="32" t="n"/>
      <c r="C34" s="33">
        <f>SUM(C28:C33)</f>
        <v/>
      </c>
      <c r="D34" s="33">
        <f>SUM(D28:D33)</f>
        <v/>
      </c>
    </row>
    <row r="36">
      <c r="A36" s="4" t="inlineStr">
        <is>
          <t>ARUS KAS DARI AKTIVITAS PENDANAAN</t>
        </is>
      </c>
      <c r="B36" s="5" t="n"/>
      <c r="C36" s="5" t="n"/>
      <c r="D36" s="5" t="n"/>
    </row>
    <row r="37">
      <c r="A37" s="10" t="inlineStr">
        <is>
          <t xml:space="preserve">   Penerimaan (pembayaran) pinjaman jangka pendek – neto</t>
        </is>
      </c>
      <c r="C37" s="28">
        <f>('A3 Neraca Contoh'!D34-'A3 Neraca Contoh'!C34)</f>
        <v/>
      </c>
      <c r="D37" s="28">
        <f>('A3 Neraca Contoh'!E34-'A3 Neraca Contoh'!D34)</f>
        <v/>
      </c>
    </row>
    <row r="38">
      <c r="A38" s="10" t="inlineStr">
        <is>
          <t xml:space="preserve">   Penerimaan pinjaman bank jangka panjang</t>
        </is>
      </c>
      <c r="C38" s="28">
        <f>'A1 Asumsi Contoh'!C79</f>
        <v/>
      </c>
      <c r="D38" s="28">
        <f>'A1 Asumsi Contoh'!D79</f>
        <v/>
      </c>
    </row>
    <row r="39">
      <c r="A39" s="10" t="inlineStr">
        <is>
          <t xml:space="preserve">   Pembayaran pinjaman bank jangka panjang</t>
        </is>
      </c>
      <c r="C39" s="28">
        <f>-'A1 Asumsi Contoh'!C80</f>
        <v/>
      </c>
      <c r="D39" s="28">
        <f>-'A1 Asumsi Contoh'!D80</f>
        <v/>
      </c>
    </row>
    <row r="40">
      <c r="A40" s="10" t="inlineStr">
        <is>
          <t xml:space="preserve">   Pembayaran dividen</t>
        </is>
      </c>
      <c r="C40" s="28">
        <f>-'A1 Asumsi Contoh'!C88</f>
        <v/>
      </c>
      <c r="D40" s="28">
        <f>-'A1 Asumsi Contoh'!D88</f>
        <v/>
      </c>
    </row>
    <row r="41">
      <c r="A41" s="10" t="inlineStr">
        <is>
          <t xml:space="preserve">   Perubahan ekuitas lainnya</t>
        </is>
      </c>
      <c r="C41" s="28">
        <f>('A3 Neraca Contoh'!D46-'A3 Neraca Contoh'!C46)+('A3 Neraca Contoh'!D47-'A3 Neraca Contoh'!C47)+('A3 Neraca Contoh'!D49-'A3 Neraca Contoh'!C49)+('A3 Neraca Contoh'!D50-'A3 Neraca Contoh'!C50)</f>
        <v/>
      </c>
      <c r="D41" s="28">
        <f>('A3 Neraca Contoh'!E46-'A3 Neraca Contoh'!D46)+('A3 Neraca Contoh'!E47-'A3 Neraca Contoh'!D47)+('A3 Neraca Contoh'!E49-'A3 Neraca Contoh'!D49)+('A3 Neraca Contoh'!E50-'A3 Neraca Contoh'!D50)</f>
        <v/>
      </c>
    </row>
    <row r="42">
      <c r="A42" s="31" t="inlineStr">
        <is>
          <t>Kas bersih dari (untuk) aktivitas pendanaan</t>
        </is>
      </c>
      <c r="B42" s="32" t="n"/>
      <c r="C42" s="33">
        <f>SUM(C37:C41)</f>
        <v/>
      </c>
      <c r="D42" s="33">
        <f>SUM(D37:D41)</f>
        <v/>
      </c>
    </row>
    <row r="44">
      <c r="A44" s="20" t="inlineStr">
        <is>
          <t xml:space="preserve">   KENAIKAN (PENURUNAN) BERSIH KAS</t>
        </is>
      </c>
      <c r="B44" s="23" t="n"/>
      <c r="C44" s="22">
        <f>C25+C34+C42</f>
        <v/>
      </c>
      <c r="D44" s="22">
        <f>D25+D34+D42</f>
        <v/>
      </c>
    </row>
    <row r="45">
      <c r="A45" s="10" t="inlineStr">
        <is>
          <t xml:space="preserve">   Kas dan setara kas awal tahun</t>
        </is>
      </c>
      <c r="C45" s="28">
        <f>'A3 Neraca Contoh'!C8</f>
        <v/>
      </c>
      <c r="D45" s="28">
        <f>'A3 Neraca Contoh'!D8</f>
        <v/>
      </c>
    </row>
    <row r="46">
      <c r="A46" s="31" t="inlineStr">
        <is>
          <t>KAS DAN SETARA KAS AKHIR TAHUN</t>
        </is>
      </c>
      <c r="B46" s="32" t="n"/>
      <c r="C46" s="33">
        <f>C45+C44</f>
        <v/>
      </c>
      <c r="D46" s="33">
        <f>D45+D44</f>
        <v/>
      </c>
    </row>
    <row r="47">
      <c r="A47" s="37" t="inlineStr">
        <is>
          <t xml:space="preserve">   Memo: Free cash flow (CFO + CFI)</t>
        </is>
      </c>
      <c r="C47" s="38">
        <f>C25+C34</f>
        <v/>
      </c>
      <c r="D47" s="38">
        <f>D25+D34</f>
        <v/>
      </c>
    </row>
    <row r="49">
      <c r="A49" s="4" t="inlineStr">
        <is>
          <t>MEMO: ARUS KAS OPERASI – METODE LANGSUNG (format penyajian emiten Tbk)</t>
        </is>
      </c>
      <c r="B49" s="5" t="n"/>
      <c r="C49" s="5" t="n"/>
      <c r="D49" s="5" t="n"/>
    </row>
    <row r="50">
      <c r="A50" s="10" t="inlineStr">
        <is>
          <t xml:space="preserve">   Penerimaan kas dari pelanggan</t>
        </is>
      </c>
      <c r="C50" s="28">
        <f>'A2 Laba Rugi Contoh'!C13+C15</f>
        <v/>
      </c>
      <c r="D50" s="28">
        <f>'A2 Laba Rugi Contoh'!D13+D15</f>
        <v/>
      </c>
    </row>
    <row r="51">
      <c r="A51" s="10" t="inlineStr">
        <is>
          <t xml:space="preserve">   Penerimaan bunga</t>
        </is>
      </c>
      <c r="C51" s="28">
        <f>'A2 Laba Rugi Contoh'!C80</f>
        <v/>
      </c>
      <c r="D51" s="28">
        <f>'A2 Laba Rugi Contoh'!D80</f>
        <v/>
      </c>
    </row>
    <row r="52">
      <c r="A52" s="10" t="inlineStr">
        <is>
          <t xml:space="preserve">   Pembayaran royalti</t>
        </is>
      </c>
      <c r="C52" s="28">
        <f>-'A2 Laba Rugi Contoh'!C33+C22</f>
        <v/>
      </c>
      <c r="D52" s="28">
        <f>-'A2 Laba Rugi Contoh'!D33+D22</f>
        <v/>
      </c>
    </row>
    <row r="53">
      <c r="A53" s="10" t="inlineStr">
        <is>
          <t xml:space="preserve">   Pembayaran pajak penghasilan</t>
        </is>
      </c>
      <c r="C53" s="28">
        <f>-'A2 Laba Rugi Contoh'!C88+C24+C20+C13</f>
        <v/>
      </c>
      <c r="D53" s="28">
        <f>-'A2 Laba Rugi Contoh'!D88+D24+D20+D13</f>
        <v/>
      </c>
    </row>
    <row r="54">
      <c r="A54" s="10" t="inlineStr">
        <is>
          <t xml:space="preserve">   Pembayaran bunga &amp; beban keuangan</t>
        </is>
      </c>
      <c r="C54" s="28">
        <f>'A2 Laba Rugi Contoh'!C81</f>
        <v/>
      </c>
      <c r="D54" s="28">
        <f>'A2 Laba Rugi Contoh'!D81</f>
        <v/>
      </c>
    </row>
    <row r="55">
      <c r="A55" s="10" t="inlineStr">
        <is>
          <t xml:space="preserve">   Pembayaran kepada pemasok, kontraktor &amp; karyawan (selisih)</t>
        </is>
      </c>
      <c r="C55" s="19">
        <f>C25-C50-C51-C52-C53-C54</f>
        <v/>
      </c>
      <c r="D55" s="19">
        <f>D25-D50-D51-D52-D53-D54</f>
        <v/>
      </c>
    </row>
    <row r="56">
      <c r="A56" s="31" t="inlineStr">
        <is>
          <t>Kas bersih dari aktivitas operasi</t>
        </is>
      </c>
      <c r="B56" s="32" t="n"/>
      <c r="C56" s="33">
        <f>SUM(C50:C55)</f>
        <v/>
      </c>
      <c r="D56" s="33">
        <f>SUM(D50:D55)</f>
        <v/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J5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4" customWidth="1" min="8" max="8"/>
    <col width="18" customWidth="1" min="9" max="9"/>
    <col width="12" customWidth="1" min="10" max="10"/>
  </cols>
  <sheetData>
    <row r="1">
      <c r="A1" s="1" t="inlineStr">
        <is>
          <t>Struktur Pendapatan &amp; Struktur Biaya – Perusahaan Tambang Batubara (model contoh)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Sumber angka: sheet A1–A2. Dalam Rp juta kecuali disebutkan.</t>
        </is>
      </c>
    </row>
    <row r="4">
      <c r="A4" s="4" t="inlineStr">
        <is>
          <t>1. STRUKTUR PENDAPATAN (REVENUE STRUCTURE)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16" t="inlineStr">
        <is>
          <t>Segmen pendapatan</t>
        </is>
      </c>
      <c r="B5" s="16" t="inlineStr">
        <is>
          <t>Volume 2024 (ton)</t>
        </is>
      </c>
      <c r="C5" s="16" t="inlineStr">
        <is>
          <t>ASP 2024 (USD/t)</t>
        </is>
      </c>
      <c r="D5" s="16" t="inlineStr">
        <is>
          <t>Pendapatan 2024</t>
        </is>
      </c>
      <c r="E5" s="16" t="inlineStr">
        <is>
          <t>Porsi 2024</t>
        </is>
      </c>
      <c r="F5" s="16" t="inlineStr">
        <is>
          <t>Volume 2025 (ton)</t>
        </is>
      </c>
      <c r="G5" s="16" t="inlineStr">
        <is>
          <t>ASP 2025 (USD/t)</t>
        </is>
      </c>
      <c r="H5" s="16" t="inlineStr">
        <is>
          <t>Pendapatan 2025</t>
        </is>
      </c>
      <c r="I5" s="16" t="inlineStr">
        <is>
          <t>Porsi 2025</t>
        </is>
      </c>
      <c r="J5" s="16" t="inlineStr">
        <is>
          <t>Pertumbuhan</t>
        </is>
      </c>
    </row>
    <row r="6">
      <c r="A6" s="10" t="inlineStr">
        <is>
          <t>Ekspor</t>
        </is>
      </c>
      <c r="B6" s="28">
        <f>'A1 Asumsi Contoh'!C18</f>
        <v/>
      </c>
      <c r="C6" s="39">
        <f>'A1 Asumsi Contoh'!C9</f>
        <v/>
      </c>
      <c r="D6" s="28">
        <f>'A2 Laba Rugi Contoh'!C7</f>
        <v/>
      </c>
      <c r="E6" s="24">
        <f>IFERROR(D6/D$11,0)</f>
        <v/>
      </c>
      <c r="F6" s="28">
        <f>'A1 Asumsi Contoh'!D18</f>
        <v/>
      </c>
      <c r="G6" s="39">
        <f>'A1 Asumsi Contoh'!D9</f>
        <v/>
      </c>
      <c r="H6" s="28">
        <f>'A2 Laba Rugi Contoh'!D7</f>
        <v/>
      </c>
      <c r="I6" s="24">
        <f>IFERROR(H6/H$11,0)</f>
        <v/>
      </c>
      <c r="J6" s="24">
        <f>IFERROR((H6-D6)/ABS(D6),"")</f>
        <v/>
      </c>
    </row>
    <row r="7">
      <c r="A7" s="10" t="inlineStr">
        <is>
          <t>Domestik – DMO (kelistrikan)</t>
        </is>
      </c>
      <c r="B7" s="28">
        <f>'A1 Asumsi Contoh'!C19</f>
        <v/>
      </c>
      <c r="C7" s="39">
        <f>'A1 Asumsi Contoh'!C10</f>
        <v/>
      </c>
      <c r="D7" s="28">
        <f>'A2 Laba Rugi Contoh'!C8</f>
        <v/>
      </c>
      <c r="E7" s="24">
        <f>IFERROR(D7/D$11,0)</f>
        <v/>
      </c>
      <c r="F7" s="28">
        <f>'A1 Asumsi Contoh'!D19</f>
        <v/>
      </c>
      <c r="G7" s="39">
        <f>'A1 Asumsi Contoh'!D10</f>
        <v/>
      </c>
      <c r="H7" s="28">
        <f>'A2 Laba Rugi Contoh'!D8</f>
        <v/>
      </c>
      <c r="I7" s="24">
        <f>IFERROR(H7/H$11,0)</f>
        <v/>
      </c>
      <c r="J7" s="24">
        <f>IFERROR((H7-D7)/ABS(D7),"")</f>
        <v/>
      </c>
    </row>
    <row r="8">
      <c r="A8" s="10" t="inlineStr">
        <is>
          <t>Domestik – non-DMO (industri)</t>
        </is>
      </c>
      <c r="B8" s="28">
        <f>'A1 Asumsi Contoh'!C20</f>
        <v/>
      </c>
      <c r="C8" s="39">
        <f>'A1 Asumsi Contoh'!C11</f>
        <v/>
      </c>
      <c r="D8" s="28">
        <f>'A2 Laba Rugi Contoh'!C9</f>
        <v/>
      </c>
      <c r="E8" s="24">
        <f>IFERROR(D8/D$11,0)</f>
        <v/>
      </c>
      <c r="F8" s="28">
        <f>'A1 Asumsi Contoh'!D20</f>
        <v/>
      </c>
      <c r="G8" s="39">
        <f>'A1 Asumsi Contoh'!D11</f>
        <v/>
      </c>
      <c r="H8" s="28">
        <f>'A2 Laba Rugi Contoh'!D9</f>
        <v/>
      </c>
      <c r="I8" s="24">
        <f>IFERROR(H8/H$11,0)</f>
        <v/>
      </c>
      <c r="J8" s="24">
        <f>IFERROR((H8-D8)/ABS(D8),"")</f>
        <v/>
      </c>
    </row>
    <row r="9">
      <c r="A9" s="10" t="inlineStr">
        <is>
          <t>Penyesuaian harga / penalti kualitas</t>
        </is>
      </c>
      <c r="D9" s="28">
        <f>'A2 Laba Rugi Contoh'!C11</f>
        <v/>
      </c>
      <c r="E9" s="24">
        <f>IFERROR(D9/D$11,0)</f>
        <v/>
      </c>
      <c r="H9" s="28">
        <f>'A2 Laba Rugi Contoh'!D11</f>
        <v/>
      </c>
      <c r="I9" s="24">
        <f>IFERROR(H9/H$11,0)</f>
        <v/>
      </c>
      <c r="J9" s="24">
        <f>IFERROR((H9-D9)/ABS(D9),"")</f>
        <v/>
      </c>
    </row>
    <row r="10">
      <c r="A10" s="10" t="inlineStr">
        <is>
          <t>Pendapatan jasa pihak ketiga</t>
        </is>
      </c>
      <c r="D10" s="28">
        <f>'A2 Laba Rugi Contoh'!C12</f>
        <v/>
      </c>
      <c r="E10" s="24">
        <f>IFERROR(D10/D$11,0)</f>
        <v/>
      </c>
      <c r="H10" s="28">
        <f>'A2 Laba Rugi Contoh'!D12</f>
        <v/>
      </c>
      <c r="I10" s="24">
        <f>IFERROR(H10/H$11,0)</f>
        <v/>
      </c>
      <c r="J10" s="24">
        <f>IFERROR((H10-D10)/ABS(D10),"")</f>
        <v/>
      </c>
    </row>
    <row r="11">
      <c r="A11" s="31" t="inlineStr">
        <is>
          <t>TOTAL PENDAPATAN BERSIH</t>
        </is>
      </c>
      <c r="B11" s="33">
        <f>SUM(B6:B10)</f>
        <v/>
      </c>
      <c r="C11" s="40">
        <f>IFERROR(SUM(D6:D8)*1000000/B11/'A1 Asumsi Contoh'!C7,0)</f>
        <v/>
      </c>
      <c r="D11" s="33">
        <f>SUM(D6:D10)</f>
        <v/>
      </c>
      <c r="E11" s="41">
        <f>SUM(E6:E10)</f>
        <v/>
      </c>
      <c r="F11" s="33">
        <f>SUM(F6:F10)</f>
        <v/>
      </c>
      <c r="G11" s="40">
        <f>IFERROR(SUM(H6:H8)*1000000/F11/'A1 Asumsi Contoh'!D7,0)</f>
        <v/>
      </c>
      <c r="H11" s="33">
        <f>SUM(H6:H10)</f>
        <v/>
      </c>
      <c r="I11" s="41">
        <f>SUM(I6:I10)</f>
        <v/>
      </c>
      <c r="J11" s="41">
        <f>IFERROR((H11-D11)/ABS(D11),"")</f>
        <v/>
      </c>
    </row>
    <row r="12">
      <c r="A12" s="3" t="inlineStr">
        <is>
          <t>ASP total = ASP rata-rata tertimbang penjualan batubara (excl. penalti &amp; jasa).</t>
        </is>
      </c>
    </row>
    <row r="13">
      <c r="A13" s="8" t="inlineStr">
        <is>
          <t>Pemicu pendapatan: Pendapatan batubara = Volume penjualan (ton) × Harga realisasi (USD/t) × Kurs (Rp/USD) ± penyesuaian kualitas.</t>
        </is>
      </c>
    </row>
    <row r="14">
      <c r="A14" s="8" t="inlineStr">
        <is>
          <t>Harga realisasi dipengaruhi: indeks acuan (HBA / ICI / Newcastle), nilai kalori (GAR/NAR), spesifikasi (TM, ash, sulfur), term FOB vs CIF, dan kontrak DMO (cap harga).</t>
        </is>
      </c>
    </row>
    <row r="15">
      <c r="A15" s="8" t="inlineStr">
        <is>
          <t>Bauran pasar: ekspor (harga pasar, eksposur USD), DMO (harga dibatasi, kewajiban ≥25%), domestik non-DMO (industri/semen/smelter). Pendapatan jasa = pemanfaatan pelabuhan/jalan hauling oleh pihak ketiga.</t>
        </is>
      </c>
    </row>
    <row r="18">
      <c r="A18" s="4" t="inlineStr">
        <is>
          <t>2. STRUKTUR BIAYA (COST STRUCTURE) – total biaya = BPP + beban usaha + beban keuangan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16" t="inlineStr">
        <is>
          <t>Komponen biaya</t>
        </is>
      </c>
      <c r="B19" s="16" t="inlineStr">
        <is>
          <t>FY2024 (Rp juta)</t>
        </is>
      </c>
      <c r="C19" s="16" t="inlineStr">
        <is>
          <t>FY2025 (Rp juta)</t>
        </is>
      </c>
      <c r="D19" s="16" t="inlineStr">
        <is>
          <t>Porsi thd total biaya 2025</t>
        </is>
      </c>
      <c r="E19" s="16" t="inlineStr">
        <is>
          <t>% thd pendapatan 2025</t>
        </is>
      </c>
      <c r="F19" s="16" t="inlineStr">
        <is>
          <t>USD/t terjual 2025</t>
        </is>
      </c>
      <c r="G19" s="16" t="inlineStr">
        <is>
          <t>Sifat biaya</t>
        </is>
      </c>
      <c r="H19" s="16" t="inlineStr">
        <is>
          <t>Pemicu biaya (cost driver)</t>
        </is>
      </c>
      <c r="I19" s="16" t="inlineStr">
        <is>
          <t>Dapat dikendalikan</t>
        </is>
      </c>
      <c r="J19" s="16" t="inlineStr">
        <is>
          <t>Δ% YoY</t>
        </is>
      </c>
    </row>
    <row r="20">
      <c r="A20" s="10" t="inlineStr">
        <is>
          <t>Pengupasan OB (kontraktor + BBM + peledakan)</t>
        </is>
      </c>
      <c r="B20" s="28">
        <f>'A2 Laba Rugi Contoh'!C17+'A2 Laba Rugi Contoh'!C18+'A2 Laba Rugi Contoh'!C19</f>
        <v/>
      </c>
      <c r="C20" s="28">
        <f>'A2 Laba Rugi Contoh'!D17+'A2 Laba Rugi Contoh'!D18+'A2 Laba Rugi Contoh'!D19</f>
        <v/>
      </c>
      <c r="D20" s="24">
        <f>IFERROR(C20/C$35,0)</f>
        <v/>
      </c>
      <c r="E20" s="42">
        <f>IFERROR(C20/'A2 Laba Rugi Contoh'!D13,0)</f>
        <v/>
      </c>
      <c r="F20" s="39">
        <f>IFERROR(C20*1000000/'A1 Asumsi Contoh'!D21/'A1 Asumsi Contoh'!D7,0)</f>
        <v/>
      </c>
      <c r="G20" s="11" t="inlineStr">
        <is>
          <t>Variabel</t>
        </is>
      </c>
      <c r="H20" s="8" t="inlineStr">
        <is>
          <t>Volume OB (bcm) = produksi × SR; tarif; harga BBM</t>
        </is>
      </c>
      <c r="I20" s="11" t="inlineStr">
        <is>
          <t>Ya</t>
        </is>
      </c>
      <c r="J20" s="24">
        <f>IFERROR((C20-B20)/ABS(B20),"")</f>
        <v/>
      </c>
    </row>
    <row r="21">
      <c r="A21" s="10" t="inlineStr">
        <is>
          <t>Penggalian batubara (coal getting)</t>
        </is>
      </c>
      <c r="B21" s="28">
        <f>'A2 Laba Rugi Contoh'!C20</f>
        <v/>
      </c>
      <c r="C21" s="28">
        <f>'A2 Laba Rugi Contoh'!D20</f>
        <v/>
      </c>
      <c r="D21" s="24">
        <f>IFERROR(C21/C$35,0)</f>
        <v/>
      </c>
      <c r="E21" s="42">
        <f>IFERROR(C21/'A2 Laba Rugi Contoh'!D13,0)</f>
        <v/>
      </c>
      <c r="F21" s="39">
        <f>IFERROR(C21*1000000/'A1 Asumsi Contoh'!D21/'A1 Asumsi Contoh'!D7,0)</f>
        <v/>
      </c>
      <c r="G21" s="11" t="inlineStr">
        <is>
          <t>Variabel</t>
        </is>
      </c>
      <c r="H21" s="8" t="inlineStr">
        <is>
          <t>Ton produksi × tarif</t>
        </is>
      </c>
      <c r="I21" s="11" t="inlineStr">
        <is>
          <t>Ya</t>
        </is>
      </c>
      <c r="J21" s="24">
        <f>IFERROR((C21-B21)/ABS(B21),"")</f>
        <v/>
      </c>
    </row>
    <row r="22">
      <c r="A22" s="10" t="inlineStr">
        <is>
          <t>Biaya tambang tetap (sewa alat, pemeliharaan, dewatering, survei)</t>
        </is>
      </c>
      <c r="B22" s="28">
        <f>'A2 Laba Rugi Contoh'!C21+'A2 Laba Rugi Contoh'!C22+'A2 Laba Rugi Contoh'!C23+'A2 Laba Rugi Contoh'!C24</f>
        <v/>
      </c>
      <c r="C22" s="28">
        <f>'A2 Laba Rugi Contoh'!D21+'A2 Laba Rugi Contoh'!D22+'A2 Laba Rugi Contoh'!D23+'A2 Laba Rugi Contoh'!D24</f>
        <v/>
      </c>
      <c r="D22" s="24">
        <f>IFERROR(C22/C$35,0)</f>
        <v/>
      </c>
      <c r="E22" s="42">
        <f>IFERROR(C22/'A2 Laba Rugi Contoh'!D13,0)</f>
        <v/>
      </c>
      <c r="F22" s="39">
        <f>IFERROR(C22*1000000/'A1 Asumsi Contoh'!D21/'A1 Asumsi Contoh'!D7,0)</f>
        <v/>
      </c>
      <c r="G22" s="11" t="inlineStr">
        <is>
          <t>Tetap</t>
        </is>
      </c>
      <c r="H22" s="8" t="inlineStr">
        <is>
          <t>Kontrak periodik, curah hujan</t>
        </is>
      </c>
      <c r="I22" s="11" t="inlineStr">
        <is>
          <t>Ya</t>
        </is>
      </c>
      <c r="J22" s="24">
        <f>IFERROR((C22-B22)/ABS(B22),"")</f>
        <v/>
      </c>
    </row>
    <row r="23">
      <c r="A23" s="10" t="inlineStr">
        <is>
          <t>Crushing &amp; pengolahan (CPP)</t>
        </is>
      </c>
      <c r="B23" s="28">
        <f>'A2 Laba Rugi Contoh'!C27</f>
        <v/>
      </c>
      <c r="C23" s="28">
        <f>'A2 Laba Rugi Contoh'!D27</f>
        <v/>
      </c>
      <c r="D23" s="24">
        <f>IFERROR(C23/C$35,0)</f>
        <v/>
      </c>
      <c r="E23" s="42">
        <f>IFERROR(C23/'A2 Laba Rugi Contoh'!D13,0)</f>
        <v/>
      </c>
      <c r="F23" s="39">
        <f>IFERROR(C23*1000000/'A1 Asumsi Contoh'!D21/'A1 Asumsi Contoh'!D7,0)</f>
        <v/>
      </c>
      <c r="G23" s="11" t="inlineStr">
        <is>
          <t>Variabel</t>
        </is>
      </c>
      <c r="H23" s="8" t="inlineStr">
        <is>
          <t>Ton produksi</t>
        </is>
      </c>
      <c r="I23" s="11" t="inlineStr">
        <is>
          <t>Ya</t>
        </is>
      </c>
      <c r="J23" s="24">
        <f>IFERROR((C23-B23)/ABS(B23),"")</f>
        <v/>
      </c>
    </row>
    <row r="24">
      <c r="A24" s="10" t="inlineStr">
        <is>
          <t>Hauling tambang – pelabuhan</t>
        </is>
      </c>
      <c r="B24" s="28">
        <f>'A2 Laba Rugi Contoh'!C28</f>
        <v/>
      </c>
      <c r="C24" s="28">
        <f>'A2 Laba Rugi Contoh'!D28</f>
        <v/>
      </c>
      <c r="D24" s="24">
        <f>IFERROR(C24/C$35,0)</f>
        <v/>
      </c>
      <c r="E24" s="42">
        <f>IFERROR(C24/'A2 Laba Rugi Contoh'!D13,0)</f>
        <v/>
      </c>
      <c r="F24" s="39">
        <f>IFERROR(C24*1000000/'A1 Asumsi Contoh'!D21/'A1 Asumsi Contoh'!D7,0)</f>
        <v/>
      </c>
      <c r="G24" s="11" t="inlineStr">
        <is>
          <t>Variabel</t>
        </is>
      </c>
      <c r="H24" s="8" t="inlineStr">
        <is>
          <t>Ton × jarak (km) × tarif</t>
        </is>
      </c>
      <c r="I24" s="11" t="inlineStr">
        <is>
          <t>Ya</t>
        </is>
      </c>
      <c r="J24" s="24">
        <f>IFERROR((C24-B24)/ABS(B24),"")</f>
        <v/>
      </c>
    </row>
    <row r="25">
      <c r="A25" s="10" t="inlineStr">
        <is>
          <t>Pelabuhan &amp; stockpile</t>
        </is>
      </c>
      <c r="B25" s="28">
        <f>'A2 Laba Rugi Contoh'!C29</f>
        <v/>
      </c>
      <c r="C25" s="28">
        <f>'A2 Laba Rugi Contoh'!D29</f>
        <v/>
      </c>
      <c r="D25" s="24">
        <f>IFERROR(C25/C$35,0)</f>
        <v/>
      </c>
      <c r="E25" s="42">
        <f>IFERROR(C25/'A2 Laba Rugi Contoh'!D13,0)</f>
        <v/>
      </c>
      <c r="F25" s="39">
        <f>IFERROR(C25*1000000/'A1 Asumsi Contoh'!D21/'A1 Asumsi Contoh'!D7,0)</f>
        <v/>
      </c>
      <c r="G25" s="11" t="inlineStr">
        <is>
          <t>Variabel</t>
        </is>
      </c>
      <c r="H25" s="8" t="inlineStr">
        <is>
          <t>Ton penjualan</t>
        </is>
      </c>
      <c r="I25" s="11" t="inlineStr">
        <is>
          <t>Ya</t>
        </is>
      </c>
      <c r="J25" s="24">
        <f>IFERROR((C25-B25)/ABS(B25),"")</f>
        <v/>
      </c>
    </row>
    <row r="26">
      <c r="A26" s="10" t="inlineStr">
        <is>
          <t>Tongkang &amp; transshipment</t>
        </is>
      </c>
      <c r="B26" s="28">
        <f>'A2 Laba Rugi Contoh'!C30</f>
        <v/>
      </c>
      <c r="C26" s="28">
        <f>'A2 Laba Rugi Contoh'!D30</f>
        <v/>
      </c>
      <c r="D26" s="24">
        <f>IFERROR(C26/C$35,0)</f>
        <v/>
      </c>
      <c r="E26" s="42">
        <f>IFERROR(C26/'A2 Laba Rugi Contoh'!D13,0)</f>
        <v/>
      </c>
      <c r="F26" s="39">
        <f>IFERROR(C26*1000000/'A1 Asumsi Contoh'!D21/'A1 Asumsi Contoh'!D7,0)</f>
        <v/>
      </c>
      <c r="G26" s="11" t="inlineStr">
        <is>
          <t>Variabel</t>
        </is>
      </c>
      <c r="H26" s="8" t="inlineStr">
        <is>
          <t>Ton penjualan; tarif pasar tongkang</t>
        </is>
      </c>
      <c r="I26" s="11" t="inlineStr">
        <is>
          <t>Sebagian</t>
        </is>
      </c>
      <c r="J26" s="24">
        <f>IFERROR((C26-B26)/ABS(B26),"")</f>
        <v/>
      </c>
    </row>
    <row r="27">
      <c r="A27" s="10" t="inlineStr">
        <is>
          <t>Royalti / PNBP</t>
        </is>
      </c>
      <c r="B27" s="28">
        <f>'A2 Laba Rugi Contoh'!C33</f>
        <v/>
      </c>
      <c r="C27" s="28">
        <f>'A2 Laba Rugi Contoh'!D33</f>
        <v/>
      </c>
      <c r="D27" s="24">
        <f>IFERROR(C27/C$35,0)</f>
        <v/>
      </c>
      <c r="E27" s="42">
        <f>IFERROR(C27/'A2 Laba Rugi Contoh'!D13,0)</f>
        <v/>
      </c>
      <c r="F27" s="39">
        <f>IFERROR(C27*1000000/'A1 Asumsi Contoh'!D21/'A1 Asumsi Contoh'!D7,0)</f>
        <v/>
      </c>
      <c r="G27" s="11" t="inlineStr">
        <is>
          <t>Variabel</t>
        </is>
      </c>
      <c r="H27" s="8" t="inlineStr">
        <is>
          <t>Harga jual × tarif regulasi</t>
        </is>
      </c>
      <c r="I27" s="11" t="inlineStr">
        <is>
          <t>Tidak</t>
        </is>
      </c>
      <c r="J27" s="24">
        <f>IFERROR((C27-B27)/ABS(B27),"")</f>
        <v/>
      </c>
    </row>
    <row r="28">
      <c r="A28" s="10" t="inlineStr">
        <is>
          <t>Overhead site (gaji, camp, K3, PPM, lahan)</t>
        </is>
      </c>
      <c r="B28" s="28">
        <f>'A2 Laba Rugi Contoh'!C41-'A2 Laba Rugi Contoh'!C38</f>
        <v/>
      </c>
      <c r="C28" s="28">
        <f>'A2 Laba Rugi Contoh'!D41-'A2 Laba Rugi Contoh'!D38</f>
        <v/>
      </c>
      <c r="D28" s="24">
        <f>IFERROR(C28/C$35,0)</f>
        <v/>
      </c>
      <c r="E28" s="42">
        <f>IFERROR(C28/'A2 Laba Rugi Contoh'!D13,0)</f>
        <v/>
      </c>
      <c r="F28" s="39">
        <f>IFERROR(C28*1000000/'A1 Asumsi Contoh'!D21/'A1 Asumsi Contoh'!D7,0)</f>
        <v/>
      </c>
      <c r="G28" s="11" t="inlineStr">
        <is>
          <t>Tetap</t>
        </is>
      </c>
      <c r="H28" s="8" t="inlineStr">
        <is>
          <t>Headcount &amp; periode</t>
        </is>
      </c>
      <c r="I28" s="11" t="inlineStr">
        <is>
          <t>Ya</t>
        </is>
      </c>
      <c r="J28" s="24">
        <f>IFERROR((C28-B28)/ABS(B28),"")</f>
        <v/>
      </c>
    </row>
    <row r="29">
      <c r="A29" s="10" t="inlineStr">
        <is>
          <t>Lingkungan &amp; reklamasi (provisi)</t>
        </is>
      </c>
      <c r="B29" s="28">
        <f>'A2 Laba Rugi Contoh'!C38</f>
        <v/>
      </c>
      <c r="C29" s="28">
        <f>'A2 Laba Rugi Contoh'!D38</f>
        <v/>
      </c>
      <c r="D29" s="24">
        <f>IFERROR(C29/C$35,0)</f>
        <v/>
      </c>
      <c r="E29" s="42">
        <f>IFERROR(C29/'A2 Laba Rugi Contoh'!D13,0)</f>
        <v/>
      </c>
      <c r="F29" s="39">
        <f>IFERROR(C29*1000000/'A1 Asumsi Contoh'!D21/'A1 Asumsi Contoh'!D7,0)</f>
        <v/>
      </c>
      <c r="G29" s="11" t="inlineStr">
        <is>
          <t>Semi-variabel</t>
        </is>
      </c>
      <c r="H29" s="8" t="inlineStr">
        <is>
          <t>Luas bukaan lahan</t>
        </is>
      </c>
      <c r="I29" s="11" t="inlineStr">
        <is>
          <t>Sebagian</t>
        </is>
      </c>
      <c r="J29" s="24">
        <f>IFERROR((C29-B29)/ABS(B29),"")</f>
        <v/>
      </c>
    </row>
    <row r="30">
      <c r="A30" s="10" t="inlineStr">
        <is>
          <t>Penyusutan &amp; amortisasi (BPP)</t>
        </is>
      </c>
      <c r="B30" s="28">
        <f>'A2 Laba Rugi Contoh'!C46</f>
        <v/>
      </c>
      <c r="C30" s="28">
        <f>'A2 Laba Rugi Contoh'!D46</f>
        <v/>
      </c>
      <c r="D30" s="24">
        <f>IFERROR(C30/C$35,0)</f>
        <v/>
      </c>
      <c r="E30" s="42">
        <f>IFERROR(C30/'A2 Laba Rugi Contoh'!D13,0)</f>
        <v/>
      </c>
      <c r="F30" s="39">
        <f>IFERROR(C30*1000000/'A1 Asumsi Contoh'!D21/'A1 Asumsi Contoh'!D7,0)</f>
        <v/>
      </c>
      <c r="G30" s="11" t="inlineStr">
        <is>
          <t>Tetap</t>
        </is>
      </c>
      <c r="H30" s="8" t="inlineStr">
        <is>
          <t>Basis aset / unit produksi</t>
        </is>
      </c>
      <c r="I30" s="11" t="inlineStr">
        <is>
          <t>Tidak (jangka pendek)</t>
        </is>
      </c>
      <c r="J30" s="24">
        <f>IFERROR((C30-B30)/ABS(B30),"")</f>
        <v/>
      </c>
    </row>
    <row r="31">
      <c r="A31" s="10" t="inlineStr">
        <is>
          <t>Perubahan persediaan batubara</t>
        </is>
      </c>
      <c r="B31" s="28">
        <f>'A2 Laba Rugi Contoh'!C48</f>
        <v/>
      </c>
      <c r="C31" s="28">
        <f>'A2 Laba Rugi Contoh'!D48</f>
        <v/>
      </c>
      <c r="D31" s="24">
        <f>IFERROR(C31/C$35,0)</f>
        <v/>
      </c>
      <c r="E31" s="42">
        <f>IFERROR(C31/'A2 Laba Rugi Contoh'!D13,0)</f>
        <v/>
      </c>
      <c r="F31" s="39">
        <f>IFERROR(C31*1000000/'A1 Asumsi Contoh'!D21/'A1 Asumsi Contoh'!D7,0)</f>
        <v/>
      </c>
      <c r="G31" s="11" t="inlineStr">
        <is>
          <t>Variabel</t>
        </is>
      </c>
      <c r="H31" s="8" t="inlineStr">
        <is>
          <t>Selisih produksi vs penjualan</t>
        </is>
      </c>
      <c r="I31" s="11" t="inlineStr">
        <is>
          <t>Sebagian</t>
        </is>
      </c>
      <c r="J31" s="24">
        <f>IFERROR((C31-B31)/ABS(B31),"")</f>
        <v/>
      </c>
    </row>
    <row r="32">
      <c r="A32" s="10" t="inlineStr">
        <is>
          <t>Beban penjualan</t>
        </is>
      </c>
      <c r="B32" s="28">
        <f>'A2 Laba Rugi Contoh'!C62</f>
        <v/>
      </c>
      <c r="C32" s="28">
        <f>'A2 Laba Rugi Contoh'!D62</f>
        <v/>
      </c>
      <c r="D32" s="24">
        <f>IFERROR(C32/C$35,0)</f>
        <v/>
      </c>
      <c r="E32" s="42">
        <f>IFERROR(C32/'A2 Laba Rugi Contoh'!D13,0)</f>
        <v/>
      </c>
      <c r="F32" s="39">
        <f>IFERROR(C32*1000000/'A1 Asumsi Contoh'!D21/'A1 Asumsi Contoh'!D7,0)</f>
        <v/>
      </c>
      <c r="G32" s="11" t="inlineStr">
        <is>
          <t>Variabel</t>
        </is>
      </c>
      <c r="H32" s="8" t="inlineStr">
        <is>
          <t>Volume ekspor, demurrage, komisi</t>
        </is>
      </c>
      <c r="I32" s="11" t="inlineStr">
        <is>
          <t>Ya</t>
        </is>
      </c>
      <c r="J32" s="24">
        <f>IFERROR((C32-B32)/ABS(B32),"")</f>
        <v/>
      </c>
    </row>
    <row r="33">
      <c r="A33" s="10" t="inlineStr">
        <is>
          <t>Beban umum &amp; administrasi</t>
        </is>
      </c>
      <c r="B33" s="28">
        <f>'A2 Laba Rugi Contoh'!C73</f>
        <v/>
      </c>
      <c r="C33" s="28">
        <f>'A2 Laba Rugi Contoh'!D73</f>
        <v/>
      </c>
      <c r="D33" s="24">
        <f>IFERROR(C33/C$35,0)</f>
        <v/>
      </c>
      <c r="E33" s="42">
        <f>IFERROR(C33/'A2 Laba Rugi Contoh'!D13,0)</f>
        <v/>
      </c>
      <c r="F33" s="39">
        <f>IFERROR(C33*1000000/'A1 Asumsi Contoh'!D21/'A1 Asumsi Contoh'!D7,0)</f>
        <v/>
      </c>
      <c r="G33" s="11" t="inlineStr">
        <is>
          <t>Tetap</t>
        </is>
      </c>
      <c r="H33" s="8" t="inlineStr">
        <is>
          <t>Struktur organisasi kantor pusat</t>
        </is>
      </c>
      <c r="I33" s="11" t="inlineStr">
        <is>
          <t>Ya</t>
        </is>
      </c>
      <c r="J33" s="24">
        <f>IFERROR((C33-B33)/ABS(B33),"")</f>
        <v/>
      </c>
    </row>
    <row r="34">
      <c r="A34" s="10" t="inlineStr">
        <is>
          <t>Beban keuangan (bunga)</t>
        </is>
      </c>
      <c r="B34" s="28">
        <f>-'A2 Laba Rugi Contoh'!C81</f>
        <v/>
      </c>
      <c r="C34" s="28">
        <f>-'A2 Laba Rugi Contoh'!D81</f>
        <v/>
      </c>
      <c r="D34" s="24">
        <f>IFERROR(C34/C$35,0)</f>
        <v/>
      </c>
      <c r="E34" s="42">
        <f>IFERROR(C34/'A2 Laba Rugi Contoh'!D13,0)</f>
        <v/>
      </c>
      <c r="F34" s="39">
        <f>IFERROR(C34*1000000/'A1 Asumsi Contoh'!D21/'A1 Asumsi Contoh'!D7,0)</f>
        <v/>
      </c>
      <c r="G34" s="11" t="inlineStr">
        <is>
          <t>Tetap</t>
        </is>
      </c>
      <c r="H34" s="8" t="inlineStr">
        <is>
          <t>Saldo pinjaman × suku bunga</t>
        </is>
      </c>
      <c r="I34" s="11" t="inlineStr">
        <is>
          <t>Sebagian</t>
        </is>
      </c>
      <c r="J34" s="24">
        <f>IFERROR((C34-B34)/ABS(B34),"")</f>
        <v/>
      </c>
    </row>
    <row r="35">
      <c r="A35" s="31" t="inlineStr">
        <is>
          <t>TOTAL BIAYA</t>
        </is>
      </c>
      <c r="B35" s="33">
        <f>SUM(B20:B34)</f>
        <v/>
      </c>
      <c r="C35" s="33">
        <f>SUM(C20:C34)</f>
        <v/>
      </c>
      <c r="D35" s="41">
        <f>SUM(D20:D34)</f>
        <v/>
      </c>
      <c r="E35" s="41">
        <f>SUM(E20:E34)</f>
        <v/>
      </c>
      <c r="F35" s="43">
        <f>SUM(F20:F34)</f>
        <v/>
      </c>
      <c r="G35" s="32" t="n"/>
      <c r="H35" s="32" t="n"/>
      <c r="I35" s="32" t="n"/>
      <c r="J35" s="41">
        <f>IFERROR((C35-B35)/ABS(B35),"")</f>
        <v/>
      </c>
    </row>
    <row r="38">
      <c r="A38" s="4" t="inlineStr">
        <is>
          <t>3. BIAYA TETAP vs VARIABEL, MARJIN KONTRIBUSI &amp; TITIK IMPAS (BREAKEVEN)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16" t="inlineStr">
        <is>
          <t>Uraian</t>
        </is>
      </c>
      <c r="B39" s="16" t="inlineStr">
        <is>
          <t>FY2024</t>
        </is>
      </c>
      <c r="C39" s="16" t="inlineStr">
        <is>
          <t>FY2025</t>
        </is>
      </c>
      <c r="D39" s="16" t="inlineStr">
        <is>
          <t>Satuan</t>
        </is>
      </c>
      <c r="E39" s="16" t="inlineStr">
        <is>
          <t>Keterangan</t>
        </is>
      </c>
    </row>
    <row r="40">
      <c r="A40" s="10" t="inlineStr">
        <is>
          <t>Porsi variabel dari biaya semi-variabel</t>
        </is>
      </c>
      <c r="B40" s="44" t="n">
        <v>0.5</v>
      </c>
      <c r="C40" s="24">
        <f>B40</f>
        <v/>
      </c>
      <c r="D40" s="10" t="inlineStr">
        <is>
          <t>%</t>
        </is>
      </c>
      <c r="E40" s="45" t="inlineStr">
        <is>
          <t>Asumsi: 50% biaya semi-variabel diperlakukan variabel</t>
        </is>
      </c>
    </row>
    <row r="41">
      <c r="A41" s="10" t="inlineStr">
        <is>
          <t>Pendapatan bersih</t>
        </is>
      </c>
      <c r="B41" s="28">
        <f>'A2 Laba Rugi Contoh'!C13</f>
        <v/>
      </c>
      <c r="C41" s="28">
        <f>'A2 Laba Rugi Contoh'!D13</f>
        <v/>
      </c>
      <c r="D41" s="45" t="inlineStr">
        <is>
          <t>Rp juta</t>
        </is>
      </c>
      <c r="E41" s="3" t="inlineStr"/>
    </row>
    <row r="42">
      <c r="A42" s="10" t="inlineStr">
        <is>
          <t>Biaya variabel</t>
        </is>
      </c>
      <c r="B42" s="19">
        <f>SUMIF($G$20:$G$34,"Variabel",B$20:B$34)+B40*SUMIF($G$20:$G$34,"Semi-variabel",B$20:B$34)</f>
        <v/>
      </c>
      <c r="C42" s="19">
        <f>SUMIF($G$20:$G$34,"Variabel",C$20:C$34)+C40*SUMIF($G$20:$G$34,"Semi-variabel",C$20:C$34)</f>
        <v/>
      </c>
      <c r="D42" s="45" t="inlineStr">
        <is>
          <t>Rp juta</t>
        </is>
      </c>
      <c r="E42" s="3" t="inlineStr">
        <is>
          <t>Berubah proporsional dengan volume/harga</t>
        </is>
      </c>
    </row>
    <row r="43">
      <c r="A43" s="10" t="inlineStr">
        <is>
          <t>Biaya tetap</t>
        </is>
      </c>
      <c r="B43" s="19">
        <f>SUMIF($G$20:$G$34,"Tetap",B$20:B$34)+(1-B40)*SUMIF($G$20:$G$34,"Semi-variabel",B$20:B$34)</f>
        <v/>
      </c>
      <c r="C43" s="19">
        <f>SUMIF($G$20:$G$34,"Tetap",C$20:C$34)+(1-C40)*SUMIF($G$20:$G$34,"Semi-variabel",C$20:C$34)</f>
        <v/>
      </c>
      <c r="D43" s="45" t="inlineStr">
        <is>
          <t>Rp juta</t>
        </is>
      </c>
      <c r="E43" s="3" t="inlineStr">
        <is>
          <t>Tetap dalam rentang produksi relevan</t>
        </is>
      </c>
    </row>
    <row r="44">
      <c r="A44" s="46" t="inlineStr">
        <is>
          <t>Marjin kontribusi</t>
        </is>
      </c>
      <c r="B44" s="19">
        <f>B41-B42</f>
        <v/>
      </c>
      <c r="C44" s="19">
        <f>C41-C42</f>
        <v/>
      </c>
      <c r="D44" s="45" t="inlineStr">
        <is>
          <t>Rp juta</t>
        </is>
      </c>
      <c r="E44" s="3" t="inlineStr">
        <is>
          <t>Pendapatan – biaya variabel</t>
        </is>
      </c>
    </row>
    <row r="45">
      <c r="A45" s="10" t="inlineStr">
        <is>
          <t>Rasio marjin kontribusi</t>
        </is>
      </c>
      <c r="B45" s="24">
        <f>IFERROR(B44/B41,0)</f>
        <v/>
      </c>
      <c r="C45" s="24">
        <f>IFERROR(C44/C41,0)</f>
        <v/>
      </c>
      <c r="D45" s="45" t="inlineStr">
        <is>
          <t>%</t>
        </is>
      </c>
      <c r="E45" s="3" t="inlineStr"/>
    </row>
    <row r="46">
      <c r="A46" s="10" t="inlineStr">
        <is>
          <t>Porsi biaya tetap thd total biaya</t>
        </is>
      </c>
      <c r="B46" s="24">
        <f>IFERROR(B43/(B43+B42),0)</f>
        <v/>
      </c>
      <c r="C46" s="24">
        <f>IFERROR(C43/(C43+C42),0)</f>
        <v/>
      </c>
      <c r="D46" s="45" t="inlineStr">
        <is>
          <t>%</t>
        </is>
      </c>
      <c r="E46" s="3" t="inlineStr">
        <is>
          <t>Makin tinggi = leverage operasi makin besar</t>
        </is>
      </c>
    </row>
    <row r="47">
      <c r="A47" s="46" t="inlineStr">
        <is>
          <t>Pendapatan impas (BEP)</t>
        </is>
      </c>
      <c r="B47" s="19">
        <f>IFERROR(B43/B45,0)</f>
        <v/>
      </c>
      <c r="C47" s="19">
        <f>IFERROR(C43/C45,0)</f>
        <v/>
      </c>
      <c r="D47" s="45" t="inlineStr">
        <is>
          <t>Rp juta</t>
        </is>
      </c>
      <c r="E47" s="3" t="inlineStr">
        <is>
          <t>Biaya tetap / rasio marjin kontribusi</t>
        </is>
      </c>
    </row>
    <row r="48">
      <c r="A48" s="10" t="inlineStr">
        <is>
          <t>Volume penjualan impas</t>
        </is>
      </c>
      <c r="B48" s="28">
        <f>IFERROR(B47/'A2 Laba Rugi Contoh'!C13*'A1 Asumsi Contoh'!C21,0)</f>
        <v/>
      </c>
      <c r="C48" s="28">
        <f>IFERROR(C47/'A2 Laba Rugi Contoh'!D13*'A1 Asumsi Contoh'!D21,0)</f>
        <v/>
      </c>
      <c r="D48" s="45" t="inlineStr">
        <is>
          <t>ton</t>
        </is>
      </c>
      <c r="E48" s="3" t="inlineStr">
        <is>
          <t>Pada bauran &amp; harga tahun berjalan</t>
        </is>
      </c>
    </row>
    <row r="49">
      <c r="A49" s="10" t="inlineStr">
        <is>
          <t>Harga impas (full cost)</t>
        </is>
      </c>
      <c r="B49" s="39">
        <f>IFERROR((B42+B43-'A2 Laba Rugi Contoh'!C12)*1000000/'A1 Asumsi Contoh'!C21/'A1 Asumsi Contoh'!C7,0)</f>
        <v/>
      </c>
      <c r="C49" s="39">
        <f>IFERROR((C42+C43-'A2 Laba Rugi Contoh'!D12)*1000000/'A1 Asumsi Contoh'!D21/'A1 Asumsi Contoh'!D7,0)</f>
        <v/>
      </c>
      <c r="D49" s="45" t="inlineStr">
        <is>
          <t>USD/t</t>
        </is>
      </c>
      <c r="E49" s="3" t="inlineStr">
        <is>
          <t>Total biaya (neto pendapatan jasa) per ton terjual</t>
        </is>
      </c>
    </row>
    <row r="50">
      <c r="A50" s="46" t="inlineStr">
        <is>
          <t>Margin of safety</t>
        </is>
      </c>
      <c r="B50" s="24">
        <f>IFERROR((B41-B47)/B41,0)</f>
        <v/>
      </c>
      <c r="C50" s="24">
        <f>IFERROR((C41-C47)/C41,0)</f>
        <v/>
      </c>
      <c r="D50" s="45" t="inlineStr">
        <is>
          <t>%</t>
        </is>
      </c>
      <c r="E50" s="3" t="inlineStr">
        <is>
          <t>Seberapa jauh pendapatan boleh turun sebelum rugi</t>
        </is>
      </c>
    </row>
  </sheetData>
  <dataValidations count="1">
    <dataValidation sqref="G20:G34" showDropDown="0" showInputMessage="0" showErrorMessage="0" allowBlank="1" type="list">
      <formula1>"Variabel,Tetap,Semi-variabel"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N4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3" customWidth="1" min="7" max="7"/>
    <col width="13" customWidth="1" min="8" max="8"/>
    <col width="11" customWidth="1" min="9" max="9"/>
    <col width="48" customWidth="1" min="10" max="10"/>
    <col width="17" customWidth="1" min="11" max="11"/>
    <col width="3" customWidth="1" min="12" max="12"/>
    <col width="30" customWidth="1" min="13" max="13"/>
    <col width="10" customWidth="1" min="14" max="14"/>
  </cols>
  <sheetData>
    <row r="1">
      <c r="A1" s="1" t="inlineStr">
        <is>
          <t>Cost of Production (COP) per Unit &amp; Penilaian KPI – model contoh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USD/unit = Biaya (Rp juta) × 1.000.000 ÷ volume basis ÷ kurs rata-rata tahun berjalan</t>
        </is>
      </c>
    </row>
    <row r="4">
      <c r="A4" s="4" t="inlineStr">
        <is>
          <t>1. BIAYA PRODUKSI PER UNIT (UNIT COST)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M4" s="46" t="inlineStr">
        <is>
          <t>Skala penilaian KPI</t>
        </is>
      </c>
    </row>
    <row r="5">
      <c r="A5" s="16" t="inlineStr">
        <is>
          <t>Komponen</t>
        </is>
      </c>
      <c r="B5" s="16" t="inlineStr">
        <is>
          <t>Basis</t>
        </is>
      </c>
      <c r="C5" s="16" t="inlineStr">
        <is>
          <t>Biaya 2024 (Rp juta)</t>
        </is>
      </c>
      <c r="D5" s="16" t="inlineStr">
        <is>
          <t>Biaya 2025 (Rp juta)</t>
        </is>
      </c>
      <c r="E5" s="16" t="inlineStr">
        <is>
          <t>Volume basis 2024</t>
        </is>
      </c>
      <c r="F5" s="16" t="inlineStr">
        <is>
          <t>Volume basis 2025</t>
        </is>
      </c>
      <c r="G5" s="16" t="inlineStr">
        <is>
          <t>USD/unit 2024</t>
        </is>
      </c>
      <c r="H5" s="16" t="inlineStr">
        <is>
          <t>USD/unit 2025</t>
        </is>
      </c>
      <c r="I5" s="16" t="inlineStr">
        <is>
          <t>Δ USD/unit</t>
        </is>
      </c>
      <c r="J5" s="16" t="inlineStr">
        <is>
          <t>Δ%</t>
        </is>
      </c>
      <c r="K5" s="16" t="inlineStr">
        <is>
          <t>Penilaian</t>
        </is>
      </c>
      <c r="M5" s="10" t="inlineStr">
        <is>
          <t>Skor 5 jika pencapaian ≥</t>
        </is>
      </c>
      <c r="N5" s="44" t="n">
        <v>1.05</v>
      </c>
    </row>
    <row r="6">
      <c r="A6" s="10" t="inlineStr">
        <is>
          <t xml:space="preserve">   Jasa kontraktor OB</t>
        </is>
      </c>
      <c r="B6" s="3" t="inlineStr">
        <is>
          <t>per bcm OB</t>
        </is>
      </c>
      <c r="C6" s="28">
        <f>'A2 Laba Rugi Contoh'!C17</f>
        <v/>
      </c>
      <c r="D6" s="28">
        <f>'A2 Laba Rugi Contoh'!D17</f>
        <v/>
      </c>
      <c r="E6" s="28">
        <f>'A1 Asumsi Contoh'!C16</f>
        <v/>
      </c>
      <c r="F6" s="28">
        <f>'A1 Asumsi Contoh'!D16</f>
        <v/>
      </c>
      <c r="G6" s="39">
        <f>IFERROR(C6*1000000/E6/'A1 Asumsi Contoh'!C7,0)</f>
        <v/>
      </c>
      <c r="H6" s="39">
        <f>IFERROR(D6*1000000/F6/'A1 Asumsi Contoh'!D7,0)</f>
        <v/>
      </c>
      <c r="I6" s="47">
        <f>H6-G6</f>
        <v/>
      </c>
      <c r="J6" s="24">
        <f>IFERROR(I6/ABS(G6),"")</f>
        <v/>
      </c>
      <c r="K6" s="11">
        <f>IF(I6&lt;=0,"Efisien","Naik – review")</f>
        <v/>
      </c>
      <c r="M6" s="10" t="inlineStr">
        <is>
          <t>Skor 4 jika ≥</t>
        </is>
      </c>
      <c r="N6" s="44" t="n">
        <v>1</v>
      </c>
    </row>
    <row r="7">
      <c r="A7" s="10" t="inlineStr">
        <is>
          <t xml:space="preserve">   BBM</t>
        </is>
      </c>
      <c r="B7" s="3" t="inlineStr">
        <is>
          <t>per bcm OB</t>
        </is>
      </c>
      <c r="C7" s="28">
        <f>'A2 Laba Rugi Contoh'!C18</f>
        <v/>
      </c>
      <c r="D7" s="28">
        <f>'A2 Laba Rugi Contoh'!D18</f>
        <v/>
      </c>
      <c r="E7" s="28">
        <f>'A1 Asumsi Contoh'!C16</f>
        <v/>
      </c>
      <c r="F7" s="28">
        <f>'A1 Asumsi Contoh'!D16</f>
        <v/>
      </c>
      <c r="G7" s="39">
        <f>IFERROR(C7*1000000/E7/'A1 Asumsi Contoh'!C7,0)</f>
        <v/>
      </c>
      <c r="H7" s="39">
        <f>IFERROR(D7*1000000/F7/'A1 Asumsi Contoh'!D7,0)</f>
        <v/>
      </c>
      <c r="I7" s="47">
        <f>H7-G7</f>
        <v/>
      </c>
      <c r="J7" s="24">
        <f>IFERROR(I7/ABS(G7),"")</f>
        <v/>
      </c>
      <c r="K7" s="11">
        <f>IF(I7&lt;=0,"Efisien","Naik – review")</f>
        <v/>
      </c>
      <c r="M7" s="10" t="inlineStr">
        <is>
          <t>Skor 3 jika ≥</t>
        </is>
      </c>
      <c r="N7" s="44" t="n">
        <v>0.95</v>
      </c>
    </row>
    <row r="8">
      <c r="A8" s="10" t="inlineStr">
        <is>
          <t xml:space="preserve">   Peledakan</t>
        </is>
      </c>
      <c r="B8" s="3" t="inlineStr">
        <is>
          <t>per bcm OB</t>
        </is>
      </c>
      <c r="C8" s="28">
        <f>'A2 Laba Rugi Contoh'!C19</f>
        <v/>
      </c>
      <c r="D8" s="28">
        <f>'A2 Laba Rugi Contoh'!D19</f>
        <v/>
      </c>
      <c r="E8" s="28">
        <f>'A1 Asumsi Contoh'!C16</f>
        <v/>
      </c>
      <c r="F8" s="28">
        <f>'A1 Asumsi Contoh'!D16</f>
        <v/>
      </c>
      <c r="G8" s="39">
        <f>IFERROR(C8*1000000/E8/'A1 Asumsi Contoh'!C7,0)</f>
        <v/>
      </c>
      <c r="H8" s="39">
        <f>IFERROR(D8*1000000/F8/'A1 Asumsi Contoh'!D7,0)</f>
        <v/>
      </c>
      <c r="I8" s="47">
        <f>H8-G8</f>
        <v/>
      </c>
      <c r="J8" s="24">
        <f>IFERROR(I8/ABS(G8),"")</f>
        <v/>
      </c>
      <c r="K8" s="11">
        <f>IF(I8&lt;=0,"Efisien","Naik – review")</f>
        <v/>
      </c>
      <c r="M8" s="10" t="inlineStr">
        <is>
          <t>Skor 2 jika ≥</t>
        </is>
      </c>
      <c r="N8" s="44" t="n">
        <v>0.9</v>
      </c>
    </row>
    <row r="9">
      <c r="A9" s="48" t="inlineStr">
        <is>
          <t>Total biaya pengupasan OB per bcm</t>
        </is>
      </c>
      <c r="B9" s="49" t="inlineStr">
        <is>
          <t>per bcm OB</t>
        </is>
      </c>
      <c r="C9" s="50">
        <f>'A2 Laba Rugi Contoh'!C17+'A2 Laba Rugi Contoh'!C18+'A2 Laba Rugi Contoh'!C19</f>
        <v/>
      </c>
      <c r="D9" s="50">
        <f>'A2 Laba Rugi Contoh'!D17+'A2 Laba Rugi Contoh'!D18+'A2 Laba Rugi Contoh'!D19</f>
        <v/>
      </c>
      <c r="E9" s="51">
        <f>'A1 Asumsi Contoh'!C16</f>
        <v/>
      </c>
      <c r="F9" s="51">
        <f>'A1 Asumsi Contoh'!D16</f>
        <v/>
      </c>
      <c r="G9" s="52">
        <f>IFERROR(C9*1000000/E9/'A1 Asumsi Contoh'!C7,0)</f>
        <v/>
      </c>
      <c r="H9" s="52">
        <f>IFERROR(D9*1000000/F9/'A1 Asumsi Contoh'!D7,0)</f>
        <v/>
      </c>
      <c r="I9" s="53">
        <f>H9-G9</f>
        <v/>
      </c>
      <c r="J9" s="54">
        <f>IFERROR(I9/ABS(G9),"")</f>
        <v/>
      </c>
      <c r="K9" s="55">
        <f>IF(I9&lt;=0,"Efisien","Naik – review")</f>
        <v/>
      </c>
      <c r="M9" s="10" t="inlineStr">
        <is>
          <t>Status Hijau jika ≥</t>
        </is>
      </c>
      <c r="N9" s="44" t="n">
        <v>1</v>
      </c>
    </row>
    <row r="10">
      <c r="A10" s="10" t="inlineStr">
        <is>
          <t xml:space="preserve">   Biaya OB per ton batubara (efek SR)</t>
        </is>
      </c>
      <c r="B10" s="3" t="inlineStr">
        <is>
          <t>per ton produksi</t>
        </is>
      </c>
      <c r="C10" s="28">
        <f>'A2 Laba Rugi Contoh'!C17+'A2 Laba Rugi Contoh'!C18+'A2 Laba Rugi Contoh'!C19</f>
        <v/>
      </c>
      <c r="D10" s="28">
        <f>'A2 Laba Rugi Contoh'!D17+'A2 Laba Rugi Contoh'!D18+'A2 Laba Rugi Contoh'!D19</f>
        <v/>
      </c>
      <c r="E10" s="28">
        <f>'A1 Asumsi Contoh'!C14</f>
        <v/>
      </c>
      <c r="F10" s="28">
        <f>'A1 Asumsi Contoh'!D14</f>
        <v/>
      </c>
      <c r="G10" s="39">
        <f>IFERROR(C10*1000000/E10/'A1 Asumsi Contoh'!C7,0)</f>
        <v/>
      </c>
      <c r="H10" s="39">
        <f>IFERROR(D10*1000000/F10/'A1 Asumsi Contoh'!D7,0)</f>
        <v/>
      </c>
      <c r="I10" s="47">
        <f>H10-G10</f>
        <v/>
      </c>
      <c r="J10" s="24">
        <f>IFERROR(I10/ABS(G10),"")</f>
        <v/>
      </c>
      <c r="K10" s="11">
        <f>IF(I10&lt;=0,"Efisien","Naik – review")</f>
        <v/>
      </c>
      <c r="M10" s="10" t="inlineStr">
        <is>
          <t>Status Kuning jika ≥</t>
        </is>
      </c>
      <c r="N10" s="44" t="n">
        <v>0.95</v>
      </c>
    </row>
    <row r="11">
      <c r="A11" s="10" t="inlineStr">
        <is>
          <t xml:space="preserve">   Coal getting</t>
        </is>
      </c>
      <c r="B11" s="3" t="inlineStr">
        <is>
          <t>per ton produksi</t>
        </is>
      </c>
      <c r="C11" s="28">
        <f>'A2 Laba Rugi Contoh'!C20</f>
        <v/>
      </c>
      <c r="D11" s="28">
        <f>'A2 Laba Rugi Contoh'!D20</f>
        <v/>
      </c>
      <c r="E11" s="28">
        <f>'A1 Asumsi Contoh'!C14</f>
        <v/>
      </c>
      <c r="F11" s="28">
        <f>'A1 Asumsi Contoh'!D14</f>
        <v/>
      </c>
      <c r="G11" s="39">
        <f>IFERROR(C11*1000000/E11/'A1 Asumsi Contoh'!C7,0)</f>
        <v/>
      </c>
      <c r="H11" s="39">
        <f>IFERROR(D11*1000000/F11/'A1 Asumsi Contoh'!D7,0)</f>
        <v/>
      </c>
      <c r="I11" s="47">
        <f>H11-G11</f>
        <v/>
      </c>
      <c r="J11" s="24">
        <f>IFERROR(I11/ABS(G11),"")</f>
        <v/>
      </c>
      <c r="K11" s="11">
        <f>IF(I11&lt;=0,"Efisien","Naik – review")</f>
        <v/>
      </c>
      <c r="M11" s="10" t="inlineStr">
        <is>
          <t>Batas atas pencapaian</t>
        </is>
      </c>
      <c r="N11" s="44" t="n">
        <v>1.2</v>
      </c>
    </row>
    <row r="12">
      <c r="A12" s="10" t="inlineStr">
        <is>
          <t xml:space="preserve">   Biaya tambang tetap</t>
        </is>
      </c>
      <c r="B12" s="3" t="inlineStr">
        <is>
          <t>per ton produksi</t>
        </is>
      </c>
      <c r="C12" s="28">
        <f>'A2 Laba Rugi Contoh'!C21+'A2 Laba Rugi Contoh'!C22+'A2 Laba Rugi Contoh'!C23+'A2 Laba Rugi Contoh'!C24</f>
        <v/>
      </c>
      <c r="D12" s="28">
        <f>'A2 Laba Rugi Contoh'!D21+'A2 Laba Rugi Contoh'!D22+'A2 Laba Rugi Contoh'!D23+'A2 Laba Rugi Contoh'!D24</f>
        <v/>
      </c>
      <c r="E12" s="28">
        <f>'A1 Asumsi Contoh'!C14</f>
        <v/>
      </c>
      <c r="F12" s="28">
        <f>'A1 Asumsi Contoh'!D14</f>
        <v/>
      </c>
      <c r="G12" s="39">
        <f>IFERROR(C12*1000000/E12/'A1 Asumsi Contoh'!C7,0)</f>
        <v/>
      </c>
      <c r="H12" s="39">
        <f>IFERROR(D12*1000000/F12/'A1 Asumsi Contoh'!D7,0)</f>
        <v/>
      </c>
      <c r="I12" s="47">
        <f>H12-G12</f>
        <v/>
      </c>
      <c r="J12" s="24">
        <f>IFERROR(I12/ABS(G12),"")</f>
        <v/>
      </c>
      <c r="K12" s="11">
        <f>IF(I12&lt;=0,"Efisien","Naik – review")</f>
        <v/>
      </c>
      <c r="M12" s="3" t="inlineStr">
        <is>
          <t>Skor 1 jika &lt; skor 2. Merah jika &lt; Kuning.</t>
        </is>
      </c>
    </row>
    <row r="13">
      <c r="A13" s="48" t="inlineStr">
        <is>
          <t>TOTAL BIAYA PENAMBANGAN (mining cost)</t>
        </is>
      </c>
      <c r="B13" s="49" t="inlineStr">
        <is>
          <t>per ton produksi</t>
        </is>
      </c>
      <c r="C13" s="50">
        <f>'A2 Laba Rugi Contoh'!C25</f>
        <v/>
      </c>
      <c r="D13" s="50">
        <f>'A2 Laba Rugi Contoh'!D25</f>
        <v/>
      </c>
      <c r="E13" s="51">
        <f>'A1 Asumsi Contoh'!C14</f>
        <v/>
      </c>
      <c r="F13" s="51">
        <f>'A1 Asumsi Contoh'!D14</f>
        <v/>
      </c>
      <c r="G13" s="52">
        <f>IFERROR(C13*1000000/E13/'A1 Asumsi Contoh'!C7,0)</f>
        <v/>
      </c>
      <c r="H13" s="52">
        <f>IFERROR(D13*1000000/F13/'A1 Asumsi Contoh'!D7,0)</f>
        <v/>
      </c>
      <c r="I13" s="53">
        <f>H13-G13</f>
        <v/>
      </c>
      <c r="J13" s="54">
        <f>IFERROR(I13/ABS(G13),"")</f>
        <v/>
      </c>
      <c r="K13" s="55">
        <f>IF(I13&lt;=0,"Efisien","Naik – review")</f>
        <v/>
      </c>
      <c r="M13" s="3" t="inlineStr">
        <is>
          <t>Polaritas Lower: pencapaian = target ÷ aktual</t>
        </is>
      </c>
    </row>
    <row r="14">
      <c r="A14" s="10" t="inlineStr">
        <is>
          <t xml:space="preserve">   Crushing &amp; pengolahan</t>
        </is>
      </c>
      <c r="B14" s="3" t="inlineStr">
        <is>
          <t>per ton produksi</t>
        </is>
      </c>
      <c r="C14" s="28">
        <f>'A2 Laba Rugi Contoh'!C27</f>
        <v/>
      </c>
      <c r="D14" s="28">
        <f>'A2 Laba Rugi Contoh'!D27</f>
        <v/>
      </c>
      <c r="E14" s="28">
        <f>'A1 Asumsi Contoh'!C14</f>
        <v/>
      </c>
      <c r="F14" s="28">
        <f>'A1 Asumsi Contoh'!D14</f>
        <v/>
      </c>
      <c r="G14" s="39">
        <f>IFERROR(C14*1000000/E14/'A1 Asumsi Contoh'!C7,0)</f>
        <v/>
      </c>
      <c r="H14" s="39">
        <f>IFERROR(D14*1000000/F14/'A1 Asumsi Contoh'!D7,0)</f>
        <v/>
      </c>
      <c r="I14" s="47">
        <f>H14-G14</f>
        <v/>
      </c>
      <c r="J14" s="24">
        <f>IFERROR(I14/ABS(G14),"")</f>
        <v/>
      </c>
      <c r="K14" s="11">
        <f>IF(I14&lt;=0,"Efisien","Naik – review")</f>
        <v/>
      </c>
      <c r="M14" s="3" t="inlineStr">
        <is>
          <t>Polaritas Higher: pencapaian = aktual ÷ target</t>
        </is>
      </c>
    </row>
    <row r="15">
      <c r="A15" s="10" t="inlineStr">
        <is>
          <t xml:space="preserve">   Hauling (per ton)</t>
        </is>
      </c>
      <c r="B15" s="3" t="inlineStr">
        <is>
          <t>per ton produksi</t>
        </is>
      </c>
      <c r="C15" s="28">
        <f>'A2 Laba Rugi Contoh'!C28</f>
        <v/>
      </c>
      <c r="D15" s="28">
        <f>'A2 Laba Rugi Contoh'!D28</f>
        <v/>
      </c>
      <c r="E15" s="28">
        <f>'A1 Asumsi Contoh'!C14</f>
        <v/>
      </c>
      <c r="F15" s="28">
        <f>'A1 Asumsi Contoh'!D14</f>
        <v/>
      </c>
      <c r="G15" s="39">
        <f>IFERROR(C15*1000000/E15/'A1 Asumsi Contoh'!C7,0)</f>
        <v/>
      </c>
      <c r="H15" s="39">
        <f>IFERROR(D15*1000000/F15/'A1 Asumsi Contoh'!D7,0)</f>
        <v/>
      </c>
      <c r="I15" s="47">
        <f>H15-G15</f>
        <v/>
      </c>
      <c r="J15" s="24">
        <f>IFERROR(I15/ABS(G15),"")</f>
        <v/>
      </c>
      <c r="K15" s="11">
        <f>IF(I15&lt;=0,"Efisien","Naik – review")</f>
        <v/>
      </c>
    </row>
    <row r="16">
      <c r="A16" s="10" t="inlineStr">
        <is>
          <t xml:space="preserve">   Hauling (per ton-km)</t>
        </is>
      </c>
      <c r="B16" s="3" t="inlineStr">
        <is>
          <t>per ton-km</t>
        </is>
      </c>
      <c r="C16" s="28">
        <f>'A2 Laba Rugi Contoh'!C28</f>
        <v/>
      </c>
      <c r="D16" s="28">
        <f>'A2 Laba Rugi Contoh'!D28</f>
        <v/>
      </c>
      <c r="E16" s="28">
        <f>'A1 Asumsi Contoh'!C14*'A1 Asumsi Contoh'!C17</f>
        <v/>
      </c>
      <c r="F16" s="28">
        <f>'A1 Asumsi Contoh'!D14*'A1 Asumsi Contoh'!D17</f>
        <v/>
      </c>
      <c r="G16" s="56">
        <f>IFERROR(C16*1000000/E16/'A1 Asumsi Contoh'!C7,0)</f>
        <v/>
      </c>
      <c r="H16" s="56">
        <f>IFERROR(D16*1000000/F16/'A1 Asumsi Contoh'!D7,0)</f>
        <v/>
      </c>
      <c r="I16" s="57">
        <f>H16-G16</f>
        <v/>
      </c>
      <c r="J16" s="24">
        <f>IFERROR(I16/ABS(G16),"")</f>
        <v/>
      </c>
      <c r="K16" s="11">
        <f>IF(I16&lt;=0,"Efisien","Naik – review")</f>
        <v/>
      </c>
    </row>
    <row r="17">
      <c r="A17" s="10" t="inlineStr">
        <is>
          <t xml:space="preserve">   Pelabuhan &amp; stockpile</t>
        </is>
      </c>
      <c r="B17" s="3" t="inlineStr">
        <is>
          <t>per ton penjualan</t>
        </is>
      </c>
      <c r="C17" s="28">
        <f>'A2 Laba Rugi Contoh'!C29</f>
        <v/>
      </c>
      <c r="D17" s="28">
        <f>'A2 Laba Rugi Contoh'!D29</f>
        <v/>
      </c>
      <c r="E17" s="28">
        <f>'A1 Asumsi Contoh'!C21</f>
        <v/>
      </c>
      <c r="F17" s="28">
        <f>'A1 Asumsi Contoh'!D21</f>
        <v/>
      </c>
      <c r="G17" s="39">
        <f>IFERROR(C17*1000000/E17/'A1 Asumsi Contoh'!C7,0)</f>
        <v/>
      </c>
      <c r="H17" s="39">
        <f>IFERROR(D17*1000000/F17/'A1 Asumsi Contoh'!D7,0)</f>
        <v/>
      </c>
      <c r="I17" s="47">
        <f>H17-G17</f>
        <v/>
      </c>
      <c r="J17" s="24">
        <f>IFERROR(I17/ABS(G17),"")</f>
        <v/>
      </c>
      <c r="K17" s="11">
        <f>IF(I17&lt;=0,"Efisien","Naik – review")</f>
        <v/>
      </c>
    </row>
    <row r="18">
      <c r="A18" s="10" t="inlineStr">
        <is>
          <t xml:space="preserve">   Tongkang &amp; transshipment</t>
        </is>
      </c>
      <c r="B18" s="3" t="inlineStr">
        <is>
          <t>per ton penjualan</t>
        </is>
      </c>
      <c r="C18" s="28">
        <f>'A2 Laba Rugi Contoh'!C30</f>
        <v/>
      </c>
      <c r="D18" s="28">
        <f>'A2 Laba Rugi Contoh'!D30</f>
        <v/>
      </c>
      <c r="E18" s="28">
        <f>'A1 Asumsi Contoh'!C21</f>
        <v/>
      </c>
      <c r="F18" s="28">
        <f>'A1 Asumsi Contoh'!D21</f>
        <v/>
      </c>
      <c r="G18" s="39">
        <f>IFERROR(C18*1000000/E18/'A1 Asumsi Contoh'!C7,0)</f>
        <v/>
      </c>
      <c r="H18" s="39">
        <f>IFERROR(D18*1000000/F18/'A1 Asumsi Contoh'!D7,0)</f>
        <v/>
      </c>
      <c r="I18" s="47">
        <f>H18-G18</f>
        <v/>
      </c>
      <c r="J18" s="24">
        <f>IFERROR(I18/ABS(G18),"")</f>
        <v/>
      </c>
      <c r="K18" s="11">
        <f>IF(I18&lt;=0,"Efisien","Naik – review")</f>
        <v/>
      </c>
    </row>
    <row r="19">
      <c r="A19" s="10" t="inlineStr">
        <is>
          <t xml:space="preserve">   Overhead site (termasuk reklamasi)</t>
        </is>
      </c>
      <c r="B19" s="3" t="inlineStr">
        <is>
          <t>per ton produksi</t>
        </is>
      </c>
      <c r="C19" s="28">
        <f>'A2 Laba Rugi Contoh'!C41</f>
        <v/>
      </c>
      <c r="D19" s="28">
        <f>'A2 Laba Rugi Contoh'!D41</f>
        <v/>
      </c>
      <c r="E19" s="28">
        <f>'A1 Asumsi Contoh'!C14</f>
        <v/>
      </c>
      <c r="F19" s="28">
        <f>'A1 Asumsi Contoh'!D14</f>
        <v/>
      </c>
      <c r="G19" s="39">
        <f>IFERROR(C19*1000000/E19/'A1 Asumsi Contoh'!C7,0)</f>
        <v/>
      </c>
      <c r="H19" s="39">
        <f>IFERROR(D19*1000000/F19/'A1 Asumsi Contoh'!D7,0)</f>
        <v/>
      </c>
      <c r="I19" s="47">
        <f>H19-G19</f>
        <v/>
      </c>
      <c r="J19" s="24">
        <f>IFERROR(I19/ABS(G19),"")</f>
        <v/>
      </c>
      <c r="K19" s="11">
        <f>IF(I19&lt;=0,"Efisien","Naik – review")</f>
        <v/>
      </c>
    </row>
    <row r="20">
      <c r="A20" s="48" t="inlineStr">
        <is>
          <t>CASH COST FOB (excl. royalti)</t>
        </is>
      </c>
      <c r="B20" s="49" t="inlineStr">
        <is>
          <t>per ton penjualan</t>
        </is>
      </c>
      <c r="C20" s="50">
        <f>'A2 Laba Rugi Contoh'!C25+'A2 Laba Rugi Contoh'!C31+'A2 Laba Rugi Contoh'!C41</f>
        <v/>
      </c>
      <c r="D20" s="50">
        <f>'A2 Laba Rugi Contoh'!D25+'A2 Laba Rugi Contoh'!D31+'A2 Laba Rugi Contoh'!D41</f>
        <v/>
      </c>
      <c r="E20" s="51">
        <f>'A1 Asumsi Contoh'!C21</f>
        <v/>
      </c>
      <c r="F20" s="51">
        <f>'A1 Asumsi Contoh'!D21</f>
        <v/>
      </c>
      <c r="G20" s="52">
        <f>IFERROR(C20*1000000/E20/'A1 Asumsi Contoh'!C7,0)</f>
        <v/>
      </c>
      <c r="H20" s="52">
        <f>IFERROR(D20*1000000/F20/'A1 Asumsi Contoh'!D7,0)</f>
        <v/>
      </c>
      <c r="I20" s="53">
        <f>H20-G20</f>
        <v/>
      </c>
      <c r="J20" s="54">
        <f>IFERROR(I20/ABS(G20),"")</f>
        <v/>
      </c>
      <c r="K20" s="55">
        <f>IF(I20&lt;=0,"Efisien","Naik – review")</f>
        <v/>
      </c>
    </row>
    <row r="21">
      <c r="A21" s="10" t="inlineStr">
        <is>
          <t xml:space="preserve">   Royalti</t>
        </is>
      </c>
      <c r="B21" s="3" t="inlineStr">
        <is>
          <t>per ton penjualan</t>
        </is>
      </c>
      <c r="C21" s="28">
        <f>'A2 Laba Rugi Contoh'!C33</f>
        <v/>
      </c>
      <c r="D21" s="28">
        <f>'A2 Laba Rugi Contoh'!D33</f>
        <v/>
      </c>
      <c r="E21" s="28">
        <f>'A1 Asumsi Contoh'!C21</f>
        <v/>
      </c>
      <c r="F21" s="28">
        <f>'A1 Asumsi Contoh'!D21</f>
        <v/>
      </c>
      <c r="G21" s="39">
        <f>IFERROR(C21*1000000/E21/'A1 Asumsi Contoh'!C7,0)</f>
        <v/>
      </c>
      <c r="H21" s="39">
        <f>IFERROR(D21*1000000/F21/'A1 Asumsi Contoh'!D7,0)</f>
        <v/>
      </c>
      <c r="I21" s="47">
        <f>H21-G21</f>
        <v/>
      </c>
      <c r="J21" s="24">
        <f>IFERROR(I21/ABS(G21),"")</f>
        <v/>
      </c>
      <c r="K21" s="11">
        <f>IF(I21&lt;=0,"Efisien","Naik – review")</f>
        <v/>
      </c>
    </row>
    <row r="22">
      <c r="A22" s="48" t="inlineStr">
        <is>
          <t>CASH COST FOB (incl. royalti)</t>
        </is>
      </c>
      <c r="B22" s="49" t="inlineStr">
        <is>
          <t>per ton penjualan</t>
        </is>
      </c>
      <c r="C22" s="50">
        <f>'A2 Laba Rugi Contoh'!C25+'A2 Laba Rugi Contoh'!C31+'A2 Laba Rugi Contoh'!C41+'A2 Laba Rugi Contoh'!C33</f>
        <v/>
      </c>
      <c r="D22" s="50">
        <f>'A2 Laba Rugi Contoh'!D25+'A2 Laba Rugi Contoh'!D31+'A2 Laba Rugi Contoh'!D41+'A2 Laba Rugi Contoh'!D33</f>
        <v/>
      </c>
      <c r="E22" s="51">
        <f>'A1 Asumsi Contoh'!C21</f>
        <v/>
      </c>
      <c r="F22" s="51">
        <f>'A1 Asumsi Contoh'!D21</f>
        <v/>
      </c>
      <c r="G22" s="52">
        <f>IFERROR(C22*1000000/E22/'A1 Asumsi Contoh'!C7,0)</f>
        <v/>
      </c>
      <c r="H22" s="52">
        <f>IFERROR(D22*1000000/F22/'A1 Asumsi Contoh'!D7,0)</f>
        <v/>
      </c>
      <c r="I22" s="53">
        <f>H22-G22</f>
        <v/>
      </c>
      <c r="J22" s="54">
        <f>IFERROR(I22/ABS(G22),"")</f>
        <v/>
      </c>
      <c r="K22" s="55">
        <f>IF(I22&lt;=0,"Efisien","Naik – review")</f>
        <v/>
      </c>
    </row>
    <row r="23">
      <c r="A23" s="10" t="inlineStr">
        <is>
          <t xml:space="preserve">   Beban penjualan</t>
        </is>
      </c>
      <c r="B23" s="3" t="inlineStr">
        <is>
          <t>per ton penjualan</t>
        </is>
      </c>
      <c r="C23" s="28">
        <f>'A2 Laba Rugi Contoh'!C62</f>
        <v/>
      </c>
      <c r="D23" s="28">
        <f>'A2 Laba Rugi Contoh'!D62</f>
        <v/>
      </c>
      <c r="E23" s="28">
        <f>'A1 Asumsi Contoh'!C21</f>
        <v/>
      </c>
      <c r="F23" s="28">
        <f>'A1 Asumsi Contoh'!D21</f>
        <v/>
      </c>
      <c r="G23" s="39">
        <f>IFERROR(C23*1000000/E23/'A1 Asumsi Contoh'!C7,0)</f>
        <v/>
      </c>
      <c r="H23" s="39">
        <f>IFERROR(D23*1000000/F23/'A1 Asumsi Contoh'!D7,0)</f>
        <v/>
      </c>
      <c r="I23" s="47">
        <f>H23-G23</f>
        <v/>
      </c>
      <c r="J23" s="24">
        <f>IFERROR(I23/ABS(G23),"")</f>
        <v/>
      </c>
      <c r="K23" s="11">
        <f>IF(I23&lt;=0,"Efisien","Naik – review")</f>
        <v/>
      </c>
    </row>
    <row r="24">
      <c r="A24" s="10" t="inlineStr">
        <is>
          <t xml:space="preserve">   Beban umum &amp; administrasi (excl. penyusutan)</t>
        </is>
      </c>
      <c r="B24" s="3" t="inlineStr">
        <is>
          <t>per ton penjualan</t>
        </is>
      </c>
      <c r="C24" s="28">
        <f>'A2 Laba Rugi Contoh'!C73-'A2 Laba Rugi Contoh'!C71</f>
        <v/>
      </c>
      <c r="D24" s="28">
        <f>'A2 Laba Rugi Contoh'!D73-'A2 Laba Rugi Contoh'!D71</f>
        <v/>
      </c>
      <c r="E24" s="28">
        <f>'A1 Asumsi Contoh'!C21</f>
        <v/>
      </c>
      <c r="F24" s="28">
        <f>'A1 Asumsi Contoh'!D21</f>
        <v/>
      </c>
      <c r="G24" s="39">
        <f>IFERROR(C24*1000000/E24/'A1 Asumsi Contoh'!C7,0)</f>
        <v/>
      </c>
      <c r="H24" s="39">
        <f>IFERROR(D24*1000000/F24/'A1 Asumsi Contoh'!D7,0)</f>
        <v/>
      </c>
      <c r="I24" s="47">
        <f>H24-G24</f>
        <v/>
      </c>
      <c r="J24" s="24">
        <f>IFERROR(I24/ABS(G24),"")</f>
        <v/>
      </c>
      <c r="K24" s="11">
        <f>IF(I24&lt;=0,"Efisien","Naik – review")</f>
        <v/>
      </c>
    </row>
    <row r="25">
      <c r="A25" s="48" t="inlineStr">
        <is>
          <t>TOTAL CASH COST</t>
        </is>
      </c>
      <c r="B25" s="49" t="inlineStr">
        <is>
          <t>per ton penjualan</t>
        </is>
      </c>
      <c r="C25" s="50">
        <f>'A2 Laba Rugi Contoh'!C25+'A2 Laba Rugi Contoh'!C31+'A2 Laba Rugi Contoh'!C41+'A2 Laba Rugi Contoh'!C33+'A2 Laba Rugi Contoh'!C62+'A2 Laba Rugi Contoh'!C73-'A2 Laba Rugi Contoh'!C71</f>
        <v/>
      </c>
      <c r="D25" s="50">
        <f>'A2 Laba Rugi Contoh'!D25+'A2 Laba Rugi Contoh'!D31+'A2 Laba Rugi Contoh'!D41+'A2 Laba Rugi Contoh'!D33+'A2 Laba Rugi Contoh'!D62+'A2 Laba Rugi Contoh'!D73-'A2 Laba Rugi Contoh'!D71</f>
        <v/>
      </c>
      <c r="E25" s="51">
        <f>'A1 Asumsi Contoh'!C21</f>
        <v/>
      </c>
      <c r="F25" s="51">
        <f>'A1 Asumsi Contoh'!D21</f>
        <v/>
      </c>
      <c r="G25" s="52">
        <f>IFERROR(C25*1000000/E25/'A1 Asumsi Contoh'!C7,0)</f>
        <v/>
      </c>
      <c r="H25" s="52">
        <f>IFERROR(D25*1000000/F25/'A1 Asumsi Contoh'!D7,0)</f>
        <v/>
      </c>
      <c r="I25" s="53">
        <f>H25-G25</f>
        <v/>
      </c>
      <c r="J25" s="54">
        <f>IFERROR(I25/ABS(G25),"")</f>
        <v/>
      </c>
      <c r="K25" s="55">
        <f>IF(I25&lt;=0,"Efisien","Naik – review")</f>
        <v/>
      </c>
    </row>
    <row r="26">
      <c r="A26" s="10" t="inlineStr">
        <is>
          <t xml:space="preserve">   Penyusutan &amp; amortisasi</t>
        </is>
      </c>
      <c r="B26" s="3" t="inlineStr">
        <is>
          <t>per ton penjualan</t>
        </is>
      </c>
      <c r="C26" s="28">
        <f>'A2 Laba Rugi Contoh'!C46+'A2 Laba Rugi Contoh'!C71</f>
        <v/>
      </c>
      <c r="D26" s="28">
        <f>'A2 Laba Rugi Contoh'!D46+'A2 Laba Rugi Contoh'!D71</f>
        <v/>
      </c>
      <c r="E26" s="28">
        <f>'A1 Asumsi Contoh'!C21</f>
        <v/>
      </c>
      <c r="F26" s="28">
        <f>'A1 Asumsi Contoh'!D21</f>
        <v/>
      </c>
      <c r="G26" s="39">
        <f>IFERROR(C26*1000000/E26/'A1 Asumsi Contoh'!C7,0)</f>
        <v/>
      </c>
      <c r="H26" s="39">
        <f>IFERROR(D26*1000000/F26/'A1 Asumsi Contoh'!D7,0)</f>
        <v/>
      </c>
      <c r="I26" s="47">
        <f>H26-G26</f>
        <v/>
      </c>
      <c r="J26" s="24">
        <f>IFERROR(I26/ABS(G26),"")</f>
        <v/>
      </c>
      <c r="K26" s="11">
        <f>IF(I26&lt;=0,"Efisien","Naik – review")</f>
        <v/>
      </c>
    </row>
    <row r="27">
      <c r="A27" s="10" t="inlineStr">
        <is>
          <t xml:space="preserve">   Capex berkelanjutan (aset tetap + pengupasan tangguhan)</t>
        </is>
      </c>
      <c r="B27" s="3" t="inlineStr">
        <is>
          <t>per ton penjualan</t>
        </is>
      </c>
      <c r="C27" s="28">
        <f>'A1 Asumsi Contoh'!C90+'A1 Asumsi Contoh'!C92</f>
        <v/>
      </c>
      <c r="D27" s="28">
        <f>'A1 Asumsi Contoh'!D90+'A1 Asumsi Contoh'!D92</f>
        <v/>
      </c>
      <c r="E27" s="28">
        <f>'A1 Asumsi Contoh'!C21</f>
        <v/>
      </c>
      <c r="F27" s="28">
        <f>'A1 Asumsi Contoh'!D21</f>
        <v/>
      </c>
      <c r="G27" s="39">
        <f>IFERROR(C27*1000000/E27/'A1 Asumsi Contoh'!C7,0)</f>
        <v/>
      </c>
      <c r="H27" s="39">
        <f>IFERROR(D27*1000000/F27/'A1 Asumsi Contoh'!D7,0)</f>
        <v/>
      </c>
      <c r="I27" s="47">
        <f>H27-G27</f>
        <v/>
      </c>
      <c r="J27" s="24">
        <f>IFERROR(I27/ABS(G27),"")</f>
        <v/>
      </c>
      <c r="K27" s="11">
        <f>IF(I27&lt;=0,"Efisien","Naik – review")</f>
        <v/>
      </c>
    </row>
    <row r="28">
      <c r="A28" s="48" t="inlineStr">
        <is>
          <t>ALL-IN SUSTAINING COST (AISC)</t>
        </is>
      </c>
      <c r="B28" s="49" t="inlineStr">
        <is>
          <t>per ton penjualan</t>
        </is>
      </c>
      <c r="C28" s="50">
        <f>'A2 Laba Rugi Contoh'!C25+'A2 Laba Rugi Contoh'!C31+'A2 Laba Rugi Contoh'!C41+'A2 Laba Rugi Contoh'!C33+'A2 Laba Rugi Contoh'!C62+'A2 Laba Rugi Contoh'!C73-'A2 Laba Rugi Contoh'!C71+'A1 Asumsi Contoh'!C90+'A1 Asumsi Contoh'!C92</f>
        <v/>
      </c>
      <c r="D28" s="50">
        <f>'A2 Laba Rugi Contoh'!D25+'A2 Laba Rugi Contoh'!D31+'A2 Laba Rugi Contoh'!D41+'A2 Laba Rugi Contoh'!D33+'A2 Laba Rugi Contoh'!D62+'A2 Laba Rugi Contoh'!D73-'A2 Laba Rugi Contoh'!D71+'A1 Asumsi Contoh'!D90+'A1 Asumsi Contoh'!D92</f>
        <v/>
      </c>
      <c r="E28" s="51">
        <f>'A1 Asumsi Contoh'!C21</f>
        <v/>
      </c>
      <c r="F28" s="51">
        <f>'A1 Asumsi Contoh'!D21</f>
        <v/>
      </c>
      <c r="G28" s="52">
        <f>IFERROR(C28*1000000/E28/'A1 Asumsi Contoh'!C7,0)</f>
        <v/>
      </c>
      <c r="H28" s="52">
        <f>IFERROR(D28*1000000/F28/'A1 Asumsi Contoh'!D7,0)</f>
        <v/>
      </c>
      <c r="I28" s="53">
        <f>H28-G28</f>
        <v/>
      </c>
      <c r="J28" s="54">
        <f>IFERROR(I28/ABS(G28),"")</f>
        <v/>
      </c>
      <c r="K28" s="55">
        <f>IF(I28&lt;=0,"Efisien","Naik – review")</f>
        <v/>
      </c>
    </row>
    <row r="29">
      <c r="A29" s="48" t="inlineStr">
        <is>
          <t>Harga jual rata-rata (ASP) blended, neto penalti</t>
        </is>
      </c>
      <c r="B29" s="49" t="inlineStr">
        <is>
          <t>per ton penjualan</t>
        </is>
      </c>
      <c r="C29" s="50">
        <f>'A2 Laba Rugi Contoh'!C10+'A2 Laba Rugi Contoh'!C11</f>
        <v/>
      </c>
      <c r="D29" s="50">
        <f>'A2 Laba Rugi Contoh'!D10+'A2 Laba Rugi Contoh'!D11</f>
        <v/>
      </c>
      <c r="E29" s="51">
        <f>'A1 Asumsi Contoh'!C21</f>
        <v/>
      </c>
      <c r="F29" s="51">
        <f>'A1 Asumsi Contoh'!D21</f>
        <v/>
      </c>
      <c r="G29" s="52">
        <f>IFERROR(C29*1000000/E29/'A1 Asumsi Contoh'!C7,0)</f>
        <v/>
      </c>
      <c r="H29" s="52">
        <f>IFERROR(D29*1000000/F29/'A1 Asumsi Contoh'!D7,0)</f>
        <v/>
      </c>
      <c r="I29" s="53">
        <f>H29-G29</f>
        <v/>
      </c>
      <c r="J29" s="54">
        <f>IFERROR(I29/ABS(G29),"")</f>
        <v/>
      </c>
      <c r="K29" s="55">
        <f>IF(I29&gt;=0,"Membaik","Menurun – review")</f>
        <v/>
      </c>
    </row>
    <row r="30">
      <c r="A30" s="48" t="inlineStr">
        <is>
          <t>MARJIN KAS PER TON (ASP – total cash cost)</t>
        </is>
      </c>
      <c r="B30" s="49" t="inlineStr">
        <is>
          <t>per ton penjualan</t>
        </is>
      </c>
      <c r="C30" s="58">
        <f>C29-C25</f>
        <v/>
      </c>
      <c r="D30" s="58">
        <f>D29-D25</f>
        <v/>
      </c>
      <c r="E30" s="51">
        <f>'A1 Asumsi Contoh'!C21</f>
        <v/>
      </c>
      <c r="F30" s="51">
        <f>'A1 Asumsi Contoh'!D21</f>
        <v/>
      </c>
      <c r="G30" s="52">
        <f>IFERROR(C30*1000000/E30/'A1 Asumsi Contoh'!C7,0)</f>
        <v/>
      </c>
      <c r="H30" s="52">
        <f>IFERROR(D30*1000000/F30/'A1 Asumsi Contoh'!D7,0)</f>
        <v/>
      </c>
      <c r="I30" s="53">
        <f>H30-G30</f>
        <v/>
      </c>
      <c r="J30" s="54">
        <f>IFERROR(I30/ABS(G30),"")</f>
        <v/>
      </c>
      <c r="K30" s="55">
        <f>IF(I30&gt;=0,"Membaik","Menurun – review")</f>
        <v/>
      </c>
    </row>
    <row r="31">
      <c r="A31" s="48" t="inlineStr">
        <is>
          <t>MARJIN AISC PER TON (ASP – AISC)</t>
        </is>
      </c>
      <c r="B31" s="49" t="inlineStr">
        <is>
          <t>per ton penjualan</t>
        </is>
      </c>
      <c r="C31" s="58">
        <f>C29-C28</f>
        <v/>
      </c>
      <c r="D31" s="58">
        <f>D29-D28</f>
        <v/>
      </c>
      <c r="E31" s="51">
        <f>'A1 Asumsi Contoh'!C21</f>
        <v/>
      </c>
      <c r="F31" s="51">
        <f>'A1 Asumsi Contoh'!D21</f>
        <v/>
      </c>
      <c r="G31" s="52">
        <f>IFERROR(C31*1000000/E31/'A1 Asumsi Contoh'!C7,0)</f>
        <v/>
      </c>
      <c r="H31" s="52">
        <f>IFERROR(D31*1000000/F31/'A1 Asumsi Contoh'!D7,0)</f>
        <v/>
      </c>
      <c r="I31" s="53">
        <f>H31-G31</f>
        <v/>
      </c>
      <c r="J31" s="54">
        <f>IFERROR(I31/ABS(G31),"")</f>
        <v/>
      </c>
      <c r="K31" s="55">
        <f>IF(I31&gt;=0,"Membaik","Menurun – review")</f>
        <v/>
      </c>
    </row>
    <row r="32">
      <c r="A32" s="3" t="inlineStr">
        <is>
          <t>Catatan: cash cost memakai basis ton penjualan; mining cost memakai basis ton produksi; biaya OB memakai basis bcm. AISC = total cash cost + capex berkelanjutan.</t>
        </is>
      </c>
    </row>
    <row r="34">
      <c r="A34" s="4" t="inlineStr">
        <is>
          <t>2. PENILAIAN KPI COST OF PRODUCTION – FY2025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16" t="inlineStr">
        <is>
          <t>KPI Cost of Production</t>
        </is>
      </c>
      <c r="B35" s="16" t="inlineStr">
        <is>
          <t>Satuan</t>
        </is>
      </c>
      <c r="C35" s="16" t="inlineStr">
        <is>
          <t>Aktual FY2024</t>
        </is>
      </c>
      <c r="D35" s="16" t="inlineStr">
        <is>
          <t>Aktual FY2025</t>
        </is>
      </c>
      <c r="E35" s="16" t="inlineStr">
        <is>
          <t>Target FY2025</t>
        </is>
      </c>
      <c r="F35" s="16" t="inlineStr">
        <is>
          <t>Polaritas</t>
        </is>
      </c>
      <c r="G35" s="16" t="inlineStr">
        <is>
          <t>Pencapaian</t>
        </is>
      </c>
      <c r="H35" s="16" t="inlineStr">
        <is>
          <t>Skor (1–5)</t>
        </is>
      </c>
      <c r="I35" s="16" t="inlineStr">
        <is>
          <t>Status</t>
        </is>
      </c>
      <c r="J35" s="16" t="inlineStr">
        <is>
          <t>Catatan manajemen</t>
        </is>
      </c>
    </row>
    <row r="36">
      <c r="A36" s="10" t="inlineStr">
        <is>
          <t>Stripping ratio</t>
        </is>
      </c>
      <c r="B36" s="45" t="inlineStr">
        <is>
          <t>bcm/t</t>
        </is>
      </c>
      <c r="C36" s="39">
        <f>'A1 Asumsi Contoh'!C15</f>
        <v/>
      </c>
      <c r="D36" s="39">
        <f>'A1 Asumsi Contoh'!D15</f>
        <v/>
      </c>
      <c r="E36" s="18" t="n">
        <v>7.5</v>
      </c>
      <c r="F36" s="11" t="inlineStr">
        <is>
          <t>Lower</t>
        </is>
      </c>
      <c r="G36" s="42">
        <f>MIN('B2 COP dan KPI'!$N$11,IF(F36="Lower",IF(D36&lt;=0,'B2 COP dan KPI'!$N$11,E36/D36),IFERROR(D36/E36,0)))</f>
        <v/>
      </c>
      <c r="H36" s="59">
        <f>IF(G36&gt;='B2 COP dan KPI'!$N$5,5,IF(G36&gt;='B2 COP dan KPI'!$N$6,4,IF(G36&gt;='B2 COP dan KPI'!$N$7,3,IF(G36&gt;='B2 COP dan KPI'!$N$8,2,1))))</f>
        <v/>
      </c>
      <c r="I36" s="12">
        <f>IF(G36&gt;='B2 COP dan KPI'!$N$9,"Hijau",IF(G36&gt;='B2 COP dan KPI'!$N$10,"Kuning","Merah"))</f>
        <v/>
      </c>
      <c r="J36" s="8" t="inlineStr">
        <is>
          <t>Deviasi dari rencana tambang; SR terlalu rendah bisa tanda high-grading</t>
        </is>
      </c>
    </row>
    <row r="37">
      <c r="A37" s="10" t="inlineStr">
        <is>
          <t>Biaya pengupasan OB</t>
        </is>
      </c>
      <c r="B37" s="45" t="inlineStr">
        <is>
          <t>USD/bcm</t>
        </is>
      </c>
      <c r="C37" s="47">
        <f>G9</f>
        <v/>
      </c>
      <c r="D37" s="47">
        <f>H9</f>
        <v/>
      </c>
      <c r="E37" s="18" t="n">
        <v>2.75</v>
      </c>
      <c r="F37" s="11" t="inlineStr">
        <is>
          <t>Lower</t>
        </is>
      </c>
      <c r="G37" s="42">
        <f>MIN('B2 COP dan KPI'!$N$11,IF(F37="Lower",IF(D37&lt;=0,'B2 COP dan KPI'!$N$11,E37/D37),IFERROR(D37/E37,0)))</f>
        <v/>
      </c>
      <c r="H37" s="59">
        <f>IF(G37&gt;='B2 COP dan KPI'!$N$5,5,IF(G37&gt;='B2 COP dan KPI'!$N$6,4,IF(G37&gt;='B2 COP dan KPI'!$N$7,3,IF(G37&gt;='B2 COP dan KPI'!$N$8,2,1))))</f>
        <v/>
      </c>
      <c r="I37" s="12">
        <f>IF(G37&gt;='B2 COP dan KPI'!$N$9,"Hijau",IF(G37&gt;='B2 COP dan KPI'!$N$10,"Kuning","Merah"))</f>
        <v/>
      </c>
      <c r="J37" s="8" t="inlineStr">
        <is>
          <t>Tarif kontraktor + BBM + peledakan</t>
        </is>
      </c>
    </row>
    <row r="38">
      <c r="A38" s="10" t="inlineStr">
        <is>
          <t>Fuel ratio</t>
        </is>
      </c>
      <c r="B38" s="45" t="inlineStr">
        <is>
          <t>L/bcm</t>
        </is>
      </c>
      <c r="C38" s="39">
        <f>'A1 Asumsi Contoh'!C29</f>
        <v/>
      </c>
      <c r="D38" s="39">
        <f>'A1 Asumsi Contoh'!D29</f>
        <v/>
      </c>
      <c r="E38" s="18" t="n">
        <v>0.92</v>
      </c>
      <c r="F38" s="11" t="inlineStr">
        <is>
          <t>Lower</t>
        </is>
      </c>
      <c r="G38" s="42">
        <f>MIN('B2 COP dan KPI'!$N$11,IF(F38="Lower",IF(D38&lt;=0,'B2 COP dan KPI'!$N$11,E38/D38),IFERROR(D38/E38,0)))</f>
        <v/>
      </c>
      <c r="H38" s="59">
        <f>IF(G38&gt;='B2 COP dan KPI'!$N$5,5,IF(G38&gt;='B2 COP dan KPI'!$N$6,4,IF(G38&gt;='B2 COP dan KPI'!$N$7,3,IF(G38&gt;='B2 COP dan KPI'!$N$8,2,1))))</f>
        <v/>
      </c>
      <c r="I38" s="12">
        <f>IF(G38&gt;='B2 COP dan KPI'!$N$9,"Hijau",IF(G38&gt;='B2 COP dan KPI'!$N$10,"Kuning","Merah"))</f>
        <v/>
      </c>
      <c r="J38" s="8" t="inlineStr">
        <is>
          <t>Indikator efisiensi armada &amp; jarak angkut OB</t>
        </is>
      </c>
    </row>
    <row r="39">
      <c r="A39" s="10" t="inlineStr">
        <is>
          <t>Mining cost per ton produksi</t>
        </is>
      </c>
      <c r="B39" s="45" t="inlineStr">
        <is>
          <t>USD/t</t>
        </is>
      </c>
      <c r="C39" s="47">
        <f>G13</f>
        <v/>
      </c>
      <c r="D39" s="47">
        <f>H13</f>
        <v/>
      </c>
      <c r="E39" s="18" t="n">
        <v>22</v>
      </c>
      <c r="F39" s="11" t="inlineStr">
        <is>
          <t>Lower</t>
        </is>
      </c>
      <c r="G39" s="42">
        <f>MIN('B2 COP dan KPI'!$N$11,IF(F39="Lower",IF(D39&lt;=0,'B2 COP dan KPI'!$N$11,E39/D39),IFERROR(D39/E39,0)))</f>
        <v/>
      </c>
      <c r="H39" s="59">
        <f>IF(G39&gt;='B2 COP dan KPI'!$N$5,5,IF(G39&gt;='B2 COP dan KPI'!$N$6,4,IF(G39&gt;='B2 COP dan KPI'!$N$7,3,IF(G39&gt;='B2 COP dan KPI'!$N$8,2,1))))</f>
        <v/>
      </c>
      <c r="I39" s="12">
        <f>IF(G39&gt;='B2 COP dan KPI'!$N$9,"Hijau",IF(G39&gt;='B2 COP dan KPI'!$N$10,"Kuning","Merah"))</f>
        <v/>
      </c>
      <c r="J39" s="8" t="inlineStr">
        <is>
          <t>Dipengaruhi SR, tarif, BBM, biaya tetap tambang</t>
        </is>
      </c>
    </row>
    <row r="40">
      <c r="A40" s="10" t="inlineStr">
        <is>
          <t>Hauling cost per ton-km</t>
        </is>
      </c>
      <c r="B40" s="45" t="inlineStr">
        <is>
          <t>USD/t-km</t>
        </is>
      </c>
      <c r="C40" s="57">
        <f>G16</f>
        <v/>
      </c>
      <c r="D40" s="57">
        <f>H16</f>
        <v/>
      </c>
      <c r="E40" s="26" t="n">
        <v>0.1</v>
      </c>
      <c r="F40" s="11" t="inlineStr">
        <is>
          <t>Lower</t>
        </is>
      </c>
      <c r="G40" s="42">
        <f>MIN('B2 COP dan KPI'!$N$11,IF(F40="Lower",IF(D40&lt;=0,'B2 COP dan KPI'!$N$11,E40/D40),IFERROR(D40/E40,0)))</f>
        <v/>
      </c>
      <c r="H40" s="59">
        <f>IF(G40&gt;='B2 COP dan KPI'!$N$5,5,IF(G40&gt;='B2 COP dan KPI'!$N$6,4,IF(G40&gt;='B2 COP dan KPI'!$N$7,3,IF(G40&gt;='B2 COP dan KPI'!$N$8,2,1))))</f>
        <v/>
      </c>
      <c r="I40" s="12">
        <f>IF(G40&gt;='B2 COP dan KPI'!$N$9,"Hijau",IF(G40&gt;='B2 COP dan KPI'!$N$10,"Kuning","Merah"))</f>
        <v/>
      </c>
      <c r="J40" s="8" t="inlineStr">
        <is>
          <t>Kondisi jalan, payload, cycle time</t>
        </is>
      </c>
    </row>
    <row r="41">
      <c r="A41" s="10" t="inlineStr">
        <is>
          <t>Barging cost per ton</t>
        </is>
      </c>
      <c r="B41" s="45" t="inlineStr">
        <is>
          <t>USD/t</t>
        </is>
      </c>
      <c r="C41" s="47">
        <f>G18</f>
        <v/>
      </c>
      <c r="D41" s="47">
        <f>H18</f>
        <v/>
      </c>
      <c r="E41" s="18" t="n">
        <v>3.9</v>
      </c>
      <c r="F41" s="11" t="inlineStr">
        <is>
          <t>Lower</t>
        </is>
      </c>
      <c r="G41" s="42">
        <f>MIN('B2 COP dan KPI'!$N$11,IF(F41="Lower",IF(D41&lt;=0,'B2 COP dan KPI'!$N$11,E41/D41),IFERROR(D41/E41,0)))</f>
        <v/>
      </c>
      <c r="H41" s="59">
        <f>IF(G41&gt;='B2 COP dan KPI'!$N$5,5,IF(G41&gt;='B2 COP dan KPI'!$N$6,4,IF(G41&gt;='B2 COP dan KPI'!$N$7,3,IF(G41&gt;='B2 COP dan KPI'!$N$8,2,1))))</f>
        <v/>
      </c>
      <c r="I41" s="12">
        <f>IF(G41&gt;='B2 COP dan KPI'!$N$9,"Hijau",IF(G41&gt;='B2 COP dan KPI'!$N$10,"Kuning","Merah"))</f>
        <v/>
      </c>
      <c r="J41" s="8" t="inlineStr">
        <is>
          <t>Tarif tongkang, waktu tunggu, draft sungai</t>
        </is>
      </c>
    </row>
    <row r="42">
      <c r="A42" s="10" t="inlineStr">
        <is>
          <t>Cash cost FOB excl. royalti</t>
        </is>
      </c>
      <c r="B42" s="45" t="inlineStr">
        <is>
          <t>USD/t</t>
        </is>
      </c>
      <c r="C42" s="47">
        <f>G20</f>
        <v/>
      </c>
      <c r="D42" s="47">
        <f>H20</f>
        <v/>
      </c>
      <c r="E42" s="18" t="n">
        <v>34</v>
      </c>
      <c r="F42" s="11" t="inlineStr">
        <is>
          <t>Lower</t>
        </is>
      </c>
      <c r="G42" s="42">
        <f>MIN('B2 COP dan KPI'!$N$11,IF(F42="Lower",IF(D42&lt;=0,'B2 COP dan KPI'!$N$11,E42/D42),IFERROR(D42/E42,0)))</f>
        <v/>
      </c>
      <c r="H42" s="59">
        <f>IF(G42&gt;='B2 COP dan KPI'!$N$5,5,IF(G42&gt;='B2 COP dan KPI'!$N$6,4,IF(G42&gt;='B2 COP dan KPI'!$N$7,3,IF(G42&gt;='B2 COP dan KPI'!$N$8,2,1))))</f>
        <v/>
      </c>
      <c r="I42" s="12">
        <f>IF(G42&gt;='B2 COP dan KPI'!$N$9,"Hijau",IF(G42&gt;='B2 COP dan KPI'!$N$10,"Kuning","Merah"))</f>
        <v/>
      </c>
      <c r="J42" s="8" t="inlineStr">
        <is>
          <t>KPI utama biaya produksi yang dapat dikendalikan</t>
        </is>
      </c>
    </row>
    <row r="43">
      <c r="A43" s="10" t="inlineStr">
        <is>
          <t>Cash cost FOB incl. royalti</t>
        </is>
      </c>
      <c r="B43" s="45" t="inlineStr">
        <is>
          <t>USD/t</t>
        </is>
      </c>
      <c r="C43" s="47">
        <f>G22</f>
        <v/>
      </c>
      <c r="D43" s="47">
        <f>H22</f>
        <v/>
      </c>
      <c r="E43" s="18" t="n">
        <v>38</v>
      </c>
      <c r="F43" s="11" t="inlineStr">
        <is>
          <t>Lower</t>
        </is>
      </c>
      <c r="G43" s="42">
        <f>MIN('B2 COP dan KPI'!$N$11,IF(F43="Lower",IF(D43&lt;=0,'B2 COP dan KPI'!$N$11,E43/D43),IFERROR(D43/E43,0)))</f>
        <v/>
      </c>
      <c r="H43" s="59">
        <f>IF(G43&gt;='B2 COP dan KPI'!$N$5,5,IF(G43&gt;='B2 COP dan KPI'!$N$6,4,IF(G43&gt;='B2 COP dan KPI'!$N$7,3,IF(G43&gt;='B2 COP dan KPI'!$N$8,2,1))))</f>
        <v/>
      </c>
      <c r="I43" s="12">
        <f>IF(G43&gt;='B2 COP dan KPI'!$N$9,"Hijau",IF(G43&gt;='B2 COP dan KPI'!$N$10,"Kuning","Merah"))</f>
        <v/>
      </c>
      <c r="J43" s="8" t="inlineStr">
        <is>
          <t>Royalti mengikuti harga – pisahkan dari kinerja biaya</t>
        </is>
      </c>
    </row>
    <row r="44">
      <c r="A44" s="10" t="inlineStr">
        <is>
          <t>All-in sustaining cost (AISC)</t>
        </is>
      </c>
      <c r="B44" s="45" t="inlineStr">
        <is>
          <t>USD/t</t>
        </is>
      </c>
      <c r="C44" s="47">
        <f>G28</f>
        <v/>
      </c>
      <c r="D44" s="47">
        <f>H28</f>
        <v/>
      </c>
      <c r="E44" s="18" t="n">
        <v>46</v>
      </c>
      <c r="F44" s="11" t="inlineStr">
        <is>
          <t>Lower</t>
        </is>
      </c>
      <c r="G44" s="42">
        <f>MIN('B2 COP dan KPI'!$N$11,IF(F44="Lower",IF(D44&lt;=0,'B2 COP dan KPI'!$N$11,E44/D44),IFERROR(D44/E44,0)))</f>
        <v/>
      </c>
      <c r="H44" s="59">
        <f>IF(G44&gt;='B2 COP dan KPI'!$N$5,5,IF(G44&gt;='B2 COP dan KPI'!$N$6,4,IF(G44&gt;='B2 COP dan KPI'!$N$7,3,IF(G44&gt;='B2 COP dan KPI'!$N$8,2,1))))</f>
        <v/>
      </c>
      <c r="I44" s="12">
        <f>IF(G44&gt;='B2 COP dan KPI'!$N$9,"Hijau",IF(G44&gt;='B2 COP dan KPI'!$N$10,"Kuning","Merah"))</f>
        <v/>
      </c>
      <c r="J44" s="8" t="inlineStr">
        <is>
          <t>Termasuk capex berkelanjutan</t>
        </is>
      </c>
    </row>
    <row r="45">
      <c r="A45" s="10" t="inlineStr">
        <is>
          <t>Marjin kas per ton</t>
        </is>
      </c>
      <c r="B45" s="45" t="inlineStr">
        <is>
          <t>USD/t</t>
        </is>
      </c>
      <c r="C45" s="47">
        <f>G30</f>
        <v/>
      </c>
      <c r="D45" s="47">
        <f>H30</f>
        <v/>
      </c>
      <c r="E45" s="18" t="n">
        <v>15</v>
      </c>
      <c r="F45" s="11" t="inlineStr">
        <is>
          <t>Higher</t>
        </is>
      </c>
      <c r="G45" s="42">
        <f>MIN('B2 COP dan KPI'!$N$11,IF(F45="Lower",IF(D45&lt;=0,'B2 COP dan KPI'!$N$11,E45/D45),IFERROR(D45/E45,0)))</f>
        <v/>
      </c>
      <c r="H45" s="59">
        <f>IF(G45&gt;='B2 COP dan KPI'!$N$5,5,IF(G45&gt;='B2 COP dan KPI'!$N$6,4,IF(G45&gt;='B2 COP dan KPI'!$N$7,3,IF(G45&gt;='B2 COP dan KPI'!$N$8,2,1))))</f>
        <v/>
      </c>
      <c r="I45" s="12">
        <f>IF(G45&gt;='B2 COP dan KPI'!$N$9,"Hijau",IF(G45&gt;='B2 COP dan KPI'!$N$10,"Kuning","Merah"))</f>
        <v/>
      </c>
      <c r="J45" s="8" t="inlineStr">
        <is>
          <t>ASP – total cash cost</t>
        </is>
      </c>
    </row>
    <row r="46">
      <c r="A46" s="46" t="inlineStr">
        <is>
          <t>Rata-rata skor KPI COP</t>
        </is>
      </c>
      <c r="H46" s="60">
        <f>AVERAGE(H36:H45)</f>
        <v/>
      </c>
    </row>
    <row r="47">
      <c r="A47" s="3" t="inlineStr">
        <is>
          <t>Target diisi manajemen (sel kuning) – contoh: dari RKAP/budget atau benchmark. Sumber target contoh: asumsi penyusun.</t>
        </is>
      </c>
    </row>
  </sheetData>
  <conditionalFormatting sqref="K6:K31">
    <cfRule type="cellIs" priority="1" operator="equal" dxfId="0">
      <formula>"Efisien"</formula>
    </cfRule>
    <cfRule type="cellIs" priority="2" operator="equal" dxfId="1">
      <formula>"Naik – review"</formula>
    </cfRule>
    <cfRule type="cellIs" priority="3" operator="equal" dxfId="0">
      <formula>"Membaik"</formula>
    </cfRule>
    <cfRule type="cellIs" priority="4" operator="equal" dxfId="1">
      <formula>"Menurun – review"</formula>
    </cfRule>
  </conditionalFormatting>
  <conditionalFormatting sqref="I36:I45">
    <cfRule type="cellIs" priority="5" operator="equal" dxfId="0">
      <formula>"Hijau"</formula>
    </cfRule>
    <cfRule type="cellIs" priority="6" operator="equal" dxfId="2">
      <formula>"Kuning"</formula>
    </cfRule>
    <cfRule type="cellIs" priority="7" operator="equal" dxfId="1">
      <formula>"Merah"</formula>
    </cfRule>
  </conditionalFormatting>
  <dataValidations count="1">
    <dataValidation sqref="F36:F45" showDropDown="0" showInputMessage="0" showErrorMessage="0" allowBlank="0" type="list">
      <formula1>"Higher,Lower"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J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38" customWidth="1" min="3" max="3"/>
    <col width="10" customWidth="1" min="4" max="4"/>
    <col width="14" customWidth="1" min="5" max="5"/>
    <col width="14" customWidth="1" min="6" max="6"/>
    <col width="11" customWidth="1" min="7" max="7"/>
    <col width="14" customWidth="1" min="8" max="8"/>
    <col width="17" customWidth="1" min="9" max="9"/>
    <col width="70" customWidth="1" min="10" max="10"/>
  </cols>
  <sheetData>
    <row r="1">
      <c r="A1" s="1" t="inlineStr">
        <is>
          <t>Analisa KPI Cost vs Revenue – untuk Penilaian Manajemen (model contoh)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Sumber: A2 Laba Rugi, A3 Neraca, A4 Arus Kas, B2 COP. Target/acuan = input manajemen (sel kuning).</t>
        </is>
      </c>
    </row>
    <row r="4">
      <c r="A4" s="16" t="inlineStr">
        <is>
          <t>No</t>
        </is>
      </c>
      <c r="B4" s="16" t="inlineStr">
        <is>
          <t>KPI</t>
        </is>
      </c>
      <c r="C4" s="16" t="inlineStr">
        <is>
          <t>Rumus</t>
        </is>
      </c>
      <c r="D4" s="16" t="inlineStr">
        <is>
          <t>Satuan</t>
        </is>
      </c>
      <c r="E4" s="16" t="inlineStr">
        <is>
          <t>FY2024</t>
        </is>
      </c>
      <c r="F4" s="16" t="inlineStr">
        <is>
          <t>FY2025</t>
        </is>
      </c>
      <c r="G4" s="16" t="inlineStr">
        <is>
          <t>Polaritas</t>
        </is>
      </c>
      <c r="H4" s="16" t="inlineStr">
        <is>
          <t>Acuan / Target</t>
        </is>
      </c>
      <c r="I4" s="16" t="inlineStr">
        <is>
          <t>Penilaian FY2025</t>
        </is>
      </c>
      <c r="J4" s="16" t="inlineStr">
        <is>
          <t>Interpretasi untuk manajemen</t>
        </is>
      </c>
    </row>
    <row r="5">
      <c r="A5" s="4" t="inlineStr">
        <is>
          <t>A. PERTUMBUHAN &amp; "JAWS"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1" t="n">
        <v>1</v>
      </c>
      <c r="B6" s="10" t="inlineStr">
        <is>
          <t>Pertumbuhan pendapatan</t>
        </is>
      </c>
      <c r="C6" s="3" t="inlineStr">
        <is>
          <t>Pendapatan t ÷ t-1 – 1</t>
        </is>
      </c>
      <c r="D6" s="45" t="inlineStr">
        <is>
          <t>%</t>
        </is>
      </c>
      <c r="E6" s="62" t="inlineStr">
        <is>
          <t>n/a</t>
        </is>
      </c>
      <c r="F6" s="42">
        <f>'A2 Laba Rugi Contoh'!D13/'A2 Laba Rugi Contoh'!C13-1</f>
        <v/>
      </c>
      <c r="G6" s="11" t="inlineStr">
        <is>
          <t>Higher</t>
        </is>
      </c>
      <c r="H6" s="25" t="n">
        <v>0.02</v>
      </c>
      <c r="I6" s="11">
        <f>IF(G6="Info","Informasi",IF(G6="Higher",IF(F6&gt;=H6,"Baik","Perlu perbaikan"),IF(F6&lt;=H6,"Baik","Perlu perbaikan")))</f>
        <v/>
      </c>
      <c r="J6" s="8" t="inlineStr">
        <is>
          <t>Pisahkan efek volume, harga, kurs (lihat B4).</t>
        </is>
      </c>
    </row>
    <row r="7">
      <c r="A7" s="61" t="n">
        <v>2</v>
      </c>
      <c r="B7" s="10" t="inlineStr">
        <is>
          <t>Pertumbuhan total biaya</t>
        </is>
      </c>
      <c r="C7" s="3" t="inlineStr">
        <is>
          <t>Total biaya t ÷ t-1 – 1</t>
        </is>
      </c>
      <c r="D7" s="45" t="inlineStr">
        <is>
          <t>%</t>
        </is>
      </c>
      <c r="E7" s="62" t="inlineStr">
        <is>
          <t>n/a</t>
        </is>
      </c>
      <c r="F7" s="42">
        <f>('A2 Laba Rugi Contoh'!D49+'A2 Laba Rugi Contoh'!D74-'A2 Laba Rugi Contoh'!D81)/('A2 Laba Rugi Contoh'!C49+'A2 Laba Rugi Contoh'!C74-'A2 Laba Rugi Contoh'!C81)-1</f>
        <v/>
      </c>
      <c r="G7" s="11" t="inlineStr">
        <is>
          <t>Lower</t>
        </is>
      </c>
      <c r="H7" s="63">
        <f>F6</f>
        <v/>
      </c>
      <c r="I7" s="11">
        <f>IF(G7="Info","Informasi",IF(G7="Higher",IF(F7&gt;=H7,"Baik","Perlu perbaikan"),IF(F7&lt;=H7,"Baik","Perlu perbaikan")))</f>
        <v/>
      </c>
      <c r="J7" s="8" t="inlineStr">
        <is>
          <t>Target: biaya tumbuh lebih lambat dari pendapatan.</t>
        </is>
      </c>
    </row>
    <row r="8">
      <c r="A8" s="61" t="n">
        <v>3</v>
      </c>
      <c r="B8" s="10" t="inlineStr">
        <is>
          <t>Jaws ratio</t>
        </is>
      </c>
      <c r="C8" s="3" t="inlineStr">
        <is>
          <t>Growth pendapatan – growth biaya</t>
        </is>
      </c>
      <c r="D8" s="45" t="inlineStr">
        <is>
          <t>pp</t>
        </is>
      </c>
      <c r="E8" s="62" t="inlineStr">
        <is>
          <t>n/a</t>
        </is>
      </c>
      <c r="F8" s="24">
        <f>F6-F7</f>
        <v/>
      </c>
      <c r="G8" s="11" t="inlineStr">
        <is>
          <t>Higher</t>
        </is>
      </c>
      <c r="H8" s="25" t="n">
        <v>0</v>
      </c>
      <c r="I8" s="11">
        <f>IF(G8="Info","Informasi",IF(G8="Higher",IF(F8&gt;=H8,"Baik","Perlu perbaikan"),IF(F8&lt;=H8,"Baik","Perlu perbaikan")))</f>
        <v/>
      </c>
      <c r="J8" s="8" t="inlineStr">
        <is>
          <t>Positif = pendapatan tumbuh lebih cepat dari biaya (leverage operasi sehat).</t>
        </is>
      </c>
    </row>
    <row r="9">
      <c r="A9" s="4" t="inlineStr">
        <is>
          <t>B. RASIO BIAYA TERHADAP PENDAPATAN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61" t="n">
        <v>4</v>
      </c>
      <c r="B10" s="10" t="inlineStr">
        <is>
          <t>Rasio total biaya thd pendapatan</t>
        </is>
      </c>
      <c r="C10" s="3" t="inlineStr">
        <is>
          <t>(BPP + beban usaha + bunga) ÷ pendapatan</t>
        </is>
      </c>
      <c r="D10" s="45" t="inlineStr">
        <is>
          <t>%</t>
        </is>
      </c>
      <c r="E10" s="42">
        <f>('A2 Laba Rugi Contoh'!C49+'A2 Laba Rugi Contoh'!C74-'A2 Laba Rugi Contoh'!C81)/'A2 Laba Rugi Contoh'!C13</f>
        <v/>
      </c>
      <c r="F10" s="42">
        <f>('A2 Laba Rugi Contoh'!D49+'A2 Laba Rugi Contoh'!D74-'A2 Laba Rugi Contoh'!D81)/'A2 Laba Rugi Contoh'!D13</f>
        <v/>
      </c>
      <c r="G10" s="11" t="inlineStr">
        <is>
          <t>Lower</t>
        </is>
      </c>
      <c r="H10" s="25" t="n">
        <v>0.8</v>
      </c>
      <c r="I10" s="11">
        <f>IF(G10="Info","Informasi",IF(G10="Higher",IF(F10&gt;=H10,"Baik","Perlu perbaikan"),IF(F10&lt;=H10,"Baik","Perlu perbaikan")))</f>
        <v/>
      </c>
      <c r="J10" s="8" t="inlineStr">
        <is>
          <t>Setiap Rp100 pendapatan menyerap Rp x biaya.</t>
        </is>
      </c>
    </row>
    <row r="11">
      <c r="A11" s="61" t="n">
        <v>5</v>
      </c>
      <c r="B11" s="10" t="inlineStr">
        <is>
          <t>Rasio BPP thd pendapatan</t>
        </is>
      </c>
      <c r="C11" s="3" t="inlineStr">
        <is>
          <t>BPP ÷ pendapatan</t>
        </is>
      </c>
      <c r="D11" s="45" t="inlineStr">
        <is>
          <t>%</t>
        </is>
      </c>
      <c r="E11" s="42">
        <f>'A2 Laba Rugi Contoh'!C49/'A2 Laba Rugi Contoh'!C13</f>
        <v/>
      </c>
      <c r="F11" s="42">
        <f>'A2 Laba Rugi Contoh'!D49/'A2 Laba Rugi Contoh'!D13</f>
        <v/>
      </c>
      <c r="G11" s="11" t="inlineStr">
        <is>
          <t>Lower</t>
        </is>
      </c>
      <c r="H11" s="25" t="n">
        <v>0.72</v>
      </c>
      <c r="I11" s="11">
        <f>IF(G11="Info","Informasi",IF(G11="Higher",IF(F11&gt;=H11,"Baik","Perlu perbaikan"),IF(F11&lt;=H11,"Baik","Perlu perbaikan")))</f>
        <v/>
      </c>
      <c r="J11" s="8" t="inlineStr">
        <is>
          <t>Kebalikan dari marjin laba kotor.</t>
        </is>
      </c>
    </row>
    <row r="12">
      <c r="A12" s="61" t="n">
        <v>6</v>
      </c>
      <c r="B12" s="10" t="inlineStr">
        <is>
          <t>Rasio beban usaha thd pendapatan</t>
        </is>
      </c>
      <c r="C12" s="3" t="inlineStr">
        <is>
          <t>(Penjualan + G&amp;A) ÷ pendapatan</t>
        </is>
      </c>
      <c r="D12" s="45" t="inlineStr">
        <is>
          <t>%</t>
        </is>
      </c>
      <c r="E12" s="42">
        <f>'A2 Laba Rugi Contoh'!C74/'A2 Laba Rugi Contoh'!C13</f>
        <v/>
      </c>
      <c r="F12" s="42">
        <f>'A2 Laba Rugi Contoh'!D74/'A2 Laba Rugi Contoh'!D13</f>
        <v/>
      </c>
      <c r="G12" s="11" t="inlineStr">
        <is>
          <t>Lower</t>
        </is>
      </c>
      <c r="H12" s="25" t="n">
        <v>0.07000000000000001</v>
      </c>
      <c r="I12" s="11">
        <f>IF(G12="Info","Informasi",IF(G12="Higher",IF(F12&gt;=H12,"Baik","Perlu perbaikan"),IF(F12&lt;=H12,"Baik","Perlu perbaikan")))</f>
        <v/>
      </c>
      <c r="J12" s="8" t="inlineStr">
        <is>
          <t>Efisiensi overhead non-produksi.</t>
        </is>
      </c>
    </row>
    <row r="13">
      <c r="A13" s="61" t="n">
        <v>7</v>
      </c>
      <c r="B13" s="10" t="inlineStr">
        <is>
          <t>Royalti thd pendapatan</t>
        </is>
      </c>
      <c r="C13" s="3" t="inlineStr">
        <is>
          <t>Royalti ÷ pendapatan</t>
        </is>
      </c>
      <c r="D13" s="45" t="inlineStr">
        <is>
          <t>%</t>
        </is>
      </c>
      <c r="E13" s="42">
        <f>'A2 Laba Rugi Contoh'!C33/'A2 Laba Rugi Contoh'!C13</f>
        <v/>
      </c>
      <c r="F13" s="42">
        <f>'A2 Laba Rugi Contoh'!D33/'A2 Laba Rugi Contoh'!D13</f>
        <v/>
      </c>
      <c r="G13" s="11" t="inlineStr">
        <is>
          <t>Lower</t>
        </is>
      </c>
      <c r="H13" s="25" t="n">
        <v>0.07000000000000001</v>
      </c>
      <c r="I13" s="11">
        <f>IF(G13="Info","Informasi",IF(G13="Higher",IF(F13&gt;=H13,"Baik","Perlu perbaikan"),IF(F13&lt;=H13,"Baik","Perlu perbaikan")))</f>
        <v/>
      </c>
      <c r="J13" s="8" t="inlineStr">
        <is>
          <t>Tidak dapat dikendalikan – mengikuti harga &amp; regulasi.</t>
        </is>
      </c>
    </row>
    <row r="14">
      <c r="A14" s="4" t="inlineStr">
        <is>
          <t>C. PROFITABILITAS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61" t="n">
        <v>8</v>
      </c>
      <c r="B15" s="10" t="inlineStr">
        <is>
          <t>Marjin laba kotor</t>
        </is>
      </c>
      <c r="C15" s="3" t="inlineStr">
        <is>
          <t>Laba kotor ÷ pendapatan</t>
        </is>
      </c>
      <c r="D15" s="45" t="inlineStr">
        <is>
          <t>%</t>
        </is>
      </c>
      <c r="E15" s="42">
        <f>'A2 Laba Rugi Contoh'!C52</f>
        <v/>
      </c>
      <c r="F15" s="42">
        <f>'A2 Laba Rugi Contoh'!D52</f>
        <v/>
      </c>
      <c r="G15" s="11" t="inlineStr">
        <is>
          <t>Higher</t>
        </is>
      </c>
      <c r="H15" s="25" t="n">
        <v>0.28</v>
      </c>
      <c r="I15" s="11">
        <f>IF(G15="Info","Informasi",IF(G15="Higher",IF(F15&gt;=H15,"Baik","Perlu perbaikan"),IF(F15&lt;=H15,"Baik","Perlu perbaikan")))</f>
        <v/>
      </c>
      <c r="J15" s="8" t="inlineStr"/>
    </row>
    <row r="16">
      <c r="A16" s="61" t="n">
        <v>9</v>
      </c>
      <c r="B16" s="10" t="inlineStr">
        <is>
          <t>EBITDA</t>
        </is>
      </c>
      <c r="C16" s="3" t="inlineStr">
        <is>
          <t>Laba usaha + D&amp;A</t>
        </is>
      </c>
      <c r="D16" s="45" t="inlineStr">
        <is>
          <t>Rp juta</t>
        </is>
      </c>
      <c r="E16" s="28">
        <f>'A2 Laba Rugi Contoh'!C93</f>
        <v/>
      </c>
      <c r="F16" s="28">
        <f>'A2 Laba Rugi Contoh'!D93</f>
        <v/>
      </c>
      <c r="G16" s="11" t="inlineStr">
        <is>
          <t>Higher</t>
        </is>
      </c>
      <c r="H16" s="17" t="n">
        <v>3000000</v>
      </c>
      <c r="I16" s="11">
        <f>IF(G16="Info","Informasi",IF(G16="Higher",IF(F16&gt;=H16,"Baik","Perlu perbaikan"),IF(F16&lt;=H16,"Baik","Perlu perbaikan")))</f>
        <v/>
      </c>
      <c r="J16" s="8" t="inlineStr">
        <is>
          <t>Ukuran kas operasi sebelum modal kerja, pajak &amp; bunga.</t>
        </is>
      </c>
    </row>
    <row r="17">
      <c r="A17" s="61" t="n">
        <v>10</v>
      </c>
      <c r="B17" s="10" t="inlineStr">
        <is>
          <t>Marjin EBITDA</t>
        </is>
      </c>
      <c r="C17" s="3" t="inlineStr">
        <is>
          <t>EBITDA ÷ pendapatan</t>
        </is>
      </c>
      <c r="D17" s="45" t="inlineStr">
        <is>
          <t>%</t>
        </is>
      </c>
      <c r="E17" s="42">
        <f>'A2 Laba Rugi Contoh'!C94</f>
        <v/>
      </c>
      <c r="F17" s="42">
        <f>'A2 Laba Rugi Contoh'!D94</f>
        <v/>
      </c>
      <c r="G17" s="11" t="inlineStr">
        <is>
          <t>Higher</t>
        </is>
      </c>
      <c r="H17" s="25" t="n">
        <v>0.28</v>
      </c>
      <c r="I17" s="11">
        <f>IF(G17="Info","Informasi",IF(G17="Higher",IF(F17&gt;=H17,"Baik","Perlu perbaikan"),IF(F17&lt;=H17,"Baik","Perlu perbaikan")))</f>
        <v/>
      </c>
      <c r="J17" s="8" t="inlineStr"/>
    </row>
    <row r="18">
      <c r="A18" s="61" t="n">
        <v>11</v>
      </c>
      <c r="B18" s="10" t="inlineStr">
        <is>
          <t>EBITDA per ton</t>
        </is>
      </c>
      <c r="C18" s="3" t="inlineStr">
        <is>
          <t>EBITDA ÷ ton jual ÷ kurs</t>
        </is>
      </c>
      <c r="D18" s="45" t="inlineStr">
        <is>
          <t>USD/t</t>
        </is>
      </c>
      <c r="E18" s="39">
        <f>'A2 Laba Rugi Contoh'!C93*1000000/'A1 Asumsi Contoh'!C21/'A1 Asumsi Contoh'!C7</f>
        <v/>
      </c>
      <c r="F18" s="39">
        <f>'A2 Laba Rugi Contoh'!D93*1000000/'A1 Asumsi Contoh'!D21/'A1 Asumsi Contoh'!D7</f>
        <v/>
      </c>
      <c r="G18" s="11" t="inlineStr">
        <is>
          <t>Higher</t>
        </is>
      </c>
      <c r="H18" s="18" t="n">
        <v>16</v>
      </c>
      <c r="I18" s="11">
        <f>IF(G18="Info","Informasi",IF(G18="Higher",IF(F18&gt;=H18,"Baik","Perlu perbaikan"),IF(F18&lt;=H18,"Baik","Perlu perbaikan")))</f>
        <v/>
      </c>
      <c r="J18" s="8" t="inlineStr">
        <is>
          <t>Pembanding antar-perusahaan yang netral skala.</t>
        </is>
      </c>
    </row>
    <row r="19">
      <c r="A19" s="61" t="n">
        <v>12</v>
      </c>
      <c r="B19" s="10" t="inlineStr">
        <is>
          <t>Marjin laba usaha</t>
        </is>
      </c>
      <c r="C19" s="3" t="inlineStr">
        <is>
          <t>Laba usaha ÷ pendapatan</t>
        </is>
      </c>
      <c r="D19" s="45" t="inlineStr">
        <is>
          <t>%</t>
        </is>
      </c>
      <c r="E19" s="42">
        <f>'A2 Laba Rugi Contoh'!C77</f>
        <v/>
      </c>
      <c r="F19" s="42">
        <f>'A2 Laba Rugi Contoh'!D77</f>
        <v/>
      </c>
      <c r="G19" s="11" t="inlineStr">
        <is>
          <t>Higher</t>
        </is>
      </c>
      <c r="H19" s="25" t="n">
        <v>0.22</v>
      </c>
      <c r="I19" s="11">
        <f>IF(G19="Info","Informasi",IF(G19="Higher",IF(F19&gt;=H19,"Baik","Perlu perbaikan"),IF(F19&lt;=H19,"Baik","Perlu perbaikan")))</f>
        <v/>
      </c>
      <c r="J19" s="8" t="inlineStr"/>
    </row>
    <row r="20">
      <c r="A20" s="61" t="n">
        <v>13</v>
      </c>
      <c r="B20" s="10" t="inlineStr">
        <is>
          <t>Marjin laba bersih</t>
        </is>
      </c>
      <c r="C20" s="3" t="inlineStr">
        <is>
          <t>Laba bersih ÷ pendapatan</t>
        </is>
      </c>
      <c r="D20" s="45" t="inlineStr">
        <is>
          <t>%</t>
        </is>
      </c>
      <c r="E20" s="42">
        <f>'A2 Laba Rugi Contoh'!C90</f>
        <v/>
      </c>
      <c r="F20" s="42">
        <f>'A2 Laba Rugi Contoh'!D90</f>
        <v/>
      </c>
      <c r="G20" s="11" t="inlineStr">
        <is>
          <t>Higher</t>
        </is>
      </c>
      <c r="H20" s="25" t="n">
        <v>0.16</v>
      </c>
      <c r="I20" s="11">
        <f>IF(G20="Info","Informasi",IF(G20="Higher",IF(F20&gt;=H20,"Baik","Perlu perbaikan"),IF(F20&lt;=H20,"Baik","Perlu perbaikan")))</f>
        <v/>
      </c>
      <c r="J20" s="8" t="inlineStr"/>
    </row>
    <row r="21">
      <c r="A21" s="4" t="inlineStr">
        <is>
          <t>D. HARGA vs BIAYA PER TON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61" t="n">
        <v>14</v>
      </c>
      <c r="B22" s="10" t="inlineStr">
        <is>
          <t>ASP blended</t>
        </is>
      </c>
      <c r="C22" s="3" t="inlineStr">
        <is>
          <t>Penjualan batubara neto ÷ ton</t>
        </is>
      </c>
      <c r="D22" s="45" t="inlineStr">
        <is>
          <t>USD/t</t>
        </is>
      </c>
      <c r="E22" s="39">
        <f>'B2 COP dan KPI'!G29</f>
        <v/>
      </c>
      <c r="F22" s="39">
        <f>'B2 COP dan KPI'!H29</f>
        <v/>
      </c>
      <c r="G22" s="11" t="inlineStr">
        <is>
          <t>Higher</t>
        </is>
      </c>
      <c r="H22" s="18" t="n">
        <v>58</v>
      </c>
      <c r="I22" s="11">
        <f>IF(G22="Info","Informasi",IF(G22="Higher",IF(F22&gt;=H22,"Baik","Perlu perbaikan"),IF(F22&lt;=H22,"Baik","Perlu perbaikan")))</f>
        <v/>
      </c>
      <c r="J22" s="8" t="inlineStr"/>
    </row>
    <row r="23">
      <c r="A23" s="61" t="n">
        <v>15</v>
      </c>
      <c r="B23" s="10" t="inlineStr">
        <is>
          <t>Realisasi harga ekspor vs indeks</t>
        </is>
      </c>
      <c r="C23" s="3" t="inlineStr">
        <is>
          <t>ASP ekspor ÷ indeks acuan</t>
        </is>
      </c>
      <c r="D23" s="45" t="inlineStr">
        <is>
          <t>%</t>
        </is>
      </c>
      <c r="E23" s="42">
        <f>'A1 Asumsi Contoh'!C9/'A1 Asumsi Contoh'!C8</f>
        <v/>
      </c>
      <c r="F23" s="42">
        <f>'A1 Asumsi Contoh'!D9/'A1 Asumsi Contoh'!D8</f>
        <v/>
      </c>
      <c r="G23" s="11" t="inlineStr">
        <is>
          <t>Higher</t>
        </is>
      </c>
      <c r="H23" s="25" t="n">
        <v>0.95</v>
      </c>
      <c r="I23" s="11">
        <f>IF(G23="Info","Informasi",IF(G23="Higher",IF(F23&gt;=H23,"Baik","Perlu perbaikan"),IF(F23&lt;=H23,"Baik","Perlu perbaikan")))</f>
        <v/>
      </c>
      <c r="J23" s="8" t="inlineStr">
        <is>
          <t>Mengukur kualitas pemasaran &amp; spesifikasi produk.</t>
        </is>
      </c>
    </row>
    <row r="24">
      <c r="A24" s="61" t="n">
        <v>16</v>
      </c>
      <c r="B24" s="10" t="inlineStr">
        <is>
          <t>Total cash cost</t>
        </is>
      </c>
      <c r="C24" s="3" t="inlineStr">
        <is>
          <t>Lihat B2</t>
        </is>
      </c>
      <c r="D24" s="45" t="inlineStr">
        <is>
          <t>USD/t</t>
        </is>
      </c>
      <c r="E24" s="39">
        <f>'B2 COP dan KPI'!G25</f>
        <v/>
      </c>
      <c r="F24" s="39">
        <f>'B2 COP dan KPI'!H25</f>
        <v/>
      </c>
      <c r="G24" s="11" t="inlineStr">
        <is>
          <t>Lower</t>
        </is>
      </c>
      <c r="H24" s="18" t="n">
        <v>43</v>
      </c>
      <c r="I24" s="11">
        <f>IF(G24="Info","Informasi",IF(G24="Higher",IF(F24&gt;=H24,"Baik","Perlu perbaikan"),IF(F24&lt;=H24,"Baik","Perlu perbaikan")))</f>
        <v/>
      </c>
      <c r="J24" s="8" t="inlineStr"/>
    </row>
    <row r="25">
      <c r="A25" s="61" t="n">
        <v>17</v>
      </c>
      <c r="B25" s="10" t="inlineStr">
        <is>
          <t>Marjin kas per ton</t>
        </is>
      </c>
      <c r="C25" s="3" t="inlineStr">
        <is>
          <t>ASP – total cash cost</t>
        </is>
      </c>
      <c r="D25" s="45" t="inlineStr">
        <is>
          <t>USD/t</t>
        </is>
      </c>
      <c r="E25" s="39">
        <f>'B2 COP dan KPI'!G30</f>
        <v/>
      </c>
      <c r="F25" s="39">
        <f>'B2 COP dan KPI'!H30</f>
        <v/>
      </c>
      <c r="G25" s="11" t="inlineStr">
        <is>
          <t>Higher</t>
        </is>
      </c>
      <c r="H25" s="18" t="n">
        <v>15</v>
      </c>
      <c r="I25" s="11">
        <f>IF(G25="Info","Informasi",IF(G25="Higher",IF(F25&gt;=H25,"Baik","Perlu perbaikan"),IF(F25&lt;=H25,"Baik","Perlu perbaikan")))</f>
        <v/>
      </c>
      <c r="J25" s="8" t="inlineStr"/>
    </row>
    <row r="26">
      <c r="A26" s="61" t="n">
        <v>18</v>
      </c>
      <c r="B26" s="10" t="inlineStr">
        <is>
          <t>Harga impas kas (cash breakeven)</t>
        </is>
      </c>
      <c r="C26" s="3" t="inlineStr">
        <is>
          <t>(Total cash cost + bunga) per ton</t>
        </is>
      </c>
      <c r="D26" s="45" t="inlineStr">
        <is>
          <t>USD/t</t>
        </is>
      </c>
      <c r="E26" s="39">
        <f>'B2 COP dan KPI'!G25-'A2 Laba Rugi Contoh'!C81*1000000/'A1 Asumsi Contoh'!C21/'A1 Asumsi Contoh'!C7</f>
        <v/>
      </c>
      <c r="F26" s="39">
        <f>'B2 COP dan KPI'!H25-'A2 Laba Rugi Contoh'!D81*1000000/'A1 Asumsi Contoh'!D21/'A1 Asumsi Contoh'!D7</f>
        <v/>
      </c>
      <c r="G26" s="11" t="inlineStr">
        <is>
          <t>Lower</t>
        </is>
      </c>
      <c r="H26" s="18" t="n">
        <v>45</v>
      </c>
      <c r="I26" s="11">
        <f>IF(G26="Info","Informasi",IF(G26="Higher",IF(F26&gt;=H26,"Baik","Perlu perbaikan"),IF(F26&lt;=H26,"Baik","Perlu perbaikan")))</f>
        <v/>
      </c>
      <c r="J26" s="8" t="inlineStr">
        <is>
          <t>Harga minimum agar kas operasi tidak negatif.</t>
        </is>
      </c>
    </row>
    <row r="27">
      <c r="A27" s="61" t="n">
        <v>19</v>
      </c>
      <c r="B27" s="10" t="inlineStr">
        <is>
          <t>Margin of safety harga</t>
        </is>
      </c>
      <c r="C27" s="3" t="inlineStr">
        <is>
          <t>(ASP – harga impas) ÷ ASP</t>
        </is>
      </c>
      <c r="D27" s="45" t="inlineStr">
        <is>
          <t>%</t>
        </is>
      </c>
      <c r="E27" s="42">
        <f>IFERROR(('B2 COP dan KPI'!G29-E26)/'B2 COP dan KPI'!G29,0)</f>
        <v/>
      </c>
      <c r="F27" s="42">
        <f>IFERROR(('B2 COP dan KPI'!H29-F26)/'B2 COP dan KPI'!H29,0)</f>
        <v/>
      </c>
      <c r="G27" s="11" t="inlineStr">
        <is>
          <t>Higher</t>
        </is>
      </c>
      <c r="H27" s="25" t="n">
        <v>0.2</v>
      </c>
      <c r="I27" s="11">
        <f>IF(G27="Info","Informasi",IF(G27="Higher",IF(F27&gt;=H27,"Baik","Perlu perbaikan"),IF(F27&lt;=H27,"Baik","Perlu perbaikan")))</f>
        <v/>
      </c>
      <c r="J27" s="8" t="inlineStr">
        <is>
          <t>Ketahanan terhadap penurunan harga batubara.</t>
        </is>
      </c>
    </row>
    <row r="28">
      <c r="A28" s="61" t="n">
        <v>20</v>
      </c>
      <c r="B28" s="10" t="inlineStr">
        <is>
          <t>Degree of operating leverage (DOL)</t>
        </is>
      </c>
      <c r="C28" s="3" t="inlineStr">
        <is>
          <t>%Δ laba usaha ÷ %Δ pendapatan</t>
        </is>
      </c>
      <c r="D28" s="45" t="inlineStr">
        <is>
          <t>x</t>
        </is>
      </c>
      <c r="E28" s="62" t="inlineStr">
        <is>
          <t>n/a</t>
        </is>
      </c>
      <c r="F28" s="64">
        <f>IFERROR(('A2 Laba Rugi Contoh'!D76/'A2 Laba Rugi Contoh'!C76-1)/F6,0)</f>
        <v/>
      </c>
      <c r="G28" s="11" t="inlineStr">
        <is>
          <t>Info</t>
        </is>
      </c>
      <c r="I28" s="11">
        <f>IF(G28="Info","Informasi",IF(G28="Higher",IF(F28&gt;=H28,"Baik","Perlu perbaikan"),IF(F28&lt;=H28,"Baik","Perlu perbaikan")))</f>
        <v/>
      </c>
      <c r="J28" s="8" t="inlineStr">
        <is>
          <t>DOL tinggi = laba sangat sensitif thd perubahan pendapatan.</t>
        </is>
      </c>
    </row>
    <row r="29">
      <c r="A29" s="4" t="inlineStr">
        <is>
          <t>E. KAS, LEVERAGE &amp; IMBAL HASIL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61" t="n">
        <v>21</v>
      </c>
      <c r="B30" s="10" t="inlineStr">
        <is>
          <t>Interest coverage</t>
        </is>
      </c>
      <c r="C30" s="3" t="inlineStr">
        <is>
          <t>EBITDA ÷ beban bunga</t>
        </is>
      </c>
      <c r="D30" s="45" t="inlineStr">
        <is>
          <t>x</t>
        </is>
      </c>
      <c r="E30" s="64">
        <f>IFERROR('A2 Laba Rugi Contoh'!C93/-'A2 Laba Rugi Contoh'!C81,0)</f>
        <v/>
      </c>
      <c r="F30" s="64">
        <f>IFERROR('A2 Laba Rugi Contoh'!D93/-'A2 Laba Rugi Contoh'!D81,0)</f>
        <v/>
      </c>
      <c r="G30" s="11" t="inlineStr">
        <is>
          <t>Higher</t>
        </is>
      </c>
      <c r="H30" s="65" t="n">
        <v>5</v>
      </c>
      <c r="I30" s="11">
        <f>IF(G30="Info","Informasi",IF(G30="Higher",IF(F30&gt;=H30,"Baik","Perlu perbaikan"),IF(F30&lt;=H30,"Baik","Perlu perbaikan")))</f>
        <v/>
      </c>
      <c r="J30" s="8" t="inlineStr"/>
    </row>
    <row r="31">
      <c r="A31" s="61" t="n">
        <v>22</v>
      </c>
      <c r="B31" s="10" t="inlineStr">
        <is>
          <t>Konversi kas (cash conversion)</t>
        </is>
      </c>
      <c r="C31" s="3" t="inlineStr">
        <is>
          <t>CFO ÷ EBITDA</t>
        </is>
      </c>
      <c r="D31" s="45" t="inlineStr">
        <is>
          <t>%</t>
        </is>
      </c>
      <c r="E31" s="42">
        <f>'A4 Arus Kas Contoh'!C25/'A2 Laba Rugi Contoh'!C93</f>
        <v/>
      </c>
      <c r="F31" s="42">
        <f>'A4 Arus Kas Contoh'!D25/'A2 Laba Rugi Contoh'!D93</f>
        <v/>
      </c>
      <c r="G31" s="11" t="inlineStr">
        <is>
          <t>Higher</t>
        </is>
      </c>
      <c r="H31" s="25" t="n">
        <v>0.8</v>
      </c>
      <c r="I31" s="11">
        <f>IF(G31="Info","Informasi",IF(G31="Higher",IF(F31&gt;=H31,"Baik","Perlu perbaikan"),IF(F31&lt;=H31,"Baik","Perlu perbaikan")))</f>
        <v/>
      </c>
      <c r="J31" s="8" t="inlineStr">
        <is>
          <t>Kualitas laba – seberapa banyak EBITDA menjadi kas.</t>
        </is>
      </c>
    </row>
    <row r="32">
      <c r="A32" s="61" t="n">
        <v>23</v>
      </c>
      <c r="B32" s="10" t="inlineStr">
        <is>
          <t>ROE</t>
        </is>
      </c>
      <c r="C32" s="3" t="inlineStr">
        <is>
          <t>Laba bersih ÷ ekuitas rata-rata</t>
        </is>
      </c>
      <c r="D32" s="45" t="inlineStr">
        <is>
          <t>%</t>
        </is>
      </c>
      <c r="E32" s="42">
        <f>'A2 Laba Rugi Contoh'!C89/(('A3 Neraca Contoh'!D51+'A3 Neraca Contoh'!C51)/2)</f>
        <v/>
      </c>
      <c r="F32" s="42">
        <f>'A2 Laba Rugi Contoh'!D89/(('A3 Neraca Contoh'!E51+'A3 Neraca Contoh'!D51)/2)</f>
        <v/>
      </c>
      <c r="G32" s="11" t="inlineStr">
        <is>
          <t>Higher</t>
        </is>
      </c>
      <c r="H32" s="25" t="n">
        <v>0.2</v>
      </c>
      <c r="I32" s="11">
        <f>IF(G32="Info","Informasi",IF(G32="Higher",IF(F32&gt;=H32,"Baik","Perlu perbaikan"),IF(F32&lt;=H32,"Baik","Perlu perbaikan")))</f>
        <v/>
      </c>
      <c r="J32" s="8" t="inlineStr"/>
    </row>
    <row r="33">
      <c r="A33" s="61" t="n">
        <v>24</v>
      </c>
      <c r="B33" s="10" t="inlineStr">
        <is>
          <t>ROA</t>
        </is>
      </c>
      <c r="C33" s="3" t="inlineStr">
        <is>
          <t>Laba bersih ÷ aset rata-rata</t>
        </is>
      </c>
      <c r="D33" s="45" t="inlineStr">
        <is>
          <t>%</t>
        </is>
      </c>
      <c r="E33" s="42">
        <f>'A2 Laba Rugi Contoh'!C89/(('A3 Neraca Contoh'!D26+'A3 Neraca Contoh'!C26)/2)</f>
        <v/>
      </c>
      <c r="F33" s="42">
        <f>'A2 Laba Rugi Contoh'!D89/(('A3 Neraca Contoh'!E26+'A3 Neraca Contoh'!D26)/2)</f>
        <v/>
      </c>
      <c r="G33" s="11" t="inlineStr">
        <is>
          <t>Higher</t>
        </is>
      </c>
      <c r="H33" s="25" t="n">
        <v>0.12</v>
      </c>
      <c r="I33" s="11">
        <f>IF(G33="Info","Informasi",IF(G33="Higher",IF(F33&gt;=H33,"Baik","Perlu perbaikan"),IF(F33&lt;=H33,"Baik","Perlu perbaikan")))</f>
        <v/>
      </c>
      <c r="J33" s="8" t="inlineStr"/>
    </row>
    <row r="34">
      <c r="A34" s="61" t="n">
        <v>25</v>
      </c>
      <c r="B34" s="10" t="inlineStr">
        <is>
          <t>Debt to equity (DER)</t>
        </is>
      </c>
      <c r="C34" s="3" t="inlineStr">
        <is>
          <t>Pinjaman ÷ ekuitas</t>
        </is>
      </c>
      <c r="D34" s="45" t="inlineStr">
        <is>
          <t>x</t>
        </is>
      </c>
      <c r="E34" s="64">
        <f>('A3 Neraca Contoh'!D34+'A3 Neraca Contoh'!D35+'A3 Neraca Contoh'!D38)/'A3 Neraca Contoh'!D51</f>
        <v/>
      </c>
      <c r="F34" s="64">
        <f>('A3 Neraca Contoh'!E34+'A3 Neraca Contoh'!E35+'A3 Neraca Contoh'!E38)/'A3 Neraca Contoh'!E51</f>
        <v/>
      </c>
      <c r="G34" s="11" t="inlineStr">
        <is>
          <t>Lower</t>
        </is>
      </c>
      <c r="H34" s="65" t="n">
        <v>0.5</v>
      </c>
      <c r="I34" s="11">
        <f>IF(G34="Info","Informasi",IF(G34="Higher",IF(F34&gt;=H34,"Baik","Perlu perbaikan"),IF(F34&lt;=H34,"Baik","Perlu perbaikan")))</f>
        <v/>
      </c>
      <c r="J34" s="8" t="inlineStr"/>
    </row>
    <row r="35">
      <c r="A35" s="61" t="n">
        <v>26</v>
      </c>
      <c r="B35" s="10" t="inlineStr">
        <is>
          <t>Net debt ÷ EBITDA</t>
        </is>
      </c>
      <c r="C35" s="3" t="inlineStr">
        <is>
          <t>(Pinjaman – kas) ÷ EBITDA</t>
        </is>
      </c>
      <c r="D35" s="45" t="inlineStr">
        <is>
          <t>x</t>
        </is>
      </c>
      <c r="E35" s="64">
        <f>(('A3 Neraca Contoh'!D34+'A3 Neraca Contoh'!D35+'A3 Neraca Contoh'!D38)-'A3 Neraca Contoh'!D8)/'A2 Laba Rugi Contoh'!C93</f>
        <v/>
      </c>
      <c r="F35" s="64">
        <f>(('A3 Neraca Contoh'!E34+'A3 Neraca Contoh'!E35+'A3 Neraca Contoh'!E38)-'A3 Neraca Contoh'!E8)/'A2 Laba Rugi Contoh'!D93</f>
        <v/>
      </c>
      <c r="G35" s="11" t="inlineStr">
        <is>
          <t>Lower</t>
        </is>
      </c>
      <c r="H35" s="65" t="n">
        <v>1</v>
      </c>
      <c r="I35" s="11">
        <f>IF(G35="Info","Informasi",IF(G35="Higher",IF(F35&gt;=H35,"Baik","Perlu perbaikan"),IF(F35&lt;=H35,"Baik","Perlu perbaikan")))</f>
        <v/>
      </c>
      <c r="J35" s="8" t="inlineStr">
        <is>
          <t>Negatif = posisi kas neto.</t>
        </is>
      </c>
    </row>
    <row r="36">
      <c r="A36" s="61" t="n">
        <v>27</v>
      </c>
      <c r="B36" s="10" t="inlineStr">
        <is>
          <t>Current ratio</t>
        </is>
      </c>
      <c r="C36" s="3" t="inlineStr">
        <is>
          <t>Aset lancar ÷ liabilitas lancar</t>
        </is>
      </c>
      <c r="D36" s="45" t="inlineStr">
        <is>
          <t>x</t>
        </is>
      </c>
      <c r="E36" s="64">
        <f>'A3 Neraca Contoh'!D15/'A3 Neraca Contoh'!D36</f>
        <v/>
      </c>
      <c r="F36" s="64">
        <f>'A3 Neraca Contoh'!E15/'A3 Neraca Contoh'!E36</f>
        <v/>
      </c>
      <c r="G36" s="11" t="inlineStr">
        <is>
          <t>Higher</t>
        </is>
      </c>
      <c r="H36" s="65" t="n">
        <v>1.5</v>
      </c>
      <c r="I36" s="11">
        <f>IF(G36="Info","Informasi",IF(G36="Higher",IF(F36&gt;=H36,"Baik","Perlu perbaikan"),IF(F36&lt;=H36,"Baik","Perlu perbaikan")))</f>
        <v/>
      </c>
      <c r="J36" s="8" t="inlineStr"/>
    </row>
    <row r="38">
      <c r="A38" s="4" t="inlineStr">
        <is>
          <t>RINGKASAN PENILAIAN MANAJEMEN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B39" s="10" t="inlineStr">
        <is>
          <t>Jumlah KPI "Baik"</t>
        </is>
      </c>
      <c r="F39" s="19">
        <f>COUNTIF(I5:I36,"Baik")</f>
        <v/>
      </c>
    </row>
    <row r="40">
      <c r="B40" s="10" t="inlineStr">
        <is>
          <t>Jumlah KPI "Perlu perbaikan"</t>
        </is>
      </c>
      <c r="F40" s="19">
        <f>COUNTIF(I5:I36,"Perlu perbaikan")</f>
        <v/>
      </c>
    </row>
    <row r="41">
      <c r="B41" s="10" t="inlineStr">
        <is>
          <t>Persentase KPI tercapai</t>
        </is>
      </c>
      <c r="F41" s="66">
        <f>IFERROR(F39/(F39+F40),0)</f>
        <v/>
      </c>
    </row>
    <row r="42">
      <c r="B42" s="10" t="inlineStr">
        <is>
          <t>Kesimpulan otomatis</t>
        </is>
      </c>
      <c r="F42" s="46">
        <f>IF(F41&gt;=0.8,"Kinerja manajemen BAIK – pertahankan disiplin biaya",IF(F41&gt;=0.6,"Kinerja CUKUP – fokus pada KPI merah","Kinerja KURANG – perlu rencana perbaikan biaya &amp; harga"))</f>
        <v/>
      </c>
    </row>
    <row r="44">
      <c r="B44" s="67" t="inlineStr">
        <is>
          <t>Cara membaca: nilai kinerja manajemen dari KPI yang dapat dikendalikan (cash cost excl. royalti, fuel ratio, USD/bcm, beban usaha/pendapatan),</t>
        </is>
      </c>
    </row>
    <row r="45">
      <c r="B45" s="67" t="inlineStr">
        <is>
          <t>bukan dari KPI yang digerakkan pasar (harga indeks, kurs, royalti). Gunakan jembatan EBITDA di B4 untuk memisahkan efek pasar vs efek manajemen.</t>
        </is>
      </c>
    </row>
  </sheetData>
  <conditionalFormatting sqref="I5:I37">
    <cfRule type="cellIs" priority="1" operator="equal" dxfId="0">
      <formula>"Baik"</formula>
    </cfRule>
    <cfRule type="cellIs" priority="2" operator="equal" dxfId="1">
      <formula>"Perlu perbaikan"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O6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8" customWidth="1" min="2" max="2"/>
    <col width="14" customWidth="1" min="3" max="3"/>
    <col width="16" customWidth="1" min="4" max="4"/>
    <col width="18" customWidth="1" min="5" max="5"/>
    <col width="16" customWidth="1" min="6" max="6"/>
    <col width="14" customWidth="1" min="7" max="7"/>
    <col width="20" customWidth="1" min="8" max="8"/>
    <col width="16" customWidth="1" min="9" max="9"/>
    <col width="15" customWidth="1" min="10" max="10"/>
    <col width="14" customWidth="1" min="11" max="11"/>
    <col width="16" customWidth="1" min="12" max="12"/>
    <col width="18" customWidth="1" min="13" max="13"/>
    <col width="16" customWidth="1" min="14" max="14"/>
    <col width="14" customWidth="1" min="15" max="15"/>
  </cols>
  <sheetData>
    <row r="1">
      <c r="A1" s="1" t="inlineStr">
        <is>
          <t>Analisa Efisiensi Biaya – Efek Volume vs Efek Tarif/Efisiensi &amp; Jembatan EBITDA (FY2025 vs FY2024)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Efek volume = biaya/unit 2024 × Δvolume; efek tarif = Δbiaya/unit × volume 2025; efek kurs = porsi efek tarif akibat perubahan Rp/USD (item berbasis USD).</t>
        </is>
      </c>
    </row>
    <row r="3"/>
    <row r="4">
      <c r="A4" s="4" t="inlineStr">
        <is>
          <t>1. ANALISA VARIANS BIAYA PER KOMPONEN (Rp juta)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16" t="inlineStr">
        <is>
          <t>Komponen biaya</t>
        </is>
      </c>
      <c r="B5" s="16" t="inlineStr">
        <is>
          <t>Pemicu volume</t>
        </is>
      </c>
      <c r="C5" s="16" t="inlineStr">
        <is>
          <t>Mata uang tarif</t>
        </is>
      </c>
      <c r="D5" s="16" t="inlineStr">
        <is>
          <t>Volume 2024</t>
        </is>
      </c>
      <c r="E5" s="16" t="inlineStr">
        <is>
          <t>Volume 2025</t>
        </is>
      </c>
      <c r="F5" s="16" t="inlineStr">
        <is>
          <t>Biaya 2024</t>
        </is>
      </c>
      <c r="G5" s="16" t="inlineStr">
        <is>
          <t>Biaya 2025</t>
        </is>
      </c>
      <c r="H5" s="16" t="inlineStr">
        <is>
          <t>Biaya/unit 2024 (Rp)</t>
        </is>
      </c>
      <c r="I5" s="16" t="inlineStr">
        <is>
          <t>Biaya/unit 2025 (Rp)</t>
        </is>
      </c>
      <c r="J5" s="16" t="inlineStr">
        <is>
          <t>Δ Total</t>
        </is>
      </c>
      <c r="K5" s="16" t="inlineStr">
        <is>
          <t>Efek volume</t>
        </is>
      </c>
      <c r="L5" s="16" t="inlineStr">
        <is>
          <t>Efek tarif / efisiensi</t>
        </is>
      </c>
      <c r="M5" s="16" t="inlineStr">
        <is>
          <t>Efek kurs (bagian dari efek tarif)</t>
        </is>
      </c>
      <c r="N5" s="16" t="inlineStr">
        <is>
          <t>Efisiensi riil (excl. kurs)</t>
        </is>
      </c>
      <c r="O5" s="16" t="inlineStr">
        <is>
          <t>Penilaian</t>
        </is>
      </c>
    </row>
    <row r="6">
      <c r="A6" s="10" t="inlineStr">
        <is>
          <t>Jasa kontraktor OB</t>
        </is>
      </c>
      <c r="B6" s="3" t="inlineStr">
        <is>
          <t>per bcm OB</t>
        </is>
      </c>
      <c r="C6" s="11" t="inlineStr">
        <is>
          <t>USD</t>
        </is>
      </c>
      <c r="D6" s="28">
        <f>'A1 Asumsi Contoh'!C16</f>
        <v/>
      </c>
      <c r="E6" s="28">
        <f>'A1 Asumsi Contoh'!D16</f>
        <v/>
      </c>
      <c r="F6" s="28">
        <f>'A2 Laba Rugi Contoh'!C17</f>
        <v/>
      </c>
      <c r="G6" s="28">
        <f>'A2 Laba Rugi Contoh'!D17</f>
        <v/>
      </c>
      <c r="H6" s="47">
        <f>IFERROR(F6*1000000/D6,0)</f>
        <v/>
      </c>
      <c r="I6" s="47">
        <f>IFERROR(G6*1000000/E6,0)</f>
        <v/>
      </c>
      <c r="J6" s="19">
        <f>G6-F6</f>
        <v/>
      </c>
      <c r="K6" s="19">
        <f>H6*(E6-D6)/1000000</f>
        <v/>
      </c>
      <c r="L6" s="19">
        <f>(I6-H6)*E6/1000000</f>
        <v/>
      </c>
      <c r="M6" s="28">
        <f>IF(C6="USD",G6*(1-'A1 Asumsi Contoh'!C7/'A1 Asumsi Contoh'!D7),0)</f>
        <v/>
      </c>
      <c r="N6" s="19">
        <f>L6-M6</f>
        <v/>
      </c>
      <c r="O6" s="11">
        <f>IF(N6&lt;=0,"Efisien","Tidak efisien")</f>
        <v/>
      </c>
    </row>
    <row r="7">
      <c r="A7" s="10" t="inlineStr">
        <is>
          <t>BBM</t>
        </is>
      </c>
      <c r="B7" s="3" t="inlineStr">
        <is>
          <t>per bcm OB</t>
        </is>
      </c>
      <c r="C7" s="11" t="inlineStr">
        <is>
          <t>Rp</t>
        </is>
      </c>
      <c r="D7" s="28">
        <f>'A1 Asumsi Contoh'!C16</f>
        <v/>
      </c>
      <c r="E7" s="28">
        <f>'A1 Asumsi Contoh'!D16</f>
        <v/>
      </c>
      <c r="F7" s="28">
        <f>'A2 Laba Rugi Contoh'!C18</f>
        <v/>
      </c>
      <c r="G7" s="28">
        <f>'A2 Laba Rugi Contoh'!D18</f>
        <v/>
      </c>
      <c r="H7" s="47">
        <f>IFERROR(F7*1000000/D7,0)</f>
        <v/>
      </c>
      <c r="I7" s="47">
        <f>IFERROR(G7*1000000/E7,0)</f>
        <v/>
      </c>
      <c r="J7" s="19">
        <f>G7-F7</f>
        <v/>
      </c>
      <c r="K7" s="19">
        <f>H7*(E7-D7)/1000000</f>
        <v/>
      </c>
      <c r="L7" s="19">
        <f>(I7-H7)*E7/1000000</f>
        <v/>
      </c>
      <c r="M7" s="28">
        <f>IF(C7="USD",G7*(1-'A1 Asumsi Contoh'!C7/'A1 Asumsi Contoh'!D7),0)</f>
        <v/>
      </c>
      <c r="N7" s="19">
        <f>L7-M7</f>
        <v/>
      </c>
      <c r="O7" s="11">
        <f>IF(N7&lt;=0,"Efisien","Tidak efisien")</f>
        <v/>
      </c>
    </row>
    <row r="8">
      <c r="A8" s="10" t="inlineStr">
        <is>
          <t>Peledakan</t>
        </is>
      </c>
      <c r="B8" s="3" t="inlineStr">
        <is>
          <t>per bcm OB</t>
        </is>
      </c>
      <c r="C8" s="11" t="inlineStr">
        <is>
          <t>USD</t>
        </is>
      </c>
      <c r="D8" s="28">
        <f>'A1 Asumsi Contoh'!C16</f>
        <v/>
      </c>
      <c r="E8" s="28">
        <f>'A1 Asumsi Contoh'!D16</f>
        <v/>
      </c>
      <c r="F8" s="28">
        <f>'A2 Laba Rugi Contoh'!C19</f>
        <v/>
      </c>
      <c r="G8" s="28">
        <f>'A2 Laba Rugi Contoh'!D19</f>
        <v/>
      </c>
      <c r="H8" s="47">
        <f>IFERROR(F8*1000000/D8,0)</f>
        <v/>
      </c>
      <c r="I8" s="47">
        <f>IFERROR(G8*1000000/E8,0)</f>
        <v/>
      </c>
      <c r="J8" s="19">
        <f>G8-F8</f>
        <v/>
      </c>
      <c r="K8" s="19">
        <f>H8*(E8-D8)/1000000</f>
        <v/>
      </c>
      <c r="L8" s="19">
        <f>(I8-H8)*E8/1000000</f>
        <v/>
      </c>
      <c r="M8" s="28">
        <f>IF(C8="USD",G8*(1-'A1 Asumsi Contoh'!C7/'A1 Asumsi Contoh'!D7),0)</f>
        <v/>
      </c>
      <c r="N8" s="19">
        <f>L8-M8</f>
        <v/>
      </c>
      <c r="O8" s="11">
        <f>IF(N8&lt;=0,"Efisien","Tidak efisien")</f>
        <v/>
      </c>
    </row>
    <row r="9">
      <c r="A9" s="10" t="inlineStr">
        <is>
          <t>Coal getting</t>
        </is>
      </c>
      <c r="B9" s="3" t="inlineStr">
        <is>
          <t>per ton produksi</t>
        </is>
      </c>
      <c r="C9" s="11" t="inlineStr">
        <is>
          <t>USD</t>
        </is>
      </c>
      <c r="D9" s="28">
        <f>'A1 Asumsi Contoh'!C14</f>
        <v/>
      </c>
      <c r="E9" s="28">
        <f>'A1 Asumsi Contoh'!D14</f>
        <v/>
      </c>
      <c r="F9" s="28">
        <f>'A2 Laba Rugi Contoh'!C20</f>
        <v/>
      </c>
      <c r="G9" s="28">
        <f>'A2 Laba Rugi Contoh'!D20</f>
        <v/>
      </c>
      <c r="H9" s="47">
        <f>IFERROR(F9*1000000/D9,0)</f>
        <v/>
      </c>
      <c r="I9" s="47">
        <f>IFERROR(G9*1000000/E9,0)</f>
        <v/>
      </c>
      <c r="J9" s="19">
        <f>G9-F9</f>
        <v/>
      </c>
      <c r="K9" s="19">
        <f>H9*(E9-D9)/1000000</f>
        <v/>
      </c>
      <c r="L9" s="19">
        <f>(I9-H9)*E9/1000000</f>
        <v/>
      </c>
      <c r="M9" s="28">
        <f>IF(C9="USD",G9*(1-'A1 Asumsi Contoh'!C7/'A1 Asumsi Contoh'!D7),0)</f>
        <v/>
      </c>
      <c r="N9" s="19">
        <f>L9-M9</f>
        <v/>
      </c>
      <c r="O9" s="11">
        <f>IF(N9&lt;=0,"Efisien","Tidak efisien")</f>
        <v/>
      </c>
    </row>
    <row r="10">
      <c r="A10" s="10" t="inlineStr">
        <is>
          <t>Biaya tambang tetap (sewa, pemeliharaan, dewatering, survei)</t>
        </is>
      </c>
      <c r="B10" s="3" t="inlineStr">
        <is>
          <t>per ton produksi</t>
        </is>
      </c>
      <c r="C10" s="11" t="inlineStr">
        <is>
          <t>Rp</t>
        </is>
      </c>
      <c r="D10" s="28">
        <f>'A1 Asumsi Contoh'!C14</f>
        <v/>
      </c>
      <c r="E10" s="28">
        <f>'A1 Asumsi Contoh'!D14</f>
        <v/>
      </c>
      <c r="F10" s="28">
        <f>'A2 Laba Rugi Contoh'!C21+'A2 Laba Rugi Contoh'!C22+'A2 Laba Rugi Contoh'!C23+'A2 Laba Rugi Contoh'!C24</f>
        <v/>
      </c>
      <c r="G10" s="28">
        <f>'A2 Laba Rugi Contoh'!D21+'A2 Laba Rugi Contoh'!D22+'A2 Laba Rugi Contoh'!D23+'A2 Laba Rugi Contoh'!D24</f>
        <v/>
      </c>
      <c r="H10" s="47">
        <f>IFERROR(F10*1000000/D10,0)</f>
        <v/>
      </c>
      <c r="I10" s="47">
        <f>IFERROR(G10*1000000/E10,0)</f>
        <v/>
      </c>
      <c r="J10" s="19">
        <f>G10-F10</f>
        <v/>
      </c>
      <c r="K10" s="19">
        <f>H10*(E10-D10)/1000000</f>
        <v/>
      </c>
      <c r="L10" s="19">
        <f>(I10-H10)*E10/1000000</f>
        <v/>
      </c>
      <c r="M10" s="28">
        <f>IF(C10="USD",G10*(1-'A1 Asumsi Contoh'!C7/'A1 Asumsi Contoh'!D7),0)</f>
        <v/>
      </c>
      <c r="N10" s="19">
        <f>L10-M10</f>
        <v/>
      </c>
      <c r="O10" s="11">
        <f>IF(N10&lt;=0,"Efisien","Tidak efisien")</f>
        <v/>
      </c>
    </row>
    <row r="11">
      <c r="A11" s="10" t="inlineStr">
        <is>
          <t>Crushing &amp; pengolahan</t>
        </is>
      </c>
      <c r="B11" s="3" t="inlineStr">
        <is>
          <t>per ton produksi</t>
        </is>
      </c>
      <c r="C11" s="11" t="inlineStr">
        <is>
          <t>USD</t>
        </is>
      </c>
      <c r="D11" s="28">
        <f>'A1 Asumsi Contoh'!C14</f>
        <v/>
      </c>
      <c r="E11" s="28">
        <f>'A1 Asumsi Contoh'!D14</f>
        <v/>
      </c>
      <c r="F11" s="28">
        <f>'A2 Laba Rugi Contoh'!C27</f>
        <v/>
      </c>
      <c r="G11" s="28">
        <f>'A2 Laba Rugi Contoh'!D27</f>
        <v/>
      </c>
      <c r="H11" s="47">
        <f>IFERROR(F11*1000000/D11,0)</f>
        <v/>
      </c>
      <c r="I11" s="47">
        <f>IFERROR(G11*1000000/E11,0)</f>
        <v/>
      </c>
      <c r="J11" s="19">
        <f>G11-F11</f>
        <v/>
      </c>
      <c r="K11" s="19">
        <f>H11*(E11-D11)/1000000</f>
        <v/>
      </c>
      <c r="L11" s="19">
        <f>(I11-H11)*E11/1000000</f>
        <v/>
      </c>
      <c r="M11" s="28">
        <f>IF(C11="USD",G11*(1-'A1 Asumsi Contoh'!C7/'A1 Asumsi Contoh'!D7),0)</f>
        <v/>
      </c>
      <c r="N11" s="19">
        <f>L11-M11</f>
        <v/>
      </c>
      <c r="O11" s="11">
        <f>IF(N11&lt;=0,"Efisien","Tidak efisien")</f>
        <v/>
      </c>
    </row>
    <row r="12">
      <c r="A12" s="10" t="inlineStr">
        <is>
          <t>Hauling</t>
        </is>
      </c>
      <c r="B12" s="3" t="inlineStr">
        <is>
          <t>per ton-km</t>
        </is>
      </c>
      <c r="C12" s="11" t="inlineStr">
        <is>
          <t>USD</t>
        </is>
      </c>
      <c r="D12" s="28">
        <f>'A1 Asumsi Contoh'!C14*'A1 Asumsi Contoh'!C17</f>
        <v/>
      </c>
      <c r="E12" s="28">
        <f>'A1 Asumsi Contoh'!D14*'A1 Asumsi Contoh'!D17</f>
        <v/>
      </c>
      <c r="F12" s="28">
        <f>'A2 Laba Rugi Contoh'!C28</f>
        <v/>
      </c>
      <c r="G12" s="28">
        <f>'A2 Laba Rugi Contoh'!D28</f>
        <v/>
      </c>
      <c r="H12" s="47">
        <f>IFERROR(F12*1000000/D12,0)</f>
        <v/>
      </c>
      <c r="I12" s="47">
        <f>IFERROR(G12*1000000/E12,0)</f>
        <v/>
      </c>
      <c r="J12" s="19">
        <f>G12-F12</f>
        <v/>
      </c>
      <c r="K12" s="19">
        <f>H12*(E12-D12)/1000000</f>
        <v/>
      </c>
      <c r="L12" s="19">
        <f>(I12-H12)*E12/1000000</f>
        <v/>
      </c>
      <c r="M12" s="28">
        <f>IF(C12="USD",G12*(1-'A1 Asumsi Contoh'!C7/'A1 Asumsi Contoh'!D7),0)</f>
        <v/>
      </c>
      <c r="N12" s="19">
        <f>L12-M12</f>
        <v/>
      </c>
      <c r="O12" s="11">
        <f>IF(N12&lt;=0,"Efisien","Tidak efisien")</f>
        <v/>
      </c>
    </row>
    <row r="13">
      <c r="A13" s="10" t="inlineStr">
        <is>
          <t>Pelabuhan &amp; stockpile</t>
        </is>
      </c>
      <c r="B13" s="3" t="inlineStr">
        <is>
          <t>per ton penjualan</t>
        </is>
      </c>
      <c r="C13" s="11" t="inlineStr">
        <is>
          <t>USD</t>
        </is>
      </c>
      <c r="D13" s="28">
        <f>'A1 Asumsi Contoh'!C21</f>
        <v/>
      </c>
      <c r="E13" s="28">
        <f>'A1 Asumsi Contoh'!D21</f>
        <v/>
      </c>
      <c r="F13" s="28">
        <f>'A2 Laba Rugi Contoh'!C29</f>
        <v/>
      </c>
      <c r="G13" s="28">
        <f>'A2 Laba Rugi Contoh'!D29</f>
        <v/>
      </c>
      <c r="H13" s="47">
        <f>IFERROR(F13*1000000/D13,0)</f>
        <v/>
      </c>
      <c r="I13" s="47">
        <f>IFERROR(G13*1000000/E13,0)</f>
        <v/>
      </c>
      <c r="J13" s="19">
        <f>G13-F13</f>
        <v/>
      </c>
      <c r="K13" s="19">
        <f>H13*(E13-D13)/1000000</f>
        <v/>
      </c>
      <c r="L13" s="19">
        <f>(I13-H13)*E13/1000000</f>
        <v/>
      </c>
      <c r="M13" s="28">
        <f>IF(C13="USD",G13*(1-'A1 Asumsi Contoh'!C7/'A1 Asumsi Contoh'!D7),0)</f>
        <v/>
      </c>
      <c r="N13" s="19">
        <f>L13-M13</f>
        <v/>
      </c>
      <c r="O13" s="11">
        <f>IF(N13&lt;=0,"Efisien","Tidak efisien")</f>
        <v/>
      </c>
    </row>
    <row r="14">
      <c r="A14" s="10" t="inlineStr">
        <is>
          <t>Tongkang &amp; transshipment</t>
        </is>
      </c>
      <c r="B14" s="3" t="inlineStr">
        <is>
          <t>per ton penjualan</t>
        </is>
      </c>
      <c r="C14" s="11" t="inlineStr">
        <is>
          <t>USD</t>
        </is>
      </c>
      <c r="D14" s="28">
        <f>'A1 Asumsi Contoh'!C21</f>
        <v/>
      </c>
      <c r="E14" s="28">
        <f>'A1 Asumsi Contoh'!D21</f>
        <v/>
      </c>
      <c r="F14" s="28">
        <f>'A2 Laba Rugi Contoh'!C30</f>
        <v/>
      </c>
      <c r="G14" s="28">
        <f>'A2 Laba Rugi Contoh'!D30</f>
        <v/>
      </c>
      <c r="H14" s="47">
        <f>IFERROR(F14*1000000/D14,0)</f>
        <v/>
      </c>
      <c r="I14" s="47">
        <f>IFERROR(G14*1000000/E14,0)</f>
        <v/>
      </c>
      <c r="J14" s="19">
        <f>G14-F14</f>
        <v/>
      </c>
      <c r="K14" s="19">
        <f>H14*(E14-D14)/1000000</f>
        <v/>
      </c>
      <c r="L14" s="19">
        <f>(I14-H14)*E14/1000000</f>
        <v/>
      </c>
      <c r="M14" s="28">
        <f>IF(C14="USD",G14*(1-'A1 Asumsi Contoh'!C7/'A1 Asumsi Contoh'!D7),0)</f>
        <v/>
      </c>
      <c r="N14" s="19">
        <f>L14-M14</f>
        <v/>
      </c>
      <c r="O14" s="11">
        <f>IF(N14&lt;=0,"Efisien","Tidak efisien")</f>
        <v/>
      </c>
    </row>
    <row r="15">
      <c r="A15" s="10" t="inlineStr">
        <is>
          <t>Royalti</t>
        </is>
      </c>
      <c r="B15" s="3" t="inlineStr">
        <is>
          <t>per Rp pendapatan</t>
        </is>
      </c>
      <c r="C15" s="11" t="inlineStr">
        <is>
          <t>Rp</t>
        </is>
      </c>
      <c r="D15" s="28">
        <f>'A2 Laba Rugi Contoh'!C10+'A2 Laba Rugi Contoh'!C11</f>
        <v/>
      </c>
      <c r="E15" s="28">
        <f>'A2 Laba Rugi Contoh'!D10+'A2 Laba Rugi Contoh'!D11</f>
        <v/>
      </c>
      <c r="F15" s="28">
        <f>'A2 Laba Rugi Contoh'!C33</f>
        <v/>
      </c>
      <c r="G15" s="28">
        <f>'A2 Laba Rugi Contoh'!D33</f>
        <v/>
      </c>
      <c r="H15" s="68">
        <f>IFERROR(F15/D15,0)</f>
        <v/>
      </c>
      <c r="I15" s="68">
        <f>IFERROR(G15/E15,0)</f>
        <v/>
      </c>
      <c r="J15" s="19">
        <f>G15-F15</f>
        <v/>
      </c>
      <c r="K15" s="19">
        <f>H15*(E15-D15)</f>
        <v/>
      </c>
      <c r="L15" s="19">
        <f>(I15-H15)*E15</f>
        <v/>
      </c>
      <c r="M15" s="28">
        <f>IF(C15="USD",G15*(1-'A1 Asumsi Contoh'!C7/'A1 Asumsi Contoh'!D7),0)</f>
        <v/>
      </c>
      <c r="N15" s="19">
        <f>L15-M15</f>
        <v/>
      </c>
      <c r="O15" s="11">
        <f>IF(N15&lt;=0,"Efisien","Tidak efisien")</f>
        <v/>
      </c>
    </row>
    <row r="16">
      <c r="A16" s="10" t="inlineStr">
        <is>
          <t>Overhead site</t>
        </is>
      </c>
      <c r="B16" s="3" t="inlineStr">
        <is>
          <t>per ton produksi</t>
        </is>
      </c>
      <c r="C16" s="11" t="inlineStr">
        <is>
          <t>Rp</t>
        </is>
      </c>
      <c r="D16" s="28">
        <f>'A1 Asumsi Contoh'!C14</f>
        <v/>
      </c>
      <c r="E16" s="28">
        <f>'A1 Asumsi Contoh'!D14</f>
        <v/>
      </c>
      <c r="F16" s="28">
        <f>'A2 Laba Rugi Contoh'!C41</f>
        <v/>
      </c>
      <c r="G16" s="28">
        <f>'A2 Laba Rugi Contoh'!D41</f>
        <v/>
      </c>
      <c r="H16" s="47">
        <f>IFERROR(F16*1000000/D16,0)</f>
        <v/>
      </c>
      <c r="I16" s="47">
        <f>IFERROR(G16*1000000/E16,0)</f>
        <v/>
      </c>
      <c r="J16" s="19">
        <f>G16-F16</f>
        <v/>
      </c>
      <c r="K16" s="19">
        <f>H16*(E16-D16)/1000000</f>
        <v/>
      </c>
      <c r="L16" s="19">
        <f>(I16-H16)*E16/1000000</f>
        <v/>
      </c>
      <c r="M16" s="28">
        <f>IF(C16="USD",G16*(1-'A1 Asumsi Contoh'!C7/'A1 Asumsi Contoh'!D7),0)</f>
        <v/>
      </c>
      <c r="N16" s="19">
        <f>L16-M16</f>
        <v/>
      </c>
      <c r="O16" s="11">
        <f>IF(N16&lt;=0,"Efisien","Tidak efisien")</f>
        <v/>
      </c>
    </row>
    <row r="17">
      <c r="A17" s="10" t="inlineStr">
        <is>
          <t>Perubahan persediaan</t>
        </is>
      </c>
      <c r="B17" s="3" t="inlineStr">
        <is>
          <t>n/a</t>
        </is>
      </c>
      <c r="C17" s="11" t="inlineStr">
        <is>
          <t>Rp</t>
        </is>
      </c>
      <c r="F17" s="28">
        <f>'A2 Laba Rugi Contoh'!C48</f>
        <v/>
      </c>
      <c r="G17" s="28">
        <f>'A2 Laba Rugi Contoh'!D48</f>
        <v/>
      </c>
      <c r="J17" s="19">
        <f>G17-F17</f>
        <v/>
      </c>
      <c r="K17" s="19">
        <f>J17</f>
        <v/>
      </c>
      <c r="L17" s="19" t="n">
        <v>0</v>
      </c>
      <c r="M17" s="28">
        <f>IF(C17="USD",G17*(1-'A1 Asumsi Contoh'!C7/'A1 Asumsi Contoh'!D7),0)</f>
        <v/>
      </c>
      <c r="N17" s="19">
        <f>L17-M17</f>
        <v/>
      </c>
      <c r="O17" s="11">
        <f>IF(N17&lt;=0,"Efisien","Tidak efisien")</f>
        <v/>
      </c>
    </row>
    <row r="18">
      <c r="A18" s="10" t="inlineStr">
        <is>
          <t>Beban penjualan</t>
        </is>
      </c>
      <c r="B18" s="3" t="inlineStr">
        <is>
          <t>per ton penjualan</t>
        </is>
      </c>
      <c r="C18" s="11" t="inlineStr">
        <is>
          <t>Rp</t>
        </is>
      </c>
      <c r="D18" s="28">
        <f>'A1 Asumsi Contoh'!C21</f>
        <v/>
      </c>
      <c r="E18" s="28">
        <f>'A1 Asumsi Contoh'!D21</f>
        <v/>
      </c>
      <c r="F18" s="28">
        <f>'A2 Laba Rugi Contoh'!C62</f>
        <v/>
      </c>
      <c r="G18" s="28">
        <f>'A2 Laba Rugi Contoh'!D62</f>
        <v/>
      </c>
      <c r="H18" s="47">
        <f>IFERROR(F18*1000000/D18,0)</f>
        <v/>
      </c>
      <c r="I18" s="47">
        <f>IFERROR(G18*1000000/E18,0)</f>
        <v/>
      </c>
      <c r="J18" s="19">
        <f>G18-F18</f>
        <v/>
      </c>
      <c r="K18" s="19">
        <f>H18*(E18-D18)/1000000</f>
        <v/>
      </c>
      <c r="L18" s="19">
        <f>(I18-H18)*E18/1000000</f>
        <v/>
      </c>
      <c r="M18" s="28">
        <f>IF(C18="USD",G18*(1-'A1 Asumsi Contoh'!C7/'A1 Asumsi Contoh'!D7),0)</f>
        <v/>
      </c>
      <c r="N18" s="19">
        <f>L18-M18</f>
        <v/>
      </c>
      <c r="O18" s="11">
        <f>IF(N18&lt;=0,"Efisien","Tidak efisien")</f>
        <v/>
      </c>
    </row>
    <row r="19">
      <c r="A19" s="10" t="inlineStr">
        <is>
          <t>Beban umum &amp; administrasi (excl. penyusutan)</t>
        </is>
      </c>
      <c r="B19" s="3" t="inlineStr">
        <is>
          <t>per ton penjualan</t>
        </is>
      </c>
      <c r="C19" s="11" t="inlineStr">
        <is>
          <t>Rp</t>
        </is>
      </c>
      <c r="D19" s="28">
        <f>'A1 Asumsi Contoh'!C21</f>
        <v/>
      </c>
      <c r="E19" s="28">
        <f>'A1 Asumsi Contoh'!D21</f>
        <v/>
      </c>
      <c r="F19" s="28">
        <f>'A2 Laba Rugi Contoh'!C73-'A2 Laba Rugi Contoh'!C71</f>
        <v/>
      </c>
      <c r="G19" s="28">
        <f>'A2 Laba Rugi Contoh'!D73-'A2 Laba Rugi Contoh'!D71</f>
        <v/>
      </c>
      <c r="H19" s="47">
        <f>IFERROR(F19*1000000/D19,0)</f>
        <v/>
      </c>
      <c r="I19" s="47">
        <f>IFERROR(G19*1000000/E19,0)</f>
        <v/>
      </c>
      <c r="J19" s="19">
        <f>G19-F19</f>
        <v/>
      </c>
      <c r="K19" s="19">
        <f>H19*(E19-D19)/1000000</f>
        <v/>
      </c>
      <c r="L19" s="19">
        <f>(I19-H19)*E19/1000000</f>
        <v/>
      </c>
      <c r="M19" s="28">
        <f>IF(C19="USD",G19*(1-'A1 Asumsi Contoh'!C7/'A1 Asumsi Contoh'!D7),0)</f>
        <v/>
      </c>
      <c r="N19" s="19">
        <f>L19-M19</f>
        <v/>
      </c>
      <c r="O19" s="11">
        <f>IF(N19&lt;=0,"Efisien","Tidak efisien")</f>
        <v/>
      </c>
    </row>
    <row r="20">
      <c r="A20" s="31" t="inlineStr">
        <is>
          <t>TOTAL BIAYA KAS (BPP excl. D&amp;A + beban usaha excl. penyusutan)</t>
        </is>
      </c>
      <c r="B20" s="32" t="n"/>
      <c r="C20" s="32" t="n"/>
      <c r="D20" s="32" t="n"/>
      <c r="E20" s="32" t="n"/>
      <c r="F20" s="33">
        <f>SUM(F6:F19)</f>
        <v/>
      </c>
      <c r="G20" s="33">
        <f>SUM(G6:G19)</f>
        <v/>
      </c>
      <c r="H20" s="32" t="n"/>
      <c r="I20" s="32" t="n"/>
      <c r="J20" s="33">
        <f>SUM(J6:J19)</f>
        <v/>
      </c>
      <c r="K20" s="33">
        <f>SUM(K6:K19)</f>
        <v/>
      </c>
      <c r="L20" s="33">
        <f>SUM(L6:L19)</f>
        <v/>
      </c>
      <c r="M20" s="33">
        <f>SUM(M6:M19)</f>
        <v/>
      </c>
      <c r="N20" s="33">
        <f>SUM(N6:N19)</f>
        <v/>
      </c>
      <c r="O20" s="69">
        <f>IF(N20&lt;=0,"Efisien","Tidak efisien")</f>
        <v/>
      </c>
    </row>
    <row r="21">
      <c r="A21" s="3" t="inlineStr">
        <is>
          <t>Cek: Δ total = efek volume + efek tarif (harus 0)</t>
        </is>
      </c>
      <c r="J21" s="38">
        <f>ROUND(J20-K20-L20,0)</f>
        <v/>
      </c>
    </row>
    <row r="22">
      <c r="A22" s="3" t="inlineStr">
        <is>
          <t>Royalti memakai pemicu pendapatan: "biaya/unit" = tarif efektif royalti; efek volume = tarif 2024 × Δpendapatan.</t>
        </is>
      </c>
    </row>
    <row r="23"/>
    <row r="24">
      <c r="A24" s="4" t="inlineStr">
        <is>
          <t>2. JEMBATAN PENDAPATAN BATUBARA (Rp juta)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16" t="inlineStr">
        <is>
          <t>Uraian</t>
        </is>
      </c>
      <c r="B25" s="16" t="inlineStr">
        <is>
          <t>Nilai</t>
        </is>
      </c>
      <c r="C25" s="16" t="inlineStr">
        <is>
          <t>Rumus</t>
        </is>
      </c>
    </row>
    <row r="26">
      <c r="A26" s="46" t="inlineStr">
        <is>
          <t>Pendapatan batubara 2024</t>
        </is>
      </c>
      <c r="B26" s="70">
        <f>'A2 Laba Rugi Contoh'!C10</f>
        <v/>
      </c>
      <c r="C26" s="3" t="inlineStr">
        <is>
          <t>Dari A2</t>
        </is>
      </c>
    </row>
    <row r="27">
      <c r="A27" s="10" t="inlineStr">
        <is>
          <t>Efek volume</t>
        </is>
      </c>
      <c r="B27" s="28">
        <f>('A1 Asumsi Contoh'!D21-'A1 Asumsi Contoh'!C21)*('A2 Laba Rugi Contoh'!C10*1000000/'A1 Asumsi Contoh'!C21/'A1 Asumsi Contoh'!C7)*'A1 Asumsi Contoh'!C7/1000000</f>
        <v/>
      </c>
      <c r="C27" s="3" t="inlineStr">
        <is>
          <t>ΔVolume × ASP 2024 × kurs 2024</t>
        </is>
      </c>
    </row>
    <row r="28">
      <c r="A28" s="10" t="inlineStr">
        <is>
          <t>Efek harga (USD)</t>
        </is>
      </c>
      <c r="B28" s="28">
        <f>'A1 Asumsi Contoh'!D21*(('A2 Laba Rugi Contoh'!D10*1000000/'A1 Asumsi Contoh'!D21/'A1 Asumsi Contoh'!D7)-('A2 Laba Rugi Contoh'!C10*1000000/'A1 Asumsi Contoh'!C21/'A1 Asumsi Contoh'!C7))*'A1 Asumsi Contoh'!C7/1000000</f>
        <v/>
      </c>
      <c r="C28" s="3" t="inlineStr">
        <is>
          <t>Volume 2025 × ΔASP × kurs 2024</t>
        </is>
      </c>
    </row>
    <row r="29">
      <c r="A29" s="10" t="inlineStr">
        <is>
          <t>Efek kurs</t>
        </is>
      </c>
      <c r="B29" s="28">
        <f>'A1 Asumsi Contoh'!D21*('A2 Laba Rugi Contoh'!D10*1000000/'A1 Asumsi Contoh'!D21/'A1 Asumsi Contoh'!D7)*('A1 Asumsi Contoh'!D7-'A1 Asumsi Contoh'!C7)/1000000</f>
        <v/>
      </c>
      <c r="C29" s="3" t="inlineStr">
        <is>
          <t>Volume 2025 × ASP 2025 × Δkurs</t>
        </is>
      </c>
    </row>
    <row r="30">
      <c r="A30" s="46" t="inlineStr">
        <is>
          <t>Pendapatan batubara 2025</t>
        </is>
      </c>
      <c r="B30" s="71">
        <f>SUM(B26:B29)</f>
        <v/>
      </c>
      <c r="C30" s="3" t="inlineStr">
        <is>
          <t>Harus sama dengan A2</t>
        </is>
      </c>
    </row>
    <row r="31">
      <c r="A31" s="10" t="inlineStr">
        <is>
          <t>Cek vs A2 (harus 0)</t>
        </is>
      </c>
      <c r="B31" s="28">
        <f>ROUND(B30-'A2 Laba Rugi Contoh'!D10,0)</f>
        <v/>
      </c>
      <c r="C31" s="3" t="inlineStr"/>
    </row>
    <row r="32"/>
    <row r="33"/>
    <row r="34">
      <c r="A34" s="4" t="inlineStr">
        <is>
          <t>3. JEMBATAN EBITDA FY2024 → FY2025: memisahkan efek PASAR vs efek MANAJEMEN (Rp juta)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16" t="inlineStr">
        <is>
          <t>Uraian</t>
        </is>
      </c>
      <c r="B35" s="16" t="inlineStr">
        <is>
          <t>Nilai</t>
        </is>
      </c>
      <c r="C35" s="16" t="inlineStr">
        <is>
          <t>Kategori</t>
        </is>
      </c>
      <c r="D35" s="16" t="inlineStr">
        <is>
          <t>Penjelasan</t>
        </is>
      </c>
    </row>
    <row r="36">
      <c r="A36" s="46" t="inlineStr">
        <is>
          <t>EBITDA FY2024</t>
        </is>
      </c>
      <c r="B36" s="70">
        <f>'A2 Laba Rugi Contoh'!C93</f>
        <v/>
      </c>
      <c r="C36" s="11" t="inlineStr"/>
      <c r="D36" s="3" t="inlineStr">
        <is>
          <t>Titik awal</t>
        </is>
      </c>
    </row>
    <row r="37">
      <c r="A37" s="10" t="inlineStr">
        <is>
          <t>+ Efek volume penjualan</t>
        </is>
      </c>
      <c r="B37" s="19">
        <f>B27</f>
        <v/>
      </c>
      <c r="C37" s="11" t="inlineStr">
        <is>
          <t>Operasional</t>
        </is>
      </c>
      <c r="D37" s="3" t="inlineStr">
        <is>
          <t>Tambahan ton terjual</t>
        </is>
      </c>
    </row>
    <row r="38">
      <c r="A38" s="10" t="inlineStr">
        <is>
          <t>+ Efek harga jual (USD)</t>
        </is>
      </c>
      <c r="B38" s="19">
        <f>B28</f>
        <v/>
      </c>
      <c r="C38" s="11" t="inlineStr">
        <is>
          <t>Pasar</t>
        </is>
      </c>
      <c r="D38" s="3" t="inlineStr">
        <is>
          <t>Perubahan harga indeks &amp; realisasi</t>
        </is>
      </c>
    </row>
    <row r="39">
      <c r="A39" s="10" t="inlineStr">
        <is>
          <t>+ Efek kurs atas pendapatan</t>
        </is>
      </c>
      <c r="B39" s="19">
        <f>B29</f>
        <v/>
      </c>
      <c r="C39" s="11" t="inlineStr">
        <is>
          <t>Pasar</t>
        </is>
      </c>
      <c r="D39" s="3" t="inlineStr">
        <is>
          <t>Pelemahan/penguatan Rupiah</t>
        </is>
      </c>
    </row>
    <row r="40">
      <c r="A40" s="10" t="inlineStr">
        <is>
          <t>+ Perubahan penalti kualitas &amp; pendapatan jasa</t>
        </is>
      </c>
      <c r="B40" s="28">
        <f>('A2 Laba Rugi Contoh'!D11+'A2 Laba Rugi Contoh'!D12)-('A2 Laba Rugi Contoh'!C11+'A2 Laba Rugi Contoh'!C12)</f>
        <v/>
      </c>
      <c r="C40" s="11" t="inlineStr">
        <is>
          <t>Manajemen</t>
        </is>
      </c>
      <c r="D40" s="3" t="inlineStr">
        <is>
          <t>Kualitas produk &amp; utilisasi aset</t>
        </is>
      </c>
    </row>
    <row r="41">
      <c r="A41" s="10" t="inlineStr">
        <is>
          <t>– Efek volume atas biaya</t>
        </is>
      </c>
      <c r="B41" s="19">
        <f>-K20</f>
        <v/>
      </c>
      <c r="C41" s="11" t="inlineStr">
        <is>
          <t>Operasional</t>
        </is>
      </c>
      <c r="D41" s="3" t="inlineStr">
        <is>
          <t>Biaya tambahan karena volume naik</t>
        </is>
      </c>
    </row>
    <row r="42">
      <c r="A42" s="10" t="inlineStr">
        <is>
          <t>– Efek kurs atas biaya (USD)</t>
        </is>
      </c>
      <c r="B42" s="19">
        <f>-M20</f>
        <v/>
      </c>
      <c r="C42" s="11" t="inlineStr">
        <is>
          <t>Pasar</t>
        </is>
      </c>
      <c r="D42" s="3" t="inlineStr">
        <is>
          <t>Tarif USD dikonversi ke Rupiah</t>
        </is>
      </c>
    </row>
    <row r="43">
      <c r="A43" s="10" t="inlineStr">
        <is>
          <t>– Efisiensi riil biaya (excl. kurs)</t>
        </is>
      </c>
      <c r="B43" s="19">
        <f>-N20</f>
        <v/>
      </c>
      <c r="C43" s="11" t="inlineStr">
        <is>
          <t>Manajemen</t>
        </is>
      </c>
      <c r="D43" s="3" t="inlineStr">
        <is>
          <t>Tarif, produktivitas, SR, BBM, overhead; negatif = boros</t>
        </is>
      </c>
    </row>
    <row r="44">
      <c r="A44" s="46" t="inlineStr">
        <is>
          <t>EBITDA FY2025 (hasil jembatan)</t>
        </is>
      </c>
      <c r="B44" s="71">
        <f>SUM(B36:B43)</f>
        <v/>
      </c>
      <c r="C44" s="11" t="inlineStr"/>
      <c r="D44" s="3" t="inlineStr"/>
    </row>
    <row r="45">
      <c r="A45" s="10" t="inlineStr">
        <is>
          <t>Cek vs A2 (harus 0)</t>
        </is>
      </c>
      <c r="B45" s="28">
        <f>ROUND(B44-'A2 Laba Rugi Contoh'!D93,0)</f>
        <v/>
      </c>
      <c r="C45" s="11" t="inlineStr"/>
      <c r="D45" s="3" t="inlineStr"/>
    </row>
    <row r="46"/>
    <row r="47">
      <c r="A47" s="46" t="inlineStr">
        <is>
          <t>Total efek PASAR (harga, kurs, royalti via harga)</t>
        </is>
      </c>
      <c r="B47" s="71">
        <f>SUMIF(C36:C43,"Pasar",B36:B43)</f>
        <v/>
      </c>
      <c r="D47" s="3" t="inlineStr">
        <is>
          <t>Catatan: efek royalti akibat harga termasuk di efisiensi royalti (tarif efektif); untuk presisi lebih, pisahkan tarif royalti per tier HBA.</t>
        </is>
      </c>
    </row>
    <row r="48">
      <c r="A48" s="46" t="inlineStr">
        <is>
          <t>Total efek OPERASIONAL (volume)</t>
        </is>
      </c>
      <c r="B48" s="71">
        <f>SUMIF(C36:C43,"Operasional",B36:B43)</f>
        <v/>
      </c>
    </row>
    <row r="49">
      <c r="A49" s="46" t="inlineStr">
        <is>
          <t>Total efek MANAJEMEN (efisiensi &amp; kualitas)</t>
        </is>
      </c>
      <c r="B49" s="71">
        <f>SUMIF(C36:C43,"Manajemen",B36:B43)</f>
        <v/>
      </c>
      <c r="C49" s="46">
        <f>IF(B49&gt;=0,"Manajemen menambah nilai","Manajemen menggerus nilai")</f>
        <v/>
      </c>
    </row>
    <row r="50"/>
    <row r="51"/>
    <row r="52">
      <c r="A52" s="4" t="inlineStr">
        <is>
          <t>4. INISIATIF EFISIENSI BIAYA &amp; POTENSI PENGHEMATAN (berbasis data FY2025)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16" t="inlineStr">
        <is>
          <t>Inisiatif</t>
        </is>
      </c>
      <c r="B53" s="16" t="inlineStr">
        <is>
          <t>Tuas (lever)</t>
        </is>
      </c>
      <c r="C53" s="16" t="inlineStr">
        <is>
          <t>Asumsi perbaikan</t>
        </is>
      </c>
      <c r="D53" s="16" t="inlineStr">
        <is>
          <t>Satuan asumsi</t>
        </is>
      </c>
      <c r="E53" s="16" t="inlineStr">
        <is>
          <t>Potensi penghematan (Rp juta/tahun)</t>
        </is>
      </c>
      <c r="F53" s="16" t="inlineStr">
        <is>
          <t>Setara USD/t terjual</t>
        </is>
      </c>
      <c r="G53" s="16" t="inlineStr">
        <is>
          <t>% thd EBITDA 2025</t>
        </is>
      </c>
      <c r="H53" s="16" t="inlineStr">
        <is>
          <t>KPI pemantau</t>
        </is>
      </c>
      <c r="I53" s="16" t="inlineStr">
        <is>
          <t>PIC</t>
        </is>
      </c>
      <c r="J53" s="16" t="inlineStr">
        <is>
          <t>Timeline</t>
        </is>
      </c>
    </row>
    <row r="54">
      <c r="A54" s="10" t="inlineStr">
        <is>
          <t>Program penghematan BBM (idle time, payload, fuel monitoring)</t>
        </is>
      </c>
      <c r="B54" s="8" t="inlineStr">
        <is>
          <t>Fuel ratio</t>
        </is>
      </c>
      <c r="C54" s="18" t="n">
        <v>0.05</v>
      </c>
      <c r="D54" s="45" t="inlineStr">
        <is>
          <t>L/bcm</t>
        </is>
      </c>
      <c r="E54" s="28">
        <f>'A1 Asumsi Contoh'!D16*C54*'A1 Asumsi Contoh'!D30/1000000</f>
        <v/>
      </c>
      <c r="F54" s="39">
        <f>E54*1000000/'A1 Asumsi Contoh'!D21/'A1 Asumsi Contoh'!D7</f>
        <v/>
      </c>
      <c r="G54" s="42">
        <f>E54/'A2 Laba Rugi Contoh'!D93</f>
        <v/>
      </c>
      <c r="H54" s="8" t="inlineStr">
        <is>
          <t>Fuel ratio L/bcm</t>
        </is>
      </c>
      <c r="I54" s="8" t="inlineStr">
        <is>
          <t>Mining Ops</t>
        </is>
      </c>
      <c r="J54" s="8" t="inlineStr">
        <is>
          <t>Q1–Q2</t>
        </is>
      </c>
    </row>
    <row r="55">
      <c r="A55" s="10" t="inlineStr">
        <is>
          <t>Negosiasi ulang tarif kontraktor OB (rise &amp; fall, benchmark)</t>
        </is>
      </c>
      <c r="B55" s="8" t="inlineStr">
        <is>
          <t>Tarif USD/bcm</t>
        </is>
      </c>
      <c r="C55" s="25" t="n">
        <v>0.03</v>
      </c>
      <c r="D55" s="45" t="inlineStr">
        <is>
          <t>% tarif</t>
        </is>
      </c>
      <c r="E55" s="28">
        <f>'A2 Laba Rugi Contoh'!D17*C55</f>
        <v/>
      </c>
      <c r="F55" s="39">
        <f>E55*1000000/'A1 Asumsi Contoh'!D21/'A1 Asumsi Contoh'!D7</f>
        <v/>
      </c>
      <c r="G55" s="42">
        <f>E55/'A2 Laba Rugi Contoh'!D93</f>
        <v/>
      </c>
      <c r="H55" s="8" t="inlineStr">
        <is>
          <t>USD/bcm OB</t>
        </is>
      </c>
      <c r="I55" s="8" t="inlineStr">
        <is>
          <t>Procurement</t>
        </is>
      </c>
      <c r="J55" s="8" t="inlineStr">
        <is>
          <t>Q1</t>
        </is>
      </c>
    </row>
    <row r="56">
      <c r="A56" s="10" t="inlineStr">
        <is>
          <t>Optimasi desain pit &amp; sekuens (turunkan SR)</t>
        </is>
      </c>
      <c r="B56" s="8" t="inlineStr">
        <is>
          <t>Stripping ratio</t>
        </is>
      </c>
      <c r="C56" s="18" t="n">
        <v>0.2</v>
      </c>
      <c r="D56" s="45" t="inlineStr">
        <is>
          <t>bcm/t</t>
        </is>
      </c>
      <c r="E56" s="28">
        <f>'A1 Asumsi Contoh'!D14*C56*'B2 COP dan KPI'!D9*1000000/'B2 COP dan KPI'!F9/1000000</f>
        <v/>
      </c>
      <c r="F56" s="39">
        <f>E56*1000000/'A1 Asumsi Contoh'!D21/'A1 Asumsi Contoh'!D7</f>
        <v/>
      </c>
      <c r="G56" s="42">
        <f>E56/'A2 Laba Rugi Contoh'!D93</f>
        <v/>
      </c>
      <c r="H56" s="8" t="inlineStr">
        <is>
          <t>SR aktual vs plan</t>
        </is>
      </c>
      <c r="I56" s="8" t="inlineStr">
        <is>
          <t>Mine Planning</t>
        </is>
      </c>
      <c r="J56" s="8" t="inlineStr">
        <is>
          <t>Q2–Q4</t>
        </is>
      </c>
    </row>
    <row r="57">
      <c r="A57" s="10" t="inlineStr">
        <is>
          <t>Perbaikan jalan hauling &amp; dispatch (cycle time)</t>
        </is>
      </c>
      <c r="B57" s="8" t="inlineStr">
        <is>
          <t>Tarif hauling</t>
        </is>
      </c>
      <c r="C57" s="25" t="n">
        <v>0.05</v>
      </c>
      <c r="D57" s="45" t="inlineStr">
        <is>
          <t>% biaya</t>
        </is>
      </c>
      <c r="E57" s="28">
        <f>'A2 Laba Rugi Contoh'!D28*C57</f>
        <v/>
      </c>
      <c r="F57" s="39">
        <f>E57*1000000/'A1 Asumsi Contoh'!D21/'A1 Asumsi Contoh'!D7</f>
        <v/>
      </c>
      <c r="G57" s="42">
        <f>E57/'A2 Laba Rugi Contoh'!D93</f>
        <v/>
      </c>
      <c r="H57" s="8" t="inlineStr">
        <is>
          <t>USD/t-km</t>
        </is>
      </c>
      <c r="I57" s="8" t="inlineStr">
        <is>
          <t>Logistik</t>
        </is>
      </c>
      <c r="J57" s="8" t="inlineStr">
        <is>
          <t>Q2</t>
        </is>
      </c>
    </row>
    <row r="58">
      <c r="A58" s="10" t="inlineStr">
        <is>
          <t>Kontrak tongkang jangka panjang &amp; optimasi load-out</t>
        </is>
      </c>
      <c r="B58" s="8" t="inlineStr">
        <is>
          <t>Tarif barging</t>
        </is>
      </c>
      <c r="C58" s="25" t="n">
        <v>0.03</v>
      </c>
      <c r="D58" s="45" t="inlineStr">
        <is>
          <t>% biaya</t>
        </is>
      </c>
      <c r="E58" s="28">
        <f>'A2 Laba Rugi Contoh'!D30*C58</f>
        <v/>
      </c>
      <c r="F58" s="39">
        <f>E58*1000000/'A1 Asumsi Contoh'!D21/'A1 Asumsi Contoh'!D7</f>
        <v/>
      </c>
      <c r="G58" s="42">
        <f>E58/'A2 Laba Rugi Contoh'!D93</f>
        <v/>
      </c>
      <c r="H58" s="8" t="inlineStr">
        <is>
          <t>USD/t barging</t>
        </is>
      </c>
      <c r="I58" s="8" t="inlineStr">
        <is>
          <t>Logistik</t>
        </is>
      </c>
      <c r="J58" s="8" t="inlineStr">
        <is>
          <t>Q1–Q2</t>
        </is>
      </c>
    </row>
    <row r="59">
      <c r="A59" s="10" t="inlineStr">
        <is>
          <t>Pengendalian demurrage (laycan planning)</t>
        </is>
      </c>
      <c r="B59" s="8" t="inlineStr">
        <is>
          <t>Demurrage</t>
        </is>
      </c>
      <c r="C59" s="25" t="n">
        <v>0.5</v>
      </c>
      <c r="D59" s="45" t="inlineStr">
        <is>
          <t>% biaya</t>
        </is>
      </c>
      <c r="E59" s="28">
        <f>'A2 Laba Rugi Contoh'!D59*C59</f>
        <v/>
      </c>
      <c r="F59" s="39">
        <f>E59*1000000/'A1 Asumsi Contoh'!D21/'A1 Asumsi Contoh'!D7</f>
        <v/>
      </c>
      <c r="G59" s="42">
        <f>E59/'A2 Laba Rugi Contoh'!D93</f>
        <v/>
      </c>
      <c r="H59" s="8" t="inlineStr">
        <is>
          <t>Hari demurrage</t>
        </is>
      </c>
      <c r="I59" s="8" t="inlineStr">
        <is>
          <t>Marketing</t>
        </is>
      </c>
      <c r="J59" s="8" t="inlineStr">
        <is>
          <t>Q1</t>
        </is>
      </c>
    </row>
    <row r="60">
      <c r="A60" s="10" t="inlineStr">
        <is>
          <t>Quality control &amp; blending (kurangi penalti)</t>
        </is>
      </c>
      <c r="B60" s="8" t="inlineStr">
        <is>
          <t>Penalti kualitas</t>
        </is>
      </c>
      <c r="C60" s="25" t="n">
        <v>0.5</v>
      </c>
      <c r="D60" s="45" t="inlineStr">
        <is>
          <t>% penalti</t>
        </is>
      </c>
      <c r="E60" s="28">
        <f>-'A2 Laba Rugi Contoh'!D11*C60</f>
        <v/>
      </c>
      <c r="F60" s="39">
        <f>E60*1000000/'A1 Asumsi Contoh'!D21/'A1 Asumsi Contoh'!D7</f>
        <v/>
      </c>
      <c r="G60" s="42">
        <f>E60/'A2 Laba Rugi Contoh'!D93</f>
        <v/>
      </c>
      <c r="H60" s="8" t="inlineStr">
        <is>
          <t>Penalti % pendapatan</t>
        </is>
      </c>
      <c r="I60" s="8" t="inlineStr">
        <is>
          <t>QC / Marketing</t>
        </is>
      </c>
      <c r="J60" s="8" t="inlineStr">
        <is>
          <t>Q1–Q2</t>
        </is>
      </c>
    </row>
    <row r="61">
      <c r="A61" s="10" t="inlineStr">
        <is>
          <t>Sentralisasi pengadaan &amp; rasionalisasi overhead</t>
        </is>
      </c>
      <c r="B61" s="8" t="inlineStr">
        <is>
          <t>Overhead + G&amp;A</t>
        </is>
      </c>
      <c r="C61" s="25" t="n">
        <v>0.05</v>
      </c>
      <c r="D61" s="45" t="inlineStr">
        <is>
          <t>% biaya</t>
        </is>
      </c>
      <c r="E61" s="28">
        <f>('A2 Laba Rugi Contoh'!D41-'A2 Laba Rugi Contoh'!D38+'A2 Laba Rugi Contoh'!D73-'A2 Laba Rugi Contoh'!D71)*C61</f>
        <v/>
      </c>
      <c r="F61" s="39">
        <f>E61*1000000/'A1 Asumsi Contoh'!D21/'A1 Asumsi Contoh'!D7</f>
        <v/>
      </c>
      <c r="G61" s="42">
        <f>E61/'A2 Laba Rugi Contoh'!D93</f>
        <v/>
      </c>
      <c r="H61" s="8" t="inlineStr">
        <is>
          <t>Overhead USD/t</t>
        </is>
      </c>
      <c r="I61" s="8" t="inlineStr">
        <is>
          <t>Finance / HR</t>
        </is>
      </c>
      <c r="J61" s="8" t="inlineStr">
        <is>
          <t>Q1–Q3</t>
        </is>
      </c>
    </row>
    <row r="62">
      <c r="A62" s="10" t="inlineStr">
        <is>
          <t>Peningkatan realisasi harga ekspor (marketing &amp; spesifikasi)</t>
        </is>
      </c>
      <c r="B62" s="8" t="inlineStr">
        <is>
          <t>Harga realisasi</t>
        </is>
      </c>
      <c r="C62" s="18" t="n">
        <v>1</v>
      </c>
      <c r="D62" s="45" t="inlineStr">
        <is>
          <t>USD/t ekspor</t>
        </is>
      </c>
      <c r="E62" s="28">
        <f>'A1 Asumsi Contoh'!D18*C62*'A1 Asumsi Contoh'!D7/1000000</f>
        <v/>
      </c>
      <c r="F62" s="39">
        <f>E62*1000000/'A1 Asumsi Contoh'!D21/'A1 Asumsi Contoh'!D7</f>
        <v/>
      </c>
      <c r="G62" s="42">
        <f>E62/'A2 Laba Rugi Contoh'!D93</f>
        <v/>
      </c>
      <c r="H62" s="8" t="inlineStr">
        <is>
          <t>ASP vs indeks</t>
        </is>
      </c>
      <c r="I62" s="8" t="inlineStr">
        <is>
          <t>Marketing</t>
        </is>
      </c>
      <c r="J62" s="8" t="inlineStr">
        <is>
          <t>Q1–Q4</t>
        </is>
      </c>
    </row>
    <row r="63">
      <c r="A63" s="48" t="inlineStr">
        <is>
          <t>TOTAL POTENSI</t>
        </is>
      </c>
      <c r="B63" s="72" t="n"/>
      <c r="C63" s="72" t="n"/>
      <c r="D63" s="72" t="n"/>
      <c r="E63" s="58">
        <f>SUM(E54:E62)</f>
        <v/>
      </c>
      <c r="F63" s="73">
        <f>SUM(F54:F62)</f>
        <v/>
      </c>
      <c r="G63" s="74">
        <f>SUM(G54:G62)</f>
        <v/>
      </c>
      <c r="H63" s="72" t="n"/>
      <c r="I63" s="72" t="n"/>
      <c r="J63" s="72" t="n"/>
      <c r="K63" s="72" t="n"/>
      <c r="L63" s="72" t="n"/>
      <c r="M63" s="72" t="n"/>
      <c r="N63" s="72" t="n"/>
      <c r="O63" s="72" t="n"/>
    </row>
    <row r="64">
      <c r="A64" s="3" t="inlineStr">
        <is>
          <t>Asumsi perbaikan (sel kuning) adalah contoh penyusun – sesuaikan dengan hasil kajian lapangan GEG.</t>
        </is>
      </c>
    </row>
  </sheetData>
  <conditionalFormatting sqref="O6:O20">
    <cfRule type="cellIs" priority="1" operator="equal" dxfId="0">
      <formula>"Efisien"</formula>
    </cfRule>
    <cfRule type="cellIs" priority="2" operator="equal" dxfId="1">
      <formula>"Tidak efisien"</formula>
    </cfRule>
  </conditionalFormatting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E3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45" customWidth="1" min="4" max="4"/>
    <col width="60" customWidth="1" min="5" max="5"/>
  </cols>
  <sheetData>
    <row r="1">
      <c r="A1" s="1" t="inlineStr">
        <is>
          <t>Referensi Emiten Batubara di BEI &amp; Kisaran KPI Industri (indikatif)</t>
        </is>
      </c>
      <c r="B1" s="2" t="n"/>
      <c r="C1" s="2" t="n"/>
      <c r="D1" s="2" t="n"/>
      <c r="E1" s="2" t="n"/>
    </row>
    <row r="2">
      <c r="A2" s="3" t="inlineStr">
        <is>
          <t>Gunakan untuk membandingkan format &amp; KPI. Angka kisaran bersifat indikatif – WAJIB divalidasi dengan laporan tahunan/keuangan terbaru.</t>
        </is>
      </c>
    </row>
    <row r="4">
      <c r="A4" s="4" t="inlineStr">
        <is>
          <t>1. EMITEN BATUBARA TBK SEBAGAI ACUAN FORMAT LAPORAN</t>
        </is>
      </c>
      <c r="B4" s="5" t="n"/>
      <c r="C4" s="5" t="n"/>
      <c r="D4" s="5" t="n"/>
      <c r="E4" s="5" t="n"/>
    </row>
    <row r="5">
      <c r="A5" s="16" t="inlineStr">
        <is>
          <t>Kode</t>
        </is>
      </c>
      <c r="B5" s="16" t="inlineStr">
        <is>
          <t>Emiten</t>
        </is>
      </c>
      <c r="C5" s="16" t="inlineStr">
        <is>
          <t>Mata uang penyajian</t>
        </is>
      </c>
      <c r="D5" s="16" t="inlineStr">
        <is>
          <t>Karakteristik yang relevan</t>
        </is>
      </c>
      <c r="E5" s="16" t="inlineStr">
        <is>
          <t>Hal yang dapat dipelajari</t>
        </is>
      </c>
    </row>
    <row r="6">
      <c r="A6" s="15" t="inlineStr">
        <is>
          <t>PTBA</t>
        </is>
      </c>
      <c r="B6" s="15" t="inlineStr">
        <is>
          <t>PT Bukit Asam Tbk</t>
        </is>
      </c>
      <c r="C6" s="15" t="inlineStr">
        <is>
          <t>Rupiah</t>
        </is>
      </c>
      <c r="D6" s="15" t="inlineStr">
        <is>
          <t>BUMN (MIND ID); tambang sendiri + kontraktor; angkutan kereta api</t>
        </is>
      </c>
      <c r="E6" s="15" t="inlineStr">
        <is>
          <t>Format LK dalam Rupiah – paling mirip kebutuhan GEG; rincian BPP per jenis biaya</t>
        </is>
      </c>
    </row>
    <row r="7">
      <c r="A7" s="15" t="inlineStr">
        <is>
          <t>ITMG</t>
        </is>
      </c>
      <c r="B7" s="15" t="inlineStr">
        <is>
          <t>PT Indo Tambangraya Megah Tbk</t>
        </is>
      </c>
      <c r="C7" s="15" t="inlineStr">
        <is>
          <t>USD</t>
        </is>
      </c>
      <c r="D7" s="15" t="inlineStr">
        <is>
          <t>Grup Banpu; beberapa konsesi di Kaltim/Kalsel</t>
        </is>
      </c>
      <c r="E7" s="15" t="inlineStr">
        <is>
          <t>Rincian BPP (kontraktor, BBM, royalti), KPI SR &amp; cash cost di laporan tahunan</t>
        </is>
      </c>
    </row>
    <row r="8">
      <c r="A8" s="15" t="inlineStr">
        <is>
          <t>AADI</t>
        </is>
      </c>
      <c r="B8" s="15" t="inlineStr">
        <is>
          <t>PT Adaro Andalan Indonesia Tbk</t>
        </is>
      </c>
      <c r="C8" s="15" t="inlineStr">
        <is>
          <t>USD</t>
        </is>
      </c>
      <c r="D8" s="15" t="inlineStr">
        <is>
          <t>Pemisahan bisnis batubara termal grup Adaro (2024); integrasi tambang–logistik</t>
        </is>
      </c>
      <c r="E8" s="15" t="inlineStr">
        <is>
          <t>Contoh integrasi hauling, barging, pelabuhan; pelaporan segmen</t>
        </is>
      </c>
    </row>
    <row r="9">
      <c r="A9" s="15" t="inlineStr">
        <is>
          <t>BUMI</t>
        </is>
      </c>
      <c r="B9" s="15" t="inlineStr">
        <is>
          <t>PT Bumi Resources Tbk</t>
        </is>
      </c>
      <c r="C9" s="15" t="inlineStr">
        <is>
          <t>USD</t>
        </is>
      </c>
      <c r="D9" s="15" t="inlineStr">
        <is>
          <t>Pemegang KPC &amp; Arutmin (IUPK)</t>
        </is>
      </c>
      <c r="E9" s="15" t="inlineStr">
        <is>
          <t>Struktur royalti IUPK; laporan entitas asosiasi</t>
        </is>
      </c>
    </row>
    <row r="10">
      <c r="A10" s="15" t="inlineStr">
        <is>
          <t>BYAN</t>
        </is>
      </c>
      <c r="B10" s="15" t="inlineStr">
        <is>
          <t>PT Bayan Resources Tbk</t>
        </is>
      </c>
      <c r="C10" s="15" t="inlineStr">
        <is>
          <t>USD</t>
        </is>
      </c>
      <c r="D10" s="15" t="inlineStr">
        <is>
          <t>Biaya produksi rendah, SR rendah, logistik sungai</t>
        </is>
      </c>
      <c r="E10" s="15" t="inlineStr">
        <is>
          <t>Benchmark efisiensi biaya &amp; SR</t>
        </is>
      </c>
    </row>
    <row r="11">
      <c r="A11" s="15" t="inlineStr">
        <is>
          <t>INDY</t>
        </is>
      </c>
      <c r="B11" s="15" t="inlineStr">
        <is>
          <t>PT Indika Energy Tbk</t>
        </is>
      </c>
      <c r="C11" s="15" t="inlineStr">
        <is>
          <t>USD</t>
        </is>
      </c>
      <c r="D11" s="15" t="inlineStr">
        <is>
          <t>Grup energi terdiversifikasi (Kideco)</t>
        </is>
      </c>
      <c r="E11" s="15" t="inlineStr">
        <is>
          <t>Pelaporan segmen &amp; diversifikasi</t>
        </is>
      </c>
    </row>
    <row r="12">
      <c r="A12" s="15" t="inlineStr">
        <is>
          <t>GEMS</t>
        </is>
      </c>
      <c r="B12" s="15" t="inlineStr">
        <is>
          <t>PT Golden Energy Mines Tbk</t>
        </is>
      </c>
      <c r="C12" s="15" t="inlineStr">
        <is>
          <t>USD</t>
        </is>
      </c>
      <c r="D12" s="15" t="inlineStr">
        <is>
          <t>Produsen batubara kalori menengah–rendah</t>
        </is>
      </c>
      <c r="E12" s="15" t="inlineStr">
        <is>
          <t>Profil produk CV rendah mirip banyak tambang IUP</t>
        </is>
      </c>
    </row>
    <row r="13">
      <c r="A13" s="15" t="inlineStr">
        <is>
          <t>HRUM</t>
        </is>
      </c>
      <c r="B13" s="15" t="inlineStr">
        <is>
          <t>PT Harum Energy Tbk</t>
        </is>
      </c>
      <c r="C13" s="15" t="inlineStr">
        <is>
          <t>USD</t>
        </is>
      </c>
      <c r="D13" s="15" t="inlineStr">
        <is>
          <t>Batubara + diversifikasi nikel</t>
        </is>
      </c>
      <c r="E13" s="15" t="inlineStr">
        <is>
          <t>Pelaporan segmen lintas komoditas</t>
        </is>
      </c>
    </row>
    <row r="15">
      <c r="A15" s="67" t="inlineStr">
        <is>
          <t>Sumber unduhan: www.idx.co.id → Perusahaan Tercatat → Laporan Keuangan &amp; Tahunan; situs Investor Relations masing-masing emiten; MODI/MinerbaOne (Kementerian ESDM) untuk data produksi &amp; HBA.</t>
        </is>
      </c>
    </row>
    <row r="16">
      <c r="A16" s="67" t="inlineStr">
        <is>
          <t>Di catatan atas laporan keuangan (CALK), cari catatan: "Pendapatan" (per pelanggan/pasar), "Beban Pokok Pendapatan" (rincian per jenis biaya), "Beban Usaha", "Informasi Segmen", "Provisi Reklamasi".</t>
        </is>
      </c>
    </row>
    <row r="18">
      <c r="A18" s="4" t="inlineStr">
        <is>
          <t>2. KISARAN KPI INDUSTRI BATUBARA TERMAL INDONESIA (INDIKATIF – validasi sebelum dipakai sebagai target)</t>
        </is>
      </c>
      <c r="B18" s="5" t="n"/>
      <c r="C18" s="5" t="n"/>
      <c r="D18" s="5" t="n"/>
      <c r="E18" s="5" t="n"/>
    </row>
    <row r="19">
      <c r="A19" s="16" t="inlineStr">
        <is>
          <t>KPI</t>
        </is>
      </c>
      <c r="B19" s="16" t="inlineStr">
        <is>
          <t>Satuan</t>
        </is>
      </c>
      <c r="C19" s="16" t="inlineStr">
        <is>
          <t>Kisaran indikatif</t>
        </is>
      </c>
      <c r="D19" s="16" t="inlineStr">
        <is>
          <t>Faktor penentu</t>
        </is>
      </c>
      <c r="E19" s="16" t="inlineStr">
        <is>
          <t>Catatan</t>
        </is>
      </c>
    </row>
    <row r="20">
      <c r="A20" s="15" t="inlineStr">
        <is>
          <t>Stripping ratio</t>
        </is>
      </c>
      <c r="B20" s="15" t="inlineStr">
        <is>
          <t>bcm/t</t>
        </is>
      </c>
      <c r="C20" s="15" t="inlineStr">
        <is>
          <t>3 – 12</t>
        </is>
      </c>
      <c r="D20" s="15" t="inlineStr">
        <is>
          <t>Geologi, kedalaman seam, desain pit</t>
        </is>
      </c>
      <c r="E20" s="15" t="inlineStr">
        <is>
          <t>Tambang SR rendah (&lt;5) umumnya berbiaya rendah</t>
        </is>
      </c>
    </row>
    <row r="21">
      <c r="A21" s="15" t="inlineStr">
        <is>
          <t>Tarif kontraktor OB (excl. BBM)</t>
        </is>
      </c>
      <c r="B21" s="15" t="inlineStr">
        <is>
          <t>USD/bcm</t>
        </is>
      </c>
      <c r="C21" s="15" t="inlineStr">
        <is>
          <t>± 1,5 – 3,0</t>
        </is>
      </c>
      <c r="D21" s="15" t="inlineStr">
        <is>
          <t>Jarak angkut OB, fleet, kontrak rise &amp; fall</t>
        </is>
      </c>
      <c r="E21" s="15" t="inlineStr">
        <is>
          <t>Sangat bergantung kontrak</t>
        </is>
      </c>
    </row>
    <row r="22">
      <c r="A22" s="15" t="inlineStr">
        <is>
          <t>Fuel ratio</t>
        </is>
      </c>
      <c r="B22" s="15" t="inlineStr">
        <is>
          <t>L/bcm</t>
        </is>
      </c>
      <c r="C22" s="15" t="inlineStr">
        <is>
          <t>± 0,8 – 1,2</t>
        </is>
      </c>
      <c r="D22" s="15" t="inlineStr">
        <is>
          <t>Jarak &amp; grade jalan, umur armada</t>
        </is>
      </c>
      <c r="E22" s="15" t="inlineStr"/>
    </row>
    <row r="23">
      <c r="A23" s="15" t="inlineStr">
        <is>
          <t>Tarif hauling batubara</t>
        </is>
      </c>
      <c r="B23" s="15" t="inlineStr">
        <is>
          <t>USD/t-km</t>
        </is>
      </c>
      <c r="C23" s="15" t="inlineStr">
        <is>
          <t>± 0,08 – 0,15</t>
        </is>
      </c>
      <c r="D23" s="15" t="inlineStr">
        <is>
          <t>Kondisi jalan, kapasitas truk</t>
        </is>
      </c>
      <c r="E23" s="15" t="inlineStr"/>
    </row>
    <row r="24">
      <c r="A24" s="15" t="inlineStr">
        <is>
          <t>Tarif barging</t>
        </is>
      </c>
      <c r="B24" s="15" t="inlineStr">
        <is>
          <t>USD/t</t>
        </is>
      </c>
      <c r="C24" s="15" t="inlineStr">
        <is>
          <t>± 3 – 8</t>
        </is>
      </c>
      <c r="D24" s="15" t="inlineStr">
        <is>
          <t>Jarak sungai/laut, musim, pasar tongkang</t>
        </is>
      </c>
      <c r="E24" s="15" t="inlineStr"/>
    </row>
    <row r="25">
      <c r="A25" s="15" t="inlineStr">
        <is>
          <t>Cash cost FOB excl. royalti</t>
        </is>
      </c>
      <c r="B25" s="15" t="inlineStr">
        <is>
          <t>USD/t</t>
        </is>
      </c>
      <c r="C25" s="15" t="inlineStr">
        <is>
          <t>± 25 – 50</t>
        </is>
      </c>
      <c r="D25" s="15" t="inlineStr">
        <is>
          <t>SR, logistik, skala</t>
        </is>
      </c>
      <c r="E25" s="15" t="inlineStr">
        <is>
          <t>Bandingkan pada CV setara</t>
        </is>
      </c>
    </row>
    <row r="26">
      <c r="A26" s="15" t="inlineStr">
        <is>
          <t>Royalti</t>
        </is>
      </c>
      <c r="B26" s="15" t="inlineStr">
        <is>
          <t>% harga</t>
        </is>
      </c>
      <c r="C26" s="15" t="inlineStr">
        <is>
          <t>IUP: bertingkat (PP 26/2022); IUPK: 14%–28% (PP 15/2022)</t>
        </is>
      </c>
      <c r="D26" s="15" t="inlineStr">
        <is>
          <t>CV, HBA, jenis izin</t>
        </is>
      </c>
      <c r="E26" s="15" t="inlineStr">
        <is>
          <t>Cek regulasi terbaru</t>
        </is>
      </c>
    </row>
    <row r="27">
      <c r="A27" s="15" t="inlineStr">
        <is>
          <t>Physical availability (PA)</t>
        </is>
      </c>
      <c r="B27" s="15" t="inlineStr">
        <is>
          <t>%</t>
        </is>
      </c>
      <c r="C27" s="15" t="inlineStr">
        <is>
          <t>± 85 – 92</t>
        </is>
      </c>
      <c r="D27" s="15" t="inlineStr">
        <is>
          <t>Program perawatan</t>
        </is>
      </c>
      <c r="E27" s="15" t="inlineStr"/>
    </row>
    <row r="28">
      <c r="A28" s="15" t="inlineStr">
        <is>
          <t>Use of availability (UA)</t>
        </is>
      </c>
      <c r="B28" s="15" t="inlineStr">
        <is>
          <t>%</t>
        </is>
      </c>
      <c r="C28" s="15" t="inlineStr">
        <is>
          <t>± 70 – 85</t>
        </is>
      </c>
      <c r="D28" s="15" t="inlineStr">
        <is>
          <t>Hujan, slippery, manajemen dispatch</t>
        </is>
      </c>
      <c r="E28" s="15" t="inlineStr"/>
    </row>
    <row r="29">
      <c r="A29" s="15" t="inlineStr">
        <is>
          <t>Marjin EBITDA</t>
        </is>
      </c>
      <c r="B29" s="15" t="inlineStr">
        <is>
          <t>%</t>
        </is>
      </c>
      <c r="C29" s="15" t="inlineStr">
        <is>
          <t>sangat siklikal: ± 15 – 45</t>
        </is>
      </c>
      <c r="D29" s="15" t="inlineStr">
        <is>
          <t>Harga batubara, biaya</t>
        </is>
      </c>
      <c r="E29" s="15" t="inlineStr">
        <is>
          <t>Bandingkan dalam tahun yang sama</t>
        </is>
      </c>
    </row>
    <row r="30">
      <c r="A30" s="15" t="inlineStr">
        <is>
          <t>Kewajiban DMO</t>
        </is>
      </c>
      <c r="B30" s="15" t="inlineStr">
        <is>
          <t>% penjualan</t>
        </is>
      </c>
      <c r="C30" s="15" t="inlineStr">
        <is>
          <t>≥ 25</t>
        </is>
      </c>
      <c r="D30" s="15" t="inlineStr">
        <is>
          <t>Kepmen ESDM</t>
        </is>
      </c>
      <c r="E30" s="15" t="inlineStr">
        <is>
          <t>Kompensasi/denda bila tidak terpenuhi</t>
        </is>
      </c>
    </row>
    <row r="32">
      <c r="A32" s="75" t="inlineStr">
        <is>
          <t>Disclaimer: kisaran di atas adalah perkiraan umum penyusun untuk orientasi, bukan kutipan dari laporan emiten tertentu.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C3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10" customWidth="1" min="2" max="2"/>
    <col width="2" customWidth="1" min="3" max="3"/>
  </cols>
  <sheetData>
    <row r="1">
      <c r="A1" s="1" t="inlineStr">
        <is>
          <t>GEG – Petunjuk Penggunaan Template Pelaporan Bulanan</t>
        </is>
      </c>
      <c r="B1" s="2" t="n"/>
      <c r="C1" s="2" t="n"/>
    </row>
    <row r="2">
      <c r="A2" s="3" t="inlineStr">
        <is>
          <t>Global Energy Group | FP&amp;A monthly management reporting pack</t>
        </is>
      </c>
    </row>
    <row r="3"/>
    <row r="4">
      <c r="A4" s="4" t="inlineStr">
        <is>
          <t>A. STRUKTUR TEMPLATE</t>
        </is>
      </c>
      <c r="B4" s="5" t="n"/>
      <c r="C4" s="5" t="n"/>
    </row>
    <row r="5">
      <c r="A5" s="46" t="inlineStr">
        <is>
          <t>C1 GEG Setting</t>
        </is>
      </c>
      <c r="B5" s="15" t="inlineStr">
        <is>
          <t>Pilih bulan laporan, skala penilaian KPI, predikat. Satu sel (C6) menggerakkan seluruh laporan.</t>
        </is>
      </c>
    </row>
    <row r="6">
      <c r="A6" s="46" t="inlineStr">
        <is>
          <t>C2 / C3 Ops Budget &amp; Aktual</t>
        </is>
      </c>
      <c r="B6" s="15" t="inlineStr">
        <is>
          <t>Data operasional bulanan: OB, produksi, SR, hauling, barging, penjualan per pasar, harga, kurs, BBM, PA/UA, K3, reklamasi.</t>
        </is>
      </c>
    </row>
    <row r="7">
      <c r="A7" s="46" t="inlineStr">
        <is>
          <t>C4 / C5 LR Budget &amp; Aktual</t>
        </is>
      </c>
      <c r="B7" s="15" t="inlineStr">
        <is>
          <t>Laba rugi bulanan per kode akun MIS – OTOMATIS dari C19 GL Trial Balance (SUMIFS berdasarkan Tag MIS). Tidak perlu diketik ulang.</t>
        </is>
      </c>
    </row>
    <row r="8">
      <c r="A8" s="46" t="inlineStr">
        <is>
          <t>C6 Neraca Aktual</t>
        </is>
      </c>
      <c r="B8" s="15" t="inlineStr">
        <is>
          <t>Saldo neraca akhir bulan + saldo awal tahun. Baris cek harus 0.</t>
        </is>
      </c>
    </row>
    <row r="9">
      <c r="A9" s="46" t="inlineStr">
        <is>
          <t>C7 Arus Kas</t>
        </is>
      </c>
      <c r="B9" s="15" t="inlineStr">
        <is>
          <t>Otomatis (metode tidak langsung) dari C5 &amp; C6, termasuk rekonsiliasi kas &amp; free cash flow.</t>
        </is>
      </c>
    </row>
    <row r="10">
      <c r="A10" s="46" t="inlineStr">
        <is>
          <t>C8 Lap LR</t>
        </is>
      </c>
      <c r="B10" s="15" t="inlineStr">
        <is>
          <t>Laba rugi bulan berjalan &amp; YTD: aktual vs budget, varians, F/U.</t>
        </is>
      </c>
    </row>
    <row r="11">
      <c r="A11" s="46" t="inlineStr">
        <is>
          <t>C9 Lap Ops</t>
        </is>
      </c>
      <c r="B11" s="15" t="inlineStr">
        <is>
          <t>Kinerja operasional bulan berjalan &amp; YTD vs budget dengan status tercapai.</t>
        </is>
      </c>
    </row>
    <row r="12">
      <c r="A12" s="46" t="inlineStr">
        <is>
          <t>C10 COP</t>
        </is>
      </c>
      <c r="B12" s="15" t="inlineStr">
        <is>
          <t>Cost of production per unit (USD/bcm, USD/t, USD/t-km), cash cost, total cost, marjin kas.</t>
        </is>
      </c>
    </row>
    <row r="13">
      <c r="A13" s="46" t="inlineStr">
        <is>
          <t>C12 Dashboard</t>
        </is>
      </c>
      <c r="B13" s="15" t="inlineStr">
        <is>
          <t>Tile KPI, grafik kinerja bulanan &amp; tabel KPI Scored.</t>
        </is>
      </c>
    </row>
    <row r="14">
      <c r="A14" s="46" t="inlineStr">
        <is>
          <t>C13 – C17 (format AAT)</t>
        </is>
      </c>
      <c r="B14" s="15" t="inlineStr">
        <is>
          <t>Financial Highlight MoM/budget/YTD, analisa biaya &amp; unit cost, tren volume vs tahun lalu, pit &amp; pembeli, arus kas langsung + DSCR. Kolom catatan varians diisi FP&amp;A.</t>
        </is>
      </c>
    </row>
    <row r="15">
      <c r="A15" s="46" t="inlineStr">
        <is>
          <t>C11 KPI Scorecard</t>
        </is>
      </c>
      <c r="B15" s="15" t="inlineStr">
        <is>
          <t>28 KPI dalam 5 perspektif, bobot 100%, skor 1–5, status Hijau/Kuning/Merah, predikat kinerja.</t>
        </is>
      </c>
    </row>
    <row r="16">
      <c r="A16" s="4" t="inlineStr">
        <is>
          <t>B. KODE WARNA</t>
        </is>
      </c>
      <c r="B16" s="5" t="n"/>
      <c r="C16" s="5" t="n"/>
    </row>
    <row r="17">
      <c r="A17" s="46" t="inlineStr">
        <is>
          <t>Teks biru + sel kuning muda</t>
        </is>
      </c>
      <c r="B17" s="15" t="inlineStr">
        <is>
          <t>Sel input – diisi dari GL / laporan produksi. Data contoh sudah terisi: GANTI dengan data GEG.</t>
        </is>
      </c>
    </row>
    <row r="18">
      <c r="A18" s="46" t="inlineStr">
        <is>
          <t>Teks hitam</t>
        </is>
      </c>
      <c r="B18" s="15" t="inlineStr">
        <is>
          <t>Rumus – jangan ditimpa.</t>
        </is>
      </c>
    </row>
    <row r="19">
      <c r="A19" s="46" t="inlineStr">
        <is>
          <t>Teks hijau</t>
        </is>
      </c>
      <c r="B19" s="15" t="inlineStr">
        <is>
          <t>Tautan dari sheet lain.</t>
        </is>
      </c>
    </row>
    <row r="20">
      <c r="A20" s="46" t="inlineStr">
        <is>
          <t>Sel kuning terang</t>
        </is>
      </c>
      <c r="B20" s="15" t="inlineStr">
        <is>
          <t>Parameter kunci (bulan laporan, skor total).</t>
        </is>
      </c>
    </row>
    <row r="21">
      <c r="A21" s="4" t="inlineStr">
        <is>
          <t>C. LANGKAH PENUTUPAN BULANAN (MONTHLY CLOSING)</t>
        </is>
      </c>
      <c r="B21" s="5" t="n"/>
      <c r="C21" s="5" t="n"/>
    </row>
    <row r="22">
      <c r="A22" s="46" t="inlineStr">
        <is>
          <t>H+3</t>
        </is>
      </c>
      <c r="B22" s="15" t="inlineStr">
        <is>
          <t>Operasi menyerahkan data produksi final (rekonsiliasi survei bulanan OB &amp; stok, bukan hanya truck count).</t>
        </is>
      </c>
    </row>
    <row r="23">
      <c r="A23" s="46" t="inlineStr">
        <is>
          <t>H+5</t>
        </is>
      </c>
      <c r="B23" s="15" t="inlineStr">
        <is>
          <t>Akuntansi menutup buku; mapping GL → kode akun template (4xxx pendapatan, 5xxx BPP, 6xxx beban usaha, 7xxx lain-lain, 8xxx pajak).</t>
        </is>
      </c>
    </row>
    <row r="24">
      <c r="A24" s="46" t="inlineStr">
        <is>
          <t>H+6</t>
        </is>
      </c>
      <c r="B24" s="15" t="inlineStr">
        <is>
          <t>FP&amp;A tempel trial balance ke C19 (beri Tag MIS untuk akun baru), input C3 &amp; C6 → buka C22 Kontrol Data: semua status harus OK (SIAP KIRIM).</t>
        </is>
      </c>
    </row>
    <row r="25">
      <c r="A25" s="46" t="inlineStr">
        <is>
          <t>H+7</t>
        </is>
      </c>
      <c r="B25" s="15" t="inlineStr">
        <is>
          <t>FP&amp;A menulis komentar varians &gt; ±5% atau &gt; Rp 1 miliar di C8/C10; review KPI merah bersama PIC.</t>
        </is>
      </c>
    </row>
    <row r="26">
      <c r="A26" s="46" t="inlineStr">
        <is>
          <t>H+8</t>
        </is>
      </c>
      <c r="B26" s="15" t="inlineStr">
        <is>
          <t>Paket laporan ke Direksi: C8, C9, C10, C11 (+ grafik bila perlu).</t>
        </is>
      </c>
    </row>
    <row r="27">
      <c r="A27" s="4" t="inlineStr">
        <is>
          <t>D. ATURAN PENTING</t>
        </is>
      </c>
      <c r="B27" s="5" t="n"/>
      <c r="C27" s="5" t="n"/>
    </row>
    <row r="28">
      <c r="A28" s="46" t="inlineStr">
        <is>
          <t>Konsistensi basis</t>
        </is>
      </c>
      <c r="B28" s="15" t="inlineStr">
        <is>
          <t>Mining cost per ton PRODUKSI; logistik, royalti, penjualan &amp; cash cost per ton PENJUALAN; OB per BCM.</t>
        </is>
      </c>
    </row>
    <row r="29">
      <c r="A29" s="46" t="inlineStr">
        <is>
          <t>Tanda (sign)</t>
        </is>
      </c>
      <c r="B29" s="15" t="inlineStr">
        <is>
          <t>Beban diisi positif. Penalti kualitas &amp; beban keuangan diisi negatif. Perubahan persediaan: positif bila stok turun.</t>
        </is>
      </c>
    </row>
    <row r="30">
      <c r="A30" s="46" t="inlineStr">
        <is>
          <t>Budget</t>
        </is>
      </c>
      <c r="B30" s="15" t="inlineStr">
        <is>
          <t>Budget/RKAP dikunci setelah disetujui; revisi disimpan sebagai versi terpisah (mis. Forecast Q2).</t>
        </is>
      </c>
    </row>
    <row r="31">
      <c r="A31" s="46" t="inlineStr">
        <is>
          <t>Rekonsiliasi</t>
        </is>
      </c>
      <c r="B31" s="15" t="inlineStr">
        <is>
          <t>Volume penjualan C3 harus cocok dengan invoice &amp; B/L; produksi harus cocok dengan laporan RKAB/MODI.</t>
        </is>
      </c>
    </row>
    <row r="32">
      <c r="A32" s="46" t="inlineStr">
        <is>
          <t>Menambah akun</t>
        </is>
      </c>
      <c r="B32" s="15" t="inlineStr">
        <is>
          <t>Sisipkan baris DI ATAS baris subtotal agar rumus SUM otomatis mencakup; periksa ulang C8 &amp; C10.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H2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" customWidth="1" min="2" max="2"/>
    <col width="26" customWidth="1" min="3" max="3"/>
    <col width="4" customWidth="1" min="4" max="4"/>
    <col width="4" customWidth="1" min="5" max="5"/>
    <col width="6" customWidth="1" min="6" max="6"/>
    <col width="10" customWidth="1" min="7" max="7"/>
  </cols>
  <sheetData>
    <row r="1">
      <c r="A1" s="1" t="inlineStr">
        <is>
          <t>GEG – Pengaturan Laporan &amp; Parameter KPI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Ubah BULAN LAPORAN (sel kuning terang) untuk menggeser seluruh laporan bulanan &amp; scorecard.</t>
        </is>
      </c>
    </row>
    <row r="3">
      <c r="F3" s="46" t="inlineStr">
        <is>
          <t>No</t>
        </is>
      </c>
      <c r="G3" s="46" t="inlineStr">
        <is>
          <t>Bulan</t>
        </is>
      </c>
    </row>
    <row r="4">
      <c r="A4" s="46" t="inlineStr">
        <is>
          <t>Nama perusahaan</t>
        </is>
      </c>
      <c r="C4" s="76" t="inlineStr">
        <is>
          <t>PT Global Energy Group</t>
        </is>
      </c>
      <c r="F4" s="19" t="n">
        <v>1</v>
      </c>
      <c r="G4" s="10" t="inlineStr">
        <is>
          <t>Jan</t>
        </is>
      </c>
    </row>
    <row r="5">
      <c r="A5" s="46" t="inlineStr">
        <is>
          <t>Tahun anggaran</t>
        </is>
      </c>
      <c r="C5" s="77" t="n">
        <v>2026</v>
      </c>
      <c r="F5" s="19" t="n">
        <v>2</v>
      </c>
      <c r="G5" s="10" t="inlineStr">
        <is>
          <t>Feb</t>
        </is>
      </c>
    </row>
    <row r="6">
      <c r="A6" s="46" t="inlineStr">
        <is>
          <t>Bulan laporan (1–12)</t>
        </is>
      </c>
      <c r="C6" s="78" t="n">
        <v>8</v>
      </c>
      <c r="F6" s="19" t="n">
        <v>3</v>
      </c>
      <c r="G6" s="10" t="inlineStr">
        <is>
          <t>Mar</t>
        </is>
      </c>
    </row>
    <row r="7">
      <c r="A7" s="46" t="inlineStr">
        <is>
          <t>Nama bulan laporan</t>
        </is>
      </c>
      <c r="C7" s="10">
        <f>INDEX($G$4:$G$15,C6)</f>
        <v/>
      </c>
      <c r="F7" s="19" t="n">
        <v>4</v>
      </c>
      <c r="G7" s="10" t="inlineStr">
        <is>
          <t>Apr</t>
        </is>
      </c>
    </row>
    <row r="8">
      <c r="A8" s="46" t="inlineStr">
        <is>
          <t>Satuan uang</t>
        </is>
      </c>
      <c r="C8" s="76" t="inlineStr">
        <is>
          <t>Rp juta</t>
        </is>
      </c>
      <c r="F8" s="19" t="n">
        <v>5</v>
      </c>
      <c r="G8" s="10" t="inlineStr">
        <is>
          <t>Mei</t>
        </is>
      </c>
    </row>
    <row r="9">
      <c r="A9" s="46" t="inlineStr">
        <is>
          <t>Kurs budget (informasi)</t>
        </is>
      </c>
      <c r="C9" s="17" t="n">
        <v>16400</v>
      </c>
      <c r="F9" s="19" t="n">
        <v>6</v>
      </c>
      <c r="G9" s="10" t="inlineStr">
        <is>
          <t>Jun</t>
        </is>
      </c>
    </row>
    <row r="10">
      <c r="F10" s="19" t="n">
        <v>7</v>
      </c>
      <c r="G10" s="10" t="inlineStr">
        <is>
          <t>Jul</t>
        </is>
      </c>
    </row>
    <row r="11">
      <c r="A11" s="4" t="inlineStr">
        <is>
          <t>SKALA PENILAIAN KPI</t>
        </is>
      </c>
      <c r="B11" s="5" t="n"/>
      <c r="C11" s="5" t="n"/>
      <c r="D11" s="5" t="n"/>
      <c r="F11" s="19" t="n">
        <v>8</v>
      </c>
      <c r="G11" s="10" t="inlineStr">
        <is>
          <t>Agu</t>
        </is>
      </c>
    </row>
    <row r="12">
      <c r="A12" s="10" t="inlineStr">
        <is>
          <t>Skor 5 jika pencapaian ≥</t>
        </is>
      </c>
      <c r="C12" s="25" t="n">
        <v>1.05</v>
      </c>
      <c r="F12" s="19" t="n">
        <v>9</v>
      </c>
      <c r="G12" s="10" t="inlineStr">
        <is>
          <t>Sep</t>
        </is>
      </c>
    </row>
    <row r="13">
      <c r="A13" s="10" t="inlineStr">
        <is>
          <t>Skor 4 jika pencapaian ≥</t>
        </is>
      </c>
      <c r="C13" s="25" t="n">
        <v>1</v>
      </c>
      <c r="F13" s="19" t="n">
        <v>10</v>
      </c>
      <c r="G13" s="10" t="inlineStr">
        <is>
          <t>Okt</t>
        </is>
      </c>
    </row>
    <row r="14">
      <c r="A14" s="10" t="inlineStr">
        <is>
          <t>Skor 3 jika pencapaian ≥</t>
        </is>
      </c>
      <c r="C14" s="25" t="n">
        <v>0.95</v>
      </c>
      <c r="F14" s="19" t="n">
        <v>11</v>
      </c>
      <c r="G14" s="10" t="inlineStr">
        <is>
          <t>Nov</t>
        </is>
      </c>
    </row>
    <row r="15">
      <c r="A15" s="10" t="inlineStr">
        <is>
          <t>Skor 2 jika pencapaian ≥</t>
        </is>
      </c>
      <c r="C15" s="25" t="n">
        <v>0.9</v>
      </c>
      <c r="F15" s="19" t="n">
        <v>12</v>
      </c>
      <c r="G15" s="10" t="inlineStr">
        <is>
          <t>Des</t>
        </is>
      </c>
    </row>
    <row r="16">
      <c r="A16" s="10" t="inlineStr">
        <is>
          <t>Status HIJAU jika pencapaian ≥</t>
        </is>
      </c>
      <c r="C16" s="25" t="n">
        <v>1</v>
      </c>
    </row>
    <row r="17">
      <c r="A17" s="10" t="inlineStr">
        <is>
          <t>Status KUNING jika pencapaian ≥</t>
        </is>
      </c>
      <c r="C17" s="25" t="n">
        <v>0.95</v>
      </c>
    </row>
    <row r="18">
      <c r="A18" s="10" t="inlineStr">
        <is>
          <t>Batas atas pencapaian (cap)</t>
        </is>
      </c>
      <c r="C18" s="25" t="n">
        <v>1.2</v>
      </c>
    </row>
    <row r="19">
      <c r="A19" s="3" t="inlineStr">
        <is>
          <t>Skor 1 bila di bawah ambang skor 2; status MERAH bila di bawah ambang kuning.</t>
        </is>
      </c>
    </row>
    <row r="20"/>
    <row r="21">
      <c r="A21" s="4" t="inlineStr">
        <is>
          <t>PREDIKAT SKOR TERTIMBANG</t>
        </is>
      </c>
      <c r="B21" s="5" t="n"/>
      <c r="C21" s="5" t="n"/>
      <c r="D21" s="5" t="n"/>
    </row>
    <row r="22">
      <c r="A22" s="46" t="inlineStr">
        <is>
          <t>Skor minimum</t>
        </is>
      </c>
      <c r="C22" s="46" t="inlineStr">
        <is>
          <t>Predikat</t>
        </is>
      </c>
    </row>
    <row r="23">
      <c r="A23" s="79" t="n">
        <v>4.5</v>
      </c>
      <c r="C23" s="10" t="inlineStr">
        <is>
          <t>Sangat Baik</t>
        </is>
      </c>
    </row>
    <row r="24">
      <c r="A24" s="79" t="n">
        <v>3.5</v>
      </c>
      <c r="C24" s="10" t="inlineStr">
        <is>
          <t>Baik</t>
        </is>
      </c>
    </row>
    <row r="25">
      <c r="A25" s="79" t="n">
        <v>2.5</v>
      </c>
      <c r="C25" s="10" t="inlineStr">
        <is>
          <t>Cukup</t>
        </is>
      </c>
    </row>
    <row r="26">
      <c r="A26" s="79" t="n">
        <v>1.5</v>
      </c>
      <c r="C26" s="10" t="inlineStr">
        <is>
          <t>Kurang</t>
        </is>
      </c>
    </row>
    <row r="27">
      <c r="A27" s="79" t="n">
        <v>0</v>
      </c>
      <c r="C27" s="10" t="inlineStr">
        <is>
          <t>Buruk</t>
        </is>
      </c>
    </row>
  </sheetData>
  <dataValidations count="1">
    <dataValidation sqref="C6" showDropDown="0" showInputMessage="0" showErrorMessage="1" allowBlank="0" error="Isi 1–12" type="whole" operator="between">
      <formula1>1</formula1>
      <formula2>12</formula2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P3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1" t="inlineStr">
        <is>
          <t>GEG – Data Operasional BUDGET / RKAP Bulanan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Isi sel kuning (teks biru) per bulan. Baris hitam = rumus otomatis. Kolom P = total/rata-rata tahun.</t>
        </is>
      </c>
    </row>
    <row r="3"/>
    <row r="4"/>
    <row r="5">
      <c r="D5" s="80" t="n">
        <v>1</v>
      </c>
      <c r="E5" s="80" t="n">
        <v>2</v>
      </c>
      <c r="F5" s="80" t="n">
        <v>3</v>
      </c>
      <c r="G5" s="80" t="n">
        <v>4</v>
      </c>
      <c r="H5" s="80" t="n">
        <v>5</v>
      </c>
      <c r="I5" s="80" t="n">
        <v>6</v>
      </c>
      <c r="J5" s="80" t="n">
        <v>7</v>
      </c>
      <c r="K5" s="80" t="n">
        <v>8</v>
      </c>
      <c r="L5" s="80" t="n">
        <v>9</v>
      </c>
      <c r="M5" s="80" t="n">
        <v>10</v>
      </c>
      <c r="N5" s="80" t="n">
        <v>11</v>
      </c>
      <c r="O5" s="80" t="n">
        <v>12</v>
      </c>
    </row>
    <row r="6">
      <c r="A6" s="16" t="inlineStr">
        <is>
          <t>No</t>
        </is>
      </c>
      <c r="B6" s="16" t="inlineStr">
        <is>
          <t>Parameter</t>
        </is>
      </c>
      <c r="C6" s="16" t="inlineStr">
        <is>
          <t>Satuan</t>
        </is>
      </c>
      <c r="D6" s="16" t="inlineStr">
        <is>
          <t>Jan</t>
        </is>
      </c>
      <c r="E6" s="16" t="inlineStr">
        <is>
          <t>Feb</t>
        </is>
      </c>
      <c r="F6" s="16" t="inlineStr">
        <is>
          <t>Mar</t>
        </is>
      </c>
      <c r="G6" s="16" t="inlineStr">
        <is>
          <t>Apr</t>
        </is>
      </c>
      <c r="H6" s="16" t="inlineStr">
        <is>
          <t>Mei</t>
        </is>
      </c>
      <c r="I6" s="16" t="inlineStr">
        <is>
          <t>Jun</t>
        </is>
      </c>
      <c r="J6" s="16" t="inlineStr">
        <is>
          <t>Jul</t>
        </is>
      </c>
      <c r="K6" s="16" t="inlineStr">
        <is>
          <t>Agu</t>
        </is>
      </c>
      <c r="L6" s="16" t="inlineStr">
        <is>
          <t>Sep</t>
        </is>
      </c>
      <c r="M6" s="16" t="inlineStr">
        <is>
          <t>Okt</t>
        </is>
      </c>
      <c r="N6" s="16" t="inlineStr">
        <is>
          <t>Nov</t>
        </is>
      </c>
      <c r="O6" s="16" t="inlineStr">
        <is>
          <t>Des</t>
        </is>
      </c>
      <c r="P6" s="16" t="inlineStr">
        <is>
          <t>FY / YTD</t>
        </is>
      </c>
    </row>
    <row r="7">
      <c r="A7" s="4" t="inlineStr">
        <is>
          <t>PRODUKSI &amp; OPERASI TAMBANG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61" t="n">
        <v>1</v>
      </c>
      <c r="B8" s="10" t="inlineStr">
        <is>
          <t>OB removal</t>
        </is>
      </c>
      <c r="C8" s="3" t="inlineStr">
        <is>
          <t>bcm</t>
        </is>
      </c>
      <c r="D8" s="17" t="n">
        <v>1677000</v>
      </c>
      <c r="E8" s="17" t="n">
        <v>1638000</v>
      </c>
      <c r="F8" s="17" t="n">
        <v>1813500</v>
      </c>
      <c r="G8" s="17" t="n">
        <v>1950000</v>
      </c>
      <c r="H8" s="17" t="n">
        <v>2047500</v>
      </c>
      <c r="I8" s="17" t="n">
        <v>2086500</v>
      </c>
      <c r="J8" s="17" t="n">
        <v>2145000</v>
      </c>
      <c r="K8" s="17" t="n">
        <v>2145000</v>
      </c>
      <c r="L8" s="17" t="n">
        <v>2067000</v>
      </c>
      <c r="M8" s="17" t="n">
        <v>1989000</v>
      </c>
      <c r="N8" s="17" t="n">
        <v>1891500</v>
      </c>
      <c r="O8" s="17" t="n">
        <v>1794000</v>
      </c>
      <c r="P8" s="71">
        <f>SUM(D8:O8)</f>
        <v/>
      </c>
    </row>
    <row r="9">
      <c r="A9" s="61" t="n">
        <v>2</v>
      </c>
      <c r="B9" s="10" t="inlineStr">
        <is>
          <t>Produksi batubara (coal getting / ROM)</t>
        </is>
      </c>
      <c r="C9" s="3" t="inlineStr">
        <is>
          <t>ton</t>
        </is>
      </c>
      <c r="D9" s="17" t="n">
        <v>215000</v>
      </c>
      <c r="E9" s="17" t="n">
        <v>210000</v>
      </c>
      <c r="F9" s="17" t="n">
        <v>232500</v>
      </c>
      <c r="G9" s="17" t="n">
        <v>250000</v>
      </c>
      <c r="H9" s="17" t="n">
        <v>262500</v>
      </c>
      <c r="I9" s="17" t="n">
        <v>267500</v>
      </c>
      <c r="J9" s="17" t="n">
        <v>275000</v>
      </c>
      <c r="K9" s="17" t="n">
        <v>275000</v>
      </c>
      <c r="L9" s="17" t="n">
        <v>265000</v>
      </c>
      <c r="M9" s="17" t="n">
        <v>255000</v>
      </c>
      <c r="N9" s="17" t="n">
        <v>242500</v>
      </c>
      <c r="O9" s="17" t="n">
        <v>230000</v>
      </c>
      <c r="P9" s="71">
        <f>SUM(D9:O9)</f>
        <v/>
      </c>
    </row>
    <row r="10">
      <c r="A10" s="61" t="n">
        <v>3</v>
      </c>
      <c r="B10" s="10" t="inlineStr">
        <is>
          <t>Stripping ratio</t>
        </is>
      </c>
      <c r="C10" s="3" t="inlineStr">
        <is>
          <t>bcm/t</t>
        </is>
      </c>
      <c r="D10" s="47">
        <f>IFERROR(D8/D9,0)</f>
        <v/>
      </c>
      <c r="E10" s="47">
        <f>IFERROR(E8/E9,0)</f>
        <v/>
      </c>
      <c r="F10" s="47">
        <f>IFERROR(F8/F9,0)</f>
        <v/>
      </c>
      <c r="G10" s="47">
        <f>IFERROR(G8/G9,0)</f>
        <v/>
      </c>
      <c r="H10" s="47">
        <f>IFERROR(H8/H9,0)</f>
        <v/>
      </c>
      <c r="I10" s="47">
        <f>IFERROR(I8/I9,0)</f>
        <v/>
      </c>
      <c r="J10" s="47">
        <f>IFERROR(J8/J9,0)</f>
        <v/>
      </c>
      <c r="K10" s="47">
        <f>IFERROR(K8/K9,0)</f>
        <v/>
      </c>
      <c r="L10" s="47">
        <f>IFERROR(L8/L9,0)</f>
        <v/>
      </c>
      <c r="M10" s="47">
        <f>IFERROR(M8/M9,0)</f>
        <v/>
      </c>
      <c r="N10" s="47">
        <f>IFERROR(N8/N9,0)</f>
        <v/>
      </c>
      <c r="O10" s="47">
        <f>IFERROR(O8/O9,0)</f>
        <v/>
      </c>
      <c r="P10" s="60">
        <f>IFERROR(P8/P9,0)</f>
        <v/>
      </c>
    </row>
    <row r="11">
      <c r="A11" s="61" t="n">
        <v>4</v>
      </c>
      <c r="B11" s="10" t="inlineStr">
        <is>
          <t>Hauling batubara ke pelabuhan</t>
        </is>
      </c>
      <c r="C11" s="3" t="inlineStr">
        <is>
          <t>ton</t>
        </is>
      </c>
      <c r="D11" s="17" t="n">
        <v>212850</v>
      </c>
      <c r="E11" s="17" t="n">
        <v>207900</v>
      </c>
      <c r="F11" s="17" t="n">
        <v>230175</v>
      </c>
      <c r="G11" s="17" t="n">
        <v>247500</v>
      </c>
      <c r="H11" s="17" t="n">
        <v>259875</v>
      </c>
      <c r="I11" s="17" t="n">
        <v>264825</v>
      </c>
      <c r="J11" s="17" t="n">
        <v>272250</v>
      </c>
      <c r="K11" s="17" t="n">
        <v>272250</v>
      </c>
      <c r="L11" s="17" t="n">
        <v>262350</v>
      </c>
      <c r="M11" s="17" t="n">
        <v>252450</v>
      </c>
      <c r="N11" s="17" t="n">
        <v>240075</v>
      </c>
      <c r="O11" s="17" t="n">
        <v>227700</v>
      </c>
      <c r="P11" s="71">
        <f>SUM(D11:O11)</f>
        <v/>
      </c>
    </row>
    <row r="12">
      <c r="A12" s="61" t="n">
        <v>5</v>
      </c>
      <c r="B12" s="10" t="inlineStr">
        <is>
          <t>Jarak hauling rata-rata</t>
        </is>
      </c>
      <c r="C12" s="3" t="inlineStr">
        <is>
          <t>km</t>
        </is>
      </c>
      <c r="D12" s="79" t="n">
        <v>30</v>
      </c>
      <c r="E12" s="79" t="n">
        <v>30</v>
      </c>
      <c r="F12" s="79" t="n">
        <v>30</v>
      </c>
      <c r="G12" s="79" t="n">
        <v>30</v>
      </c>
      <c r="H12" s="79" t="n">
        <v>30</v>
      </c>
      <c r="I12" s="79" t="n">
        <v>30</v>
      </c>
      <c r="J12" s="79" t="n">
        <v>30</v>
      </c>
      <c r="K12" s="79" t="n">
        <v>30</v>
      </c>
      <c r="L12" s="79" t="n">
        <v>30</v>
      </c>
      <c r="M12" s="79" t="n">
        <v>30</v>
      </c>
      <c r="N12" s="79" t="n">
        <v>30</v>
      </c>
      <c r="O12" s="79" t="n">
        <v>30</v>
      </c>
      <c r="P12" s="81">
        <f>IFERROR(SUMPRODUCT(D12:O12,D11:O11)/SUM(D11:O11),0)</f>
        <v/>
      </c>
    </row>
    <row r="13">
      <c r="A13" s="61" t="n">
        <v>6</v>
      </c>
      <c r="B13" s="10" t="inlineStr">
        <is>
          <t>Barging / pemuatan tongkang</t>
        </is>
      </c>
      <c r="C13" s="3" t="inlineStr">
        <is>
          <t>ton</t>
        </is>
      </c>
      <c r="D13" s="17" t="n">
        <v>210700</v>
      </c>
      <c r="E13" s="17" t="n">
        <v>205800</v>
      </c>
      <c r="F13" s="17" t="n">
        <v>227850</v>
      </c>
      <c r="G13" s="17" t="n">
        <v>245000</v>
      </c>
      <c r="H13" s="17" t="n">
        <v>257250</v>
      </c>
      <c r="I13" s="17" t="n">
        <v>262150</v>
      </c>
      <c r="J13" s="17" t="n">
        <v>269500</v>
      </c>
      <c r="K13" s="17" t="n">
        <v>269500</v>
      </c>
      <c r="L13" s="17" t="n">
        <v>259700</v>
      </c>
      <c r="M13" s="17" t="n">
        <v>249900</v>
      </c>
      <c r="N13" s="17" t="n">
        <v>237650</v>
      </c>
      <c r="O13" s="17" t="n">
        <v>225400</v>
      </c>
      <c r="P13" s="71">
        <f>SUM(D13:O13)</f>
        <v/>
      </c>
    </row>
    <row r="14">
      <c r="A14" s="61" t="n">
        <v>7</v>
      </c>
      <c r="B14" s="10" t="inlineStr">
        <is>
          <t>Stok batubara akhir bulan (ROM + pelabuhan)</t>
        </is>
      </c>
      <c r="C14" s="3" t="inlineStr">
        <is>
          <t>ton</t>
        </is>
      </c>
      <c r="D14" s="17" t="n">
        <v>184300</v>
      </c>
      <c r="E14" s="17" t="n">
        <v>188500</v>
      </c>
      <c r="F14" s="17" t="n">
        <v>193150</v>
      </c>
      <c r="G14" s="17" t="n">
        <v>198150</v>
      </c>
      <c r="H14" s="17" t="n">
        <v>203400</v>
      </c>
      <c r="I14" s="17" t="n">
        <v>208750</v>
      </c>
      <c r="J14" s="17" t="n">
        <v>214250</v>
      </c>
      <c r="K14" s="17" t="n">
        <v>219750</v>
      </c>
      <c r="L14" s="17" t="n">
        <v>225050</v>
      </c>
      <c r="M14" s="17" t="n">
        <v>230150</v>
      </c>
      <c r="N14" s="17" t="n">
        <v>235000</v>
      </c>
      <c r="O14" s="17" t="n">
        <v>239600</v>
      </c>
      <c r="P14" s="71">
        <f>IFERROR(INDEX(D14:O14,COUNT(D14:O14)),0)</f>
        <v/>
      </c>
    </row>
    <row r="15">
      <c r="A15" s="4" t="inlineStr">
        <is>
          <t>PENJUALAN &amp; HARGA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61" t="n">
        <v>8</v>
      </c>
      <c r="B16" s="10" t="inlineStr">
        <is>
          <t>Penjualan – Ekspor</t>
        </is>
      </c>
      <c r="C16" s="3" t="inlineStr">
        <is>
          <t>ton</t>
        </is>
      </c>
      <c r="D16" s="17" t="n">
        <v>126420</v>
      </c>
      <c r="E16" s="17" t="n">
        <v>123480</v>
      </c>
      <c r="F16" s="17" t="n">
        <v>136710</v>
      </c>
      <c r="G16" s="17" t="n">
        <v>147000</v>
      </c>
      <c r="H16" s="17" t="n">
        <v>154350</v>
      </c>
      <c r="I16" s="17" t="n">
        <v>157290</v>
      </c>
      <c r="J16" s="17" t="n">
        <v>161700</v>
      </c>
      <c r="K16" s="17" t="n">
        <v>161700</v>
      </c>
      <c r="L16" s="17" t="n">
        <v>155820</v>
      </c>
      <c r="M16" s="17" t="n">
        <v>149940</v>
      </c>
      <c r="N16" s="17" t="n">
        <v>142590</v>
      </c>
      <c r="O16" s="17" t="n">
        <v>135240</v>
      </c>
      <c r="P16" s="71">
        <f>SUM(D16:O16)</f>
        <v/>
      </c>
    </row>
    <row r="17">
      <c r="A17" s="61" t="n">
        <v>9</v>
      </c>
      <c r="B17" s="10" t="inlineStr">
        <is>
          <t>Penjualan – Domestik DMO</t>
        </is>
      </c>
      <c r="C17" s="3" t="inlineStr">
        <is>
          <t>ton</t>
        </is>
      </c>
      <c r="D17" s="17" t="n">
        <v>58996</v>
      </c>
      <c r="E17" s="17" t="n">
        <v>57624</v>
      </c>
      <c r="F17" s="17" t="n">
        <v>63798</v>
      </c>
      <c r="G17" s="17" t="n">
        <v>68600</v>
      </c>
      <c r="H17" s="17" t="n">
        <v>72030</v>
      </c>
      <c r="I17" s="17" t="n">
        <v>73402</v>
      </c>
      <c r="J17" s="17" t="n">
        <v>75460</v>
      </c>
      <c r="K17" s="17" t="n">
        <v>75460</v>
      </c>
      <c r="L17" s="17" t="n">
        <v>72716</v>
      </c>
      <c r="M17" s="17" t="n">
        <v>69972</v>
      </c>
      <c r="N17" s="17" t="n">
        <v>66542</v>
      </c>
      <c r="O17" s="17" t="n">
        <v>63112</v>
      </c>
      <c r="P17" s="71">
        <f>SUM(D17:O17)</f>
        <v/>
      </c>
    </row>
    <row r="18">
      <c r="A18" s="61" t="n">
        <v>10</v>
      </c>
      <c r="B18" s="10" t="inlineStr">
        <is>
          <t>Penjualan – Domestik non-DMO</t>
        </is>
      </c>
      <c r="C18" s="3" t="inlineStr">
        <is>
          <t>ton</t>
        </is>
      </c>
      <c r="D18" s="17" t="n">
        <v>25284</v>
      </c>
      <c r="E18" s="17" t="n">
        <v>24696</v>
      </c>
      <c r="F18" s="17" t="n">
        <v>27342</v>
      </c>
      <c r="G18" s="17" t="n">
        <v>29400</v>
      </c>
      <c r="H18" s="17" t="n">
        <v>30870</v>
      </c>
      <c r="I18" s="17" t="n">
        <v>31458</v>
      </c>
      <c r="J18" s="17" t="n">
        <v>32340</v>
      </c>
      <c r="K18" s="17" t="n">
        <v>32340</v>
      </c>
      <c r="L18" s="17" t="n">
        <v>31164</v>
      </c>
      <c r="M18" s="17" t="n">
        <v>29988</v>
      </c>
      <c r="N18" s="17" t="n">
        <v>28518</v>
      </c>
      <c r="O18" s="17" t="n">
        <v>27048</v>
      </c>
      <c r="P18" s="71">
        <f>SUM(D18:O18)</f>
        <v/>
      </c>
    </row>
    <row r="19">
      <c r="A19" s="61" t="n">
        <v>11</v>
      </c>
      <c r="B19" s="10" t="inlineStr">
        <is>
          <t>Total penjualan</t>
        </is>
      </c>
      <c r="C19" s="3" t="inlineStr">
        <is>
          <t>ton</t>
        </is>
      </c>
      <c r="D19" s="19">
        <f>D16+D17+D18</f>
        <v/>
      </c>
      <c r="E19" s="19">
        <f>E16+E17+E18</f>
        <v/>
      </c>
      <c r="F19" s="19">
        <f>F16+F17+F18</f>
        <v/>
      </c>
      <c r="G19" s="19">
        <f>G16+G17+G18</f>
        <v/>
      </c>
      <c r="H19" s="19">
        <f>H16+H17+H18</f>
        <v/>
      </c>
      <c r="I19" s="19">
        <f>I16+I17+I18</f>
        <v/>
      </c>
      <c r="J19" s="19">
        <f>J16+J17+J18</f>
        <v/>
      </c>
      <c r="K19" s="19">
        <f>K16+K17+K18</f>
        <v/>
      </c>
      <c r="L19" s="19">
        <f>L16+L17+L18</f>
        <v/>
      </c>
      <c r="M19" s="19">
        <f>M16+M17+M18</f>
        <v/>
      </c>
      <c r="N19" s="19">
        <f>N16+N17+N18</f>
        <v/>
      </c>
      <c r="O19" s="19">
        <f>O16+O17+O18</f>
        <v/>
      </c>
      <c r="P19" s="71">
        <f>P16+P17+P18</f>
        <v/>
      </c>
    </row>
    <row r="20">
      <c r="A20" s="61" t="n">
        <v>12</v>
      </c>
      <c r="B20" s="10" t="inlineStr">
        <is>
          <t>ASP – Ekspor</t>
        </is>
      </c>
      <c r="C20" s="3" t="inlineStr">
        <is>
          <t>USD/t</t>
        </is>
      </c>
      <c r="D20" s="18" t="n">
        <v>62</v>
      </c>
      <c r="E20" s="18" t="n">
        <v>62</v>
      </c>
      <c r="F20" s="18" t="n">
        <v>62</v>
      </c>
      <c r="G20" s="18" t="n">
        <v>62</v>
      </c>
      <c r="H20" s="18" t="n">
        <v>62</v>
      </c>
      <c r="I20" s="18" t="n">
        <v>62</v>
      </c>
      <c r="J20" s="18" t="n">
        <v>62</v>
      </c>
      <c r="K20" s="18" t="n">
        <v>62</v>
      </c>
      <c r="L20" s="18" t="n">
        <v>62</v>
      </c>
      <c r="M20" s="18" t="n">
        <v>62</v>
      </c>
      <c r="N20" s="18" t="n">
        <v>62</v>
      </c>
      <c r="O20" s="18" t="n">
        <v>62</v>
      </c>
      <c r="P20" s="60">
        <f>IFERROR(SUMPRODUCT(D20:O20,D16:O16)/SUM(D16:O16),0)</f>
        <v/>
      </c>
    </row>
    <row r="21">
      <c r="A21" s="61" t="n">
        <v>13</v>
      </c>
      <c r="B21" s="10" t="inlineStr">
        <is>
          <t>ASP – Domestik DMO</t>
        </is>
      </c>
      <c r="C21" s="3" t="inlineStr">
        <is>
          <t>USD/t</t>
        </is>
      </c>
      <c r="D21" s="18" t="n">
        <v>42</v>
      </c>
      <c r="E21" s="18" t="n">
        <v>42</v>
      </c>
      <c r="F21" s="18" t="n">
        <v>42</v>
      </c>
      <c r="G21" s="18" t="n">
        <v>42</v>
      </c>
      <c r="H21" s="18" t="n">
        <v>42</v>
      </c>
      <c r="I21" s="18" t="n">
        <v>42</v>
      </c>
      <c r="J21" s="18" t="n">
        <v>42</v>
      </c>
      <c r="K21" s="18" t="n">
        <v>42</v>
      </c>
      <c r="L21" s="18" t="n">
        <v>42</v>
      </c>
      <c r="M21" s="18" t="n">
        <v>42</v>
      </c>
      <c r="N21" s="18" t="n">
        <v>42</v>
      </c>
      <c r="O21" s="18" t="n">
        <v>42</v>
      </c>
      <c r="P21" s="60">
        <f>IFERROR(SUMPRODUCT(D21:O21,D17:O17)/SUM(D17:O17),0)</f>
        <v/>
      </c>
    </row>
    <row r="22">
      <c r="A22" s="61" t="n">
        <v>14</v>
      </c>
      <c r="B22" s="10" t="inlineStr">
        <is>
          <t>ASP – Domestik non-DMO</t>
        </is>
      </c>
      <c r="C22" s="3" t="inlineStr">
        <is>
          <t>USD/t</t>
        </is>
      </c>
      <c r="D22" s="18" t="n">
        <v>50</v>
      </c>
      <c r="E22" s="18" t="n">
        <v>50</v>
      </c>
      <c r="F22" s="18" t="n">
        <v>50</v>
      </c>
      <c r="G22" s="18" t="n">
        <v>50</v>
      </c>
      <c r="H22" s="18" t="n">
        <v>50</v>
      </c>
      <c r="I22" s="18" t="n">
        <v>50</v>
      </c>
      <c r="J22" s="18" t="n">
        <v>50</v>
      </c>
      <c r="K22" s="18" t="n">
        <v>50</v>
      </c>
      <c r="L22" s="18" t="n">
        <v>50</v>
      </c>
      <c r="M22" s="18" t="n">
        <v>50</v>
      </c>
      <c r="N22" s="18" t="n">
        <v>50</v>
      </c>
      <c r="O22" s="18" t="n">
        <v>50</v>
      </c>
      <c r="P22" s="60">
        <f>IFERROR(SUMPRODUCT(D22:O22,D18:O18)/SUM(D18:O18),0)</f>
        <v/>
      </c>
    </row>
    <row r="23">
      <c r="A23" s="61" t="n">
        <v>15</v>
      </c>
      <c r="B23" s="10" t="inlineStr">
        <is>
          <t>Harga indeks acuan (HBA/ICI setara CV)</t>
        </is>
      </c>
      <c r="C23" s="3" t="inlineStr">
        <is>
          <t>USD/t</t>
        </is>
      </c>
      <c r="D23" s="18" t="n">
        <v>66</v>
      </c>
      <c r="E23" s="18" t="n">
        <v>66</v>
      </c>
      <c r="F23" s="18" t="n">
        <v>66</v>
      </c>
      <c r="G23" s="18" t="n">
        <v>66</v>
      </c>
      <c r="H23" s="18" t="n">
        <v>66</v>
      </c>
      <c r="I23" s="18" t="n">
        <v>66</v>
      </c>
      <c r="J23" s="18" t="n">
        <v>66</v>
      </c>
      <c r="K23" s="18" t="n">
        <v>66</v>
      </c>
      <c r="L23" s="18" t="n">
        <v>66</v>
      </c>
      <c r="M23" s="18" t="n">
        <v>66</v>
      </c>
      <c r="N23" s="18" t="n">
        <v>66</v>
      </c>
      <c r="O23" s="18" t="n">
        <v>66</v>
      </c>
      <c r="P23" s="60">
        <f>IFERROR(AVERAGE(D23:O23),0)</f>
        <v/>
      </c>
    </row>
    <row r="24">
      <c r="A24" s="61" t="n">
        <v>16</v>
      </c>
      <c r="B24" s="10" t="inlineStr">
        <is>
          <t>Nilai kalori realisasi</t>
        </is>
      </c>
      <c r="C24" s="3" t="inlineStr">
        <is>
          <t>kcal/kg GAR</t>
        </is>
      </c>
      <c r="D24" s="17" t="n">
        <v>4300</v>
      </c>
      <c r="E24" s="17" t="n">
        <v>4300</v>
      </c>
      <c r="F24" s="17" t="n">
        <v>4300</v>
      </c>
      <c r="G24" s="17" t="n">
        <v>4300</v>
      </c>
      <c r="H24" s="17" t="n">
        <v>4300</v>
      </c>
      <c r="I24" s="17" t="n">
        <v>4300</v>
      </c>
      <c r="J24" s="17" t="n">
        <v>4300</v>
      </c>
      <c r="K24" s="17" t="n">
        <v>4300</v>
      </c>
      <c r="L24" s="17" t="n">
        <v>4300</v>
      </c>
      <c r="M24" s="17" t="n">
        <v>4300</v>
      </c>
      <c r="N24" s="17" t="n">
        <v>4300</v>
      </c>
      <c r="O24" s="17" t="n">
        <v>4300</v>
      </c>
      <c r="P24" s="71">
        <f>IFERROR(SUMPRODUCT(D24:O24,D19:O19)/SUM(D19:O19),0)</f>
        <v/>
      </c>
    </row>
    <row r="25">
      <c r="A25" s="61" t="n">
        <v>17</v>
      </c>
      <c r="B25" s="10" t="inlineStr">
        <is>
          <t>Kurs rata-rata</t>
        </is>
      </c>
      <c r="C25" s="3" t="inlineStr">
        <is>
          <t>Rp/USD</t>
        </is>
      </c>
      <c r="D25" s="17" t="n">
        <v>16400</v>
      </c>
      <c r="E25" s="17" t="n">
        <v>16400</v>
      </c>
      <c r="F25" s="17" t="n">
        <v>16400</v>
      </c>
      <c r="G25" s="17" t="n">
        <v>16400</v>
      </c>
      <c r="H25" s="17" t="n">
        <v>16400</v>
      </c>
      <c r="I25" s="17" t="n">
        <v>16400</v>
      </c>
      <c r="J25" s="17" t="n">
        <v>16400</v>
      </c>
      <c r="K25" s="17" t="n">
        <v>16400</v>
      </c>
      <c r="L25" s="17" t="n">
        <v>16400</v>
      </c>
      <c r="M25" s="17" t="n">
        <v>16400</v>
      </c>
      <c r="N25" s="17" t="n">
        <v>16400</v>
      </c>
      <c r="O25" s="17" t="n">
        <v>16400</v>
      </c>
      <c r="P25" s="71">
        <f>IFERROR(AVERAGE(D25:O25),0)</f>
        <v/>
      </c>
    </row>
    <row r="26">
      <c r="A26" s="4" t="inlineStr">
        <is>
          <t>SARANA, BBM &amp; CUACA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61" t="n">
        <v>18</v>
      </c>
      <c r="B27" s="10" t="inlineStr">
        <is>
          <t>Konsumsi BBM</t>
        </is>
      </c>
      <c r="C27" s="3" t="inlineStr">
        <is>
          <t>liter</t>
        </is>
      </c>
      <c r="D27" s="17" t="n">
        <v>1593150</v>
      </c>
      <c r="E27" s="17" t="n">
        <v>1556100</v>
      </c>
      <c r="F27" s="17" t="n">
        <v>1722825</v>
      </c>
      <c r="G27" s="17" t="n">
        <v>1852500</v>
      </c>
      <c r="H27" s="17" t="n">
        <v>1945125</v>
      </c>
      <c r="I27" s="17" t="n">
        <v>1982175</v>
      </c>
      <c r="J27" s="17" t="n">
        <v>2037750</v>
      </c>
      <c r="K27" s="17" t="n">
        <v>2037750</v>
      </c>
      <c r="L27" s="17" t="n">
        <v>1963650</v>
      </c>
      <c r="M27" s="17" t="n">
        <v>1889550</v>
      </c>
      <c r="N27" s="17" t="n">
        <v>1796925</v>
      </c>
      <c r="O27" s="17" t="n">
        <v>1704300</v>
      </c>
      <c r="P27" s="71">
        <f>SUM(D27:O27)</f>
        <v/>
      </c>
    </row>
    <row r="28">
      <c r="A28" s="61" t="n">
        <v>19</v>
      </c>
      <c r="B28" s="10" t="inlineStr">
        <is>
          <t>Fuel ratio</t>
        </is>
      </c>
      <c r="C28" s="3" t="inlineStr">
        <is>
          <t>L/bcm</t>
        </is>
      </c>
      <c r="D28" s="47">
        <f>IFERROR(D27/D8,0)</f>
        <v/>
      </c>
      <c r="E28" s="47">
        <f>IFERROR(E27/E8,0)</f>
        <v/>
      </c>
      <c r="F28" s="47">
        <f>IFERROR(F27/F8,0)</f>
        <v/>
      </c>
      <c r="G28" s="47">
        <f>IFERROR(G27/G8,0)</f>
        <v/>
      </c>
      <c r="H28" s="47">
        <f>IFERROR(H27/H8,0)</f>
        <v/>
      </c>
      <c r="I28" s="47">
        <f>IFERROR(I27/I8,0)</f>
        <v/>
      </c>
      <c r="J28" s="47">
        <f>IFERROR(J27/J8,0)</f>
        <v/>
      </c>
      <c r="K28" s="47">
        <f>IFERROR(K27/K8,0)</f>
        <v/>
      </c>
      <c r="L28" s="47">
        <f>IFERROR(L27/L8,0)</f>
        <v/>
      </c>
      <c r="M28" s="47">
        <f>IFERROR(M27/M8,0)</f>
        <v/>
      </c>
      <c r="N28" s="47">
        <f>IFERROR(N27/N8,0)</f>
        <v/>
      </c>
      <c r="O28" s="47">
        <f>IFERROR(O27/O8,0)</f>
        <v/>
      </c>
      <c r="P28" s="60">
        <f>IFERROR(P27/P8,0)</f>
        <v/>
      </c>
    </row>
    <row r="29">
      <c r="A29" s="61" t="n">
        <v>20</v>
      </c>
      <c r="B29" s="10" t="inlineStr">
        <is>
          <t>Jam hujan + slippery</t>
        </is>
      </c>
      <c r="C29" s="3" t="inlineStr">
        <is>
          <t>jam</t>
        </is>
      </c>
      <c r="D29" s="17" t="n">
        <v>180</v>
      </c>
      <c r="E29" s="17" t="n">
        <v>170</v>
      </c>
      <c r="F29" s="17" t="n">
        <v>160</v>
      </c>
      <c r="G29" s="17" t="n">
        <v>120</v>
      </c>
      <c r="H29" s="17" t="n">
        <v>100</v>
      </c>
      <c r="I29" s="17" t="n">
        <v>80</v>
      </c>
      <c r="J29" s="17" t="n">
        <v>60</v>
      </c>
      <c r="K29" s="17" t="n">
        <v>60</v>
      </c>
      <c r="L29" s="17" t="n">
        <v>70</v>
      </c>
      <c r="M29" s="17" t="n">
        <v>110</v>
      </c>
      <c r="N29" s="17" t="n">
        <v>150</v>
      </c>
      <c r="O29" s="17" t="n">
        <v>170</v>
      </c>
      <c r="P29" s="71">
        <f>SUM(D29:O29)</f>
        <v/>
      </c>
    </row>
    <row r="30">
      <c r="A30" s="61" t="n">
        <v>21</v>
      </c>
      <c r="B30" s="10" t="inlineStr">
        <is>
          <t>Physical availability (PA) armada utama</t>
        </is>
      </c>
      <c r="C30" s="3" t="inlineStr">
        <is>
          <t>%</t>
        </is>
      </c>
      <c r="D30" s="25" t="n">
        <v>0.88</v>
      </c>
      <c r="E30" s="25" t="n">
        <v>0.88</v>
      </c>
      <c r="F30" s="25" t="n">
        <v>0.88</v>
      </c>
      <c r="G30" s="25" t="n">
        <v>0.88</v>
      </c>
      <c r="H30" s="25" t="n">
        <v>0.88</v>
      </c>
      <c r="I30" s="25" t="n">
        <v>0.88</v>
      </c>
      <c r="J30" s="25" t="n">
        <v>0.88</v>
      </c>
      <c r="K30" s="25" t="n">
        <v>0.88</v>
      </c>
      <c r="L30" s="25" t="n">
        <v>0.88</v>
      </c>
      <c r="M30" s="25" t="n">
        <v>0.88</v>
      </c>
      <c r="N30" s="25" t="n">
        <v>0.88</v>
      </c>
      <c r="O30" s="25" t="n">
        <v>0.88</v>
      </c>
      <c r="P30" s="66">
        <f>IFERROR(AVERAGE(D30:O30),0)</f>
        <v/>
      </c>
    </row>
    <row r="31">
      <c r="A31" s="61" t="n">
        <v>22</v>
      </c>
      <c r="B31" s="10" t="inlineStr">
        <is>
          <t>Use of availability (UA) armada utama</t>
        </is>
      </c>
      <c r="C31" s="3" t="inlineStr">
        <is>
          <t>%</t>
        </is>
      </c>
      <c r="D31" s="25" t="n">
        <v>0.75</v>
      </c>
      <c r="E31" s="25" t="n">
        <v>0.75</v>
      </c>
      <c r="F31" s="25" t="n">
        <v>0.75</v>
      </c>
      <c r="G31" s="25" t="n">
        <v>0.75</v>
      </c>
      <c r="H31" s="25" t="n">
        <v>0.75</v>
      </c>
      <c r="I31" s="25" t="n">
        <v>0.75</v>
      </c>
      <c r="J31" s="25" t="n">
        <v>0.75</v>
      </c>
      <c r="K31" s="25" t="n">
        <v>0.75</v>
      </c>
      <c r="L31" s="25" t="n">
        <v>0.75</v>
      </c>
      <c r="M31" s="25" t="n">
        <v>0.75</v>
      </c>
      <c r="N31" s="25" t="n">
        <v>0.75</v>
      </c>
      <c r="O31" s="25" t="n">
        <v>0.75</v>
      </c>
      <c r="P31" s="66">
        <f>IFERROR(AVERAGE(D31:O31),0)</f>
        <v/>
      </c>
    </row>
    <row r="32">
      <c r="A32" s="4" t="inlineStr">
        <is>
          <t>SDM, K3 &amp; LINGKUNGAN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A33" s="61" t="n">
        <v>23</v>
      </c>
      <c r="B33" s="10" t="inlineStr">
        <is>
          <t>Jumlah tenaga kerja (organik + kontraktor)</t>
        </is>
      </c>
      <c r="C33" s="3" t="inlineStr">
        <is>
          <t>orang</t>
        </is>
      </c>
      <c r="D33" s="17" t="n">
        <v>1450</v>
      </c>
      <c r="E33" s="17" t="n">
        <v>1450</v>
      </c>
      <c r="F33" s="17" t="n">
        <v>1450</v>
      </c>
      <c r="G33" s="17" t="n">
        <v>1450</v>
      </c>
      <c r="H33" s="17" t="n">
        <v>1450</v>
      </c>
      <c r="I33" s="17" t="n">
        <v>1450</v>
      </c>
      <c r="J33" s="17" t="n">
        <v>1450</v>
      </c>
      <c r="K33" s="17" t="n">
        <v>1450</v>
      </c>
      <c r="L33" s="17" t="n">
        <v>1450</v>
      </c>
      <c r="M33" s="17" t="n">
        <v>1450</v>
      </c>
      <c r="N33" s="17" t="n">
        <v>1450</v>
      </c>
      <c r="O33" s="17" t="n">
        <v>1450</v>
      </c>
      <c r="P33" s="71">
        <f>IFERROR(INDEX(D33:O33,COUNT(D33:O33)),0)</f>
        <v/>
      </c>
    </row>
    <row r="34">
      <c r="A34" s="61" t="n">
        <v>24</v>
      </c>
      <c r="B34" s="10" t="inlineStr">
        <is>
          <t>Jam kerja orang (man-hours)</t>
        </is>
      </c>
      <c r="C34" s="3" t="inlineStr">
        <is>
          <t>jam</t>
        </is>
      </c>
      <c r="D34" s="17" t="n">
        <v>362500</v>
      </c>
      <c r="E34" s="17" t="n">
        <v>362500</v>
      </c>
      <c r="F34" s="17" t="n">
        <v>362500</v>
      </c>
      <c r="G34" s="17" t="n">
        <v>362500</v>
      </c>
      <c r="H34" s="17" t="n">
        <v>362500</v>
      </c>
      <c r="I34" s="17" t="n">
        <v>362500</v>
      </c>
      <c r="J34" s="17" t="n">
        <v>362500</v>
      </c>
      <c r="K34" s="17" t="n">
        <v>362500</v>
      </c>
      <c r="L34" s="17" t="n">
        <v>362500</v>
      </c>
      <c r="M34" s="17" t="n">
        <v>362500</v>
      </c>
      <c r="N34" s="17" t="n">
        <v>362500</v>
      </c>
      <c r="O34" s="17" t="n">
        <v>362500</v>
      </c>
      <c r="P34" s="71">
        <f>SUM(D34:O34)</f>
        <v/>
      </c>
    </row>
    <row r="35">
      <c r="A35" s="61" t="n">
        <v>25</v>
      </c>
      <c r="B35" s="10" t="inlineStr">
        <is>
          <t>Kecelakaan hilang waktu kerja (LTI)</t>
        </is>
      </c>
      <c r="C35" s="3" t="inlineStr">
        <is>
          <t>kasus</t>
        </is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71">
        <f>SUM(D35:O35)</f>
        <v/>
      </c>
    </row>
    <row r="36">
      <c r="A36" s="61" t="n">
        <v>26</v>
      </c>
      <c r="B36" s="10" t="inlineStr">
        <is>
          <t>LTIFR</t>
        </is>
      </c>
      <c r="C36" s="3" t="inlineStr">
        <is>
          <t>per 1 juta jam</t>
        </is>
      </c>
      <c r="D36" s="47">
        <f>IFERROR(D35*1000000/D34,0)</f>
        <v/>
      </c>
      <c r="E36" s="47">
        <f>IFERROR(E35*1000000/E34,0)</f>
        <v/>
      </c>
      <c r="F36" s="47">
        <f>IFERROR(F35*1000000/F34,0)</f>
        <v/>
      </c>
      <c r="G36" s="47">
        <f>IFERROR(G35*1000000/G34,0)</f>
        <v/>
      </c>
      <c r="H36" s="47">
        <f>IFERROR(H35*1000000/H34,0)</f>
        <v/>
      </c>
      <c r="I36" s="47">
        <f>IFERROR(I35*1000000/I34,0)</f>
        <v/>
      </c>
      <c r="J36" s="47">
        <f>IFERROR(J35*1000000/J34,0)</f>
        <v/>
      </c>
      <c r="K36" s="47">
        <f>IFERROR(K35*1000000/K34,0)</f>
        <v/>
      </c>
      <c r="L36" s="47">
        <f>IFERROR(L35*1000000/L34,0)</f>
        <v/>
      </c>
      <c r="M36" s="47">
        <f>IFERROR(M35*1000000/M34,0)</f>
        <v/>
      </c>
      <c r="N36" s="47">
        <f>IFERROR(N35*1000000/N34,0)</f>
        <v/>
      </c>
      <c r="O36" s="47">
        <f>IFERROR(O35*1000000/O34,0)</f>
        <v/>
      </c>
      <c r="P36" s="60">
        <f>IFERROR(P35*1000000/P34,0)</f>
        <v/>
      </c>
    </row>
    <row r="37">
      <c r="A37" s="61" t="n">
        <v>27</v>
      </c>
      <c r="B37" s="10" t="inlineStr">
        <is>
          <t>Bukaan lahan</t>
        </is>
      </c>
      <c r="C37" s="3" t="inlineStr">
        <is>
          <t>ha</t>
        </is>
      </c>
      <c r="D37" s="79" t="n">
        <v>12</v>
      </c>
      <c r="E37" s="79" t="n">
        <v>12</v>
      </c>
      <c r="F37" s="79" t="n">
        <v>12</v>
      </c>
      <c r="G37" s="79" t="n">
        <v>12</v>
      </c>
      <c r="H37" s="79" t="n">
        <v>12</v>
      </c>
      <c r="I37" s="79" t="n">
        <v>12</v>
      </c>
      <c r="J37" s="79" t="n">
        <v>12</v>
      </c>
      <c r="K37" s="79" t="n">
        <v>12</v>
      </c>
      <c r="L37" s="79" t="n">
        <v>12</v>
      </c>
      <c r="M37" s="79" t="n">
        <v>12</v>
      </c>
      <c r="N37" s="79" t="n">
        <v>12</v>
      </c>
      <c r="O37" s="79" t="n">
        <v>12</v>
      </c>
      <c r="P37" s="81">
        <f>SUM(D37:O37)</f>
        <v/>
      </c>
    </row>
    <row r="38">
      <c r="A38" s="61" t="n">
        <v>28</v>
      </c>
      <c r="B38" s="10" t="inlineStr">
        <is>
          <t>Reklamasi &amp; revegetasi</t>
        </is>
      </c>
      <c r="C38" s="3" t="inlineStr">
        <is>
          <t>ha</t>
        </is>
      </c>
      <c r="D38" s="79" t="n">
        <v>8</v>
      </c>
      <c r="E38" s="79" t="n">
        <v>8</v>
      </c>
      <c r="F38" s="79" t="n">
        <v>8</v>
      </c>
      <c r="G38" s="79" t="n">
        <v>8</v>
      </c>
      <c r="H38" s="79" t="n">
        <v>8</v>
      </c>
      <c r="I38" s="79" t="n">
        <v>8</v>
      </c>
      <c r="J38" s="79" t="n">
        <v>8</v>
      </c>
      <c r="K38" s="79" t="n">
        <v>8</v>
      </c>
      <c r="L38" s="79" t="n">
        <v>8</v>
      </c>
      <c r="M38" s="79" t="n">
        <v>8</v>
      </c>
      <c r="N38" s="79" t="n">
        <v>8</v>
      </c>
      <c r="O38" s="79" t="n">
        <v>8</v>
      </c>
      <c r="P38" s="81">
        <f>SUM(D38:O38)</f>
        <v/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P3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1" t="inlineStr">
        <is>
          <t>GEG – Data Operasional AKTUAL Bulanan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Isi sel kuning (teks biru) per bulan. Baris hitam = rumus otomatis. Kolom P = total/rata-rata tahun.</t>
        </is>
      </c>
    </row>
    <row r="3"/>
    <row r="4"/>
    <row r="5">
      <c r="D5" s="80" t="n">
        <v>1</v>
      </c>
      <c r="E5" s="80" t="n">
        <v>2</v>
      </c>
      <c r="F5" s="80" t="n">
        <v>3</v>
      </c>
      <c r="G5" s="80" t="n">
        <v>4</v>
      </c>
      <c r="H5" s="80" t="n">
        <v>5</v>
      </c>
      <c r="I5" s="80" t="n">
        <v>6</v>
      </c>
      <c r="J5" s="80" t="n">
        <v>7</v>
      </c>
      <c r="K5" s="80" t="n">
        <v>8</v>
      </c>
      <c r="L5" s="80" t="n">
        <v>9</v>
      </c>
      <c r="M5" s="80" t="n">
        <v>10</v>
      </c>
      <c r="N5" s="80" t="n">
        <v>11</v>
      </c>
      <c r="O5" s="80" t="n">
        <v>12</v>
      </c>
    </row>
    <row r="6">
      <c r="A6" s="16" t="inlineStr">
        <is>
          <t>No</t>
        </is>
      </c>
      <c r="B6" s="16" t="inlineStr">
        <is>
          <t>Parameter</t>
        </is>
      </c>
      <c r="C6" s="16" t="inlineStr">
        <is>
          <t>Satuan</t>
        </is>
      </c>
      <c r="D6" s="16" t="inlineStr">
        <is>
          <t>Jan</t>
        </is>
      </c>
      <c r="E6" s="16" t="inlineStr">
        <is>
          <t>Feb</t>
        </is>
      </c>
      <c r="F6" s="16" t="inlineStr">
        <is>
          <t>Mar</t>
        </is>
      </c>
      <c r="G6" s="16" t="inlineStr">
        <is>
          <t>Apr</t>
        </is>
      </c>
      <c r="H6" s="16" t="inlineStr">
        <is>
          <t>Mei</t>
        </is>
      </c>
      <c r="I6" s="16" t="inlineStr">
        <is>
          <t>Jun</t>
        </is>
      </c>
      <c r="J6" s="16" t="inlineStr">
        <is>
          <t>Jul</t>
        </is>
      </c>
      <c r="K6" s="16" t="inlineStr">
        <is>
          <t>Agu</t>
        </is>
      </c>
      <c r="L6" s="16" t="inlineStr">
        <is>
          <t>Sep</t>
        </is>
      </c>
      <c r="M6" s="16" t="inlineStr">
        <is>
          <t>Okt</t>
        </is>
      </c>
      <c r="N6" s="16" t="inlineStr">
        <is>
          <t>Nov</t>
        </is>
      </c>
      <c r="O6" s="16" t="inlineStr">
        <is>
          <t>Des</t>
        </is>
      </c>
      <c r="P6" s="16" t="inlineStr">
        <is>
          <t>FY / YTD</t>
        </is>
      </c>
    </row>
    <row r="7">
      <c r="A7" s="4" t="inlineStr">
        <is>
          <t>PRODUKSI &amp; OPERASI TAMBANG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61" t="n">
        <v>1</v>
      </c>
      <c r="B8" s="10" t="inlineStr">
        <is>
          <t>OB removal</t>
        </is>
      </c>
      <c r="C8" s="3" t="inlineStr">
        <is>
          <t>bcm</t>
        </is>
      </c>
      <c r="D8" s="17" t="n">
        <v>1558766</v>
      </c>
      <c r="E8" s="17" t="n">
        <v>1726600</v>
      </c>
      <c r="F8" s="17" t="n">
        <v>1750198</v>
      </c>
      <c r="G8" s="17" t="n">
        <v>2095849</v>
      </c>
      <c r="H8" s="17" t="n">
        <v>1934365</v>
      </c>
      <c r="I8" s="17" t="n">
        <v>1883049</v>
      </c>
      <c r="J8" s="17" t="n">
        <v>2195899</v>
      </c>
      <c r="K8" s="17" t="n">
        <v>2218568</v>
      </c>
      <c r="L8" s="17" t="n"/>
      <c r="M8" s="17" t="n"/>
      <c r="N8" s="17" t="n"/>
      <c r="O8" s="17" t="n"/>
      <c r="P8" s="71">
        <f>SUM(D8:O8)</f>
        <v/>
      </c>
    </row>
    <row r="9">
      <c r="A9" s="61" t="n">
        <v>2</v>
      </c>
      <c r="B9" s="10" t="inlineStr">
        <is>
          <t>Produksi batubara (coal getting / ROM)</t>
        </is>
      </c>
      <c r="C9" s="3" t="inlineStr">
        <is>
          <t>ton</t>
        </is>
      </c>
      <c r="D9" s="17" t="n">
        <v>193042</v>
      </c>
      <c r="E9" s="17" t="n">
        <v>212866</v>
      </c>
      <c r="F9" s="17" t="n">
        <v>209826</v>
      </c>
      <c r="G9" s="17" t="n">
        <v>255864</v>
      </c>
      <c r="H9" s="17" t="n">
        <v>237723</v>
      </c>
      <c r="I9" s="17" t="n">
        <v>239194</v>
      </c>
      <c r="J9" s="17" t="n">
        <v>274042</v>
      </c>
      <c r="K9" s="17" t="n">
        <v>283132</v>
      </c>
      <c r="L9" s="17" t="n"/>
      <c r="M9" s="17" t="n"/>
      <c r="N9" s="17" t="n"/>
      <c r="O9" s="17" t="n"/>
      <c r="P9" s="71">
        <f>SUM(D9:O9)</f>
        <v/>
      </c>
    </row>
    <row r="10">
      <c r="A10" s="61" t="n">
        <v>3</v>
      </c>
      <c r="B10" s="10" t="inlineStr">
        <is>
          <t>Stripping ratio</t>
        </is>
      </c>
      <c r="C10" s="3" t="inlineStr">
        <is>
          <t>bcm/t</t>
        </is>
      </c>
      <c r="D10" s="47">
        <f>IFERROR(D8/D9,0)</f>
        <v/>
      </c>
      <c r="E10" s="47">
        <f>IFERROR(E8/E9,0)</f>
        <v/>
      </c>
      <c r="F10" s="47">
        <f>IFERROR(F8/F9,0)</f>
        <v/>
      </c>
      <c r="G10" s="47">
        <f>IFERROR(G8/G9,0)</f>
        <v/>
      </c>
      <c r="H10" s="47">
        <f>IFERROR(H8/H9,0)</f>
        <v/>
      </c>
      <c r="I10" s="47">
        <f>IFERROR(I8/I9,0)</f>
        <v/>
      </c>
      <c r="J10" s="47">
        <f>IFERROR(J8/J9,0)</f>
        <v/>
      </c>
      <c r="K10" s="47">
        <f>IFERROR(K8/K9,0)</f>
        <v/>
      </c>
      <c r="L10" s="47">
        <f>IFERROR(L8/L9,0)</f>
        <v/>
      </c>
      <c r="M10" s="47">
        <f>IFERROR(M8/M9,0)</f>
        <v/>
      </c>
      <c r="N10" s="47">
        <f>IFERROR(N8/N9,0)</f>
        <v/>
      </c>
      <c r="O10" s="47">
        <f>IFERROR(O8/O9,0)</f>
        <v/>
      </c>
      <c r="P10" s="60">
        <f>IFERROR(P8/P9,0)</f>
        <v/>
      </c>
    </row>
    <row r="11">
      <c r="A11" s="61" t="n">
        <v>4</v>
      </c>
      <c r="B11" s="10" t="inlineStr">
        <is>
          <t>Hauling batubara ke pelabuhan</t>
        </is>
      </c>
      <c r="C11" s="3" t="inlineStr">
        <is>
          <t>ton</t>
        </is>
      </c>
      <c r="D11" s="17" t="n">
        <v>191111</v>
      </c>
      <c r="E11" s="17" t="n">
        <v>210737</v>
      </c>
      <c r="F11" s="17" t="n">
        <v>207728</v>
      </c>
      <c r="G11" s="17" t="n">
        <v>253305</v>
      </c>
      <c r="H11" s="17" t="n">
        <v>235345</v>
      </c>
      <c r="I11" s="17" t="n">
        <v>236803</v>
      </c>
      <c r="J11" s="17" t="n">
        <v>271302</v>
      </c>
      <c r="K11" s="17" t="n">
        <v>280301</v>
      </c>
      <c r="L11" s="17" t="n"/>
      <c r="M11" s="17" t="n"/>
      <c r="N11" s="17" t="n"/>
      <c r="O11" s="17" t="n"/>
      <c r="P11" s="71">
        <f>SUM(D11:O11)</f>
        <v/>
      </c>
    </row>
    <row r="12">
      <c r="A12" s="61" t="n">
        <v>5</v>
      </c>
      <c r="B12" s="10" t="inlineStr">
        <is>
          <t>Jarak hauling rata-rata</t>
        </is>
      </c>
      <c r="C12" s="3" t="inlineStr">
        <is>
          <t>km</t>
        </is>
      </c>
      <c r="D12" s="79" t="n">
        <v>30.77</v>
      </c>
      <c r="E12" s="79" t="n">
        <v>31.3</v>
      </c>
      <c r="F12" s="79" t="n">
        <v>31.44</v>
      </c>
      <c r="G12" s="79" t="n">
        <v>30.95</v>
      </c>
      <c r="H12" s="79" t="n">
        <v>30.31</v>
      </c>
      <c r="I12" s="79" t="n">
        <v>30.01</v>
      </c>
      <c r="J12" s="79" t="n">
        <v>30.02</v>
      </c>
      <c r="K12" s="79" t="n">
        <v>30.18</v>
      </c>
      <c r="L12" s="79" t="n"/>
      <c r="M12" s="79" t="n"/>
      <c r="N12" s="79" t="n"/>
      <c r="O12" s="79" t="n"/>
      <c r="P12" s="81">
        <f>IFERROR(SUMPRODUCT(D12:O12,D11:O11)/SUM(D11:O11),0)</f>
        <v/>
      </c>
    </row>
    <row r="13">
      <c r="A13" s="61" t="n">
        <v>6</v>
      </c>
      <c r="B13" s="10" t="inlineStr">
        <is>
          <t>Barging / pemuatan tongkang</t>
        </is>
      </c>
      <c r="C13" s="3" t="inlineStr">
        <is>
          <t>ton</t>
        </is>
      </c>
      <c r="D13" s="17" t="n">
        <v>191690</v>
      </c>
      <c r="E13" s="17" t="n">
        <v>206750</v>
      </c>
      <c r="F13" s="17" t="n">
        <v>207765</v>
      </c>
      <c r="G13" s="17" t="n">
        <v>245050</v>
      </c>
      <c r="H13" s="17" t="n">
        <v>233246</v>
      </c>
      <c r="I13" s="17" t="n">
        <v>228348</v>
      </c>
      <c r="J13" s="17" t="n">
        <v>261662</v>
      </c>
      <c r="K13" s="17" t="n">
        <v>269504</v>
      </c>
      <c r="L13" s="17" t="n"/>
      <c r="M13" s="17" t="n"/>
      <c r="N13" s="17" t="n"/>
      <c r="O13" s="17" t="n"/>
      <c r="P13" s="71">
        <f>SUM(D13:O13)</f>
        <v/>
      </c>
    </row>
    <row r="14">
      <c r="A14" s="61" t="n">
        <v>7</v>
      </c>
      <c r="B14" s="10" t="inlineStr">
        <is>
          <t>Stok batubara akhir bulan (ROM + pelabuhan)</t>
        </is>
      </c>
      <c r="C14" s="3" t="inlineStr">
        <is>
          <t>ton</t>
        </is>
      </c>
      <c r="D14" s="17" t="n">
        <v>181351</v>
      </c>
      <c r="E14" s="17" t="n">
        <v>187466</v>
      </c>
      <c r="F14" s="17" t="n">
        <v>189527</v>
      </c>
      <c r="G14" s="17" t="n">
        <v>200341</v>
      </c>
      <c r="H14" s="17" t="n">
        <v>204818</v>
      </c>
      <c r="I14" s="17" t="n">
        <v>215664</v>
      </c>
      <c r="J14" s="17" t="n">
        <v>228044</v>
      </c>
      <c r="K14" s="17" t="n">
        <v>241673</v>
      </c>
      <c r="L14" s="17" t="n"/>
      <c r="M14" s="17" t="n"/>
      <c r="N14" s="17" t="n"/>
      <c r="O14" s="17" t="n"/>
      <c r="P14" s="71">
        <f>IFERROR(INDEX(D14:O14,COUNT(D14:O14)),0)</f>
        <v/>
      </c>
    </row>
    <row r="15">
      <c r="A15" s="4" t="inlineStr">
        <is>
          <t>PENJUALAN &amp; HARGA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61" t="n">
        <v>8</v>
      </c>
      <c r="B16" s="10" t="inlineStr">
        <is>
          <t>Penjualan – Ekspor</t>
        </is>
      </c>
      <c r="C16" s="3" t="inlineStr">
        <is>
          <t>ton</t>
        </is>
      </c>
      <c r="D16" s="17" t="n">
        <v>106807</v>
      </c>
      <c r="E16" s="17" t="n">
        <v>125328</v>
      </c>
      <c r="F16" s="17" t="n">
        <v>127752</v>
      </c>
      <c r="G16" s="17" t="n">
        <v>140154</v>
      </c>
      <c r="H16" s="17" t="n">
        <v>135776</v>
      </c>
      <c r="I16" s="17" t="n">
        <v>132850</v>
      </c>
      <c r="J16" s="17" t="n">
        <v>144335</v>
      </c>
      <c r="K16" s="17" t="n">
        <v>158086</v>
      </c>
      <c r="L16" s="17" t="n"/>
      <c r="M16" s="17" t="n"/>
      <c r="N16" s="17" t="n"/>
      <c r="O16" s="17" t="n"/>
      <c r="P16" s="71">
        <f>SUM(D16:O16)</f>
        <v/>
      </c>
    </row>
    <row r="17">
      <c r="A17" s="61" t="n">
        <v>9</v>
      </c>
      <c r="B17" s="10" t="inlineStr">
        <is>
          <t>Penjualan – Domestik DMO</t>
        </is>
      </c>
      <c r="C17" s="3" t="inlineStr">
        <is>
          <t>ton</t>
        </is>
      </c>
      <c r="D17" s="17" t="n">
        <v>51552</v>
      </c>
      <c r="E17" s="17" t="n">
        <v>60923</v>
      </c>
      <c r="F17" s="17" t="n">
        <v>57010</v>
      </c>
      <c r="G17" s="17" t="n">
        <v>69428</v>
      </c>
      <c r="H17" s="17" t="n">
        <v>62821</v>
      </c>
      <c r="I17" s="17" t="n">
        <v>62389</v>
      </c>
      <c r="J17" s="17" t="n">
        <v>69320</v>
      </c>
      <c r="K17" s="17" t="n">
        <v>76506</v>
      </c>
      <c r="L17" s="17" t="n"/>
      <c r="M17" s="17" t="n"/>
      <c r="N17" s="17" t="n"/>
      <c r="O17" s="17" t="n"/>
      <c r="P17" s="71">
        <f>SUM(D17:O17)</f>
        <v/>
      </c>
    </row>
    <row r="18">
      <c r="A18" s="61" t="n">
        <v>10</v>
      </c>
      <c r="B18" s="10" t="inlineStr">
        <is>
          <t>Penjualan – Domestik non-DMO</t>
        </is>
      </c>
      <c r="C18" s="3" t="inlineStr">
        <is>
          <t>ton</t>
        </is>
      </c>
      <c r="D18" s="17" t="n">
        <v>33332</v>
      </c>
      <c r="E18" s="17" t="n">
        <v>20500</v>
      </c>
      <c r="F18" s="17" t="n">
        <v>23003</v>
      </c>
      <c r="G18" s="17" t="n">
        <v>35468</v>
      </c>
      <c r="H18" s="17" t="n">
        <v>34649</v>
      </c>
      <c r="I18" s="17" t="n">
        <v>33109</v>
      </c>
      <c r="J18" s="17" t="n">
        <v>48007</v>
      </c>
      <c r="K18" s="17" t="n">
        <v>34912</v>
      </c>
      <c r="L18" s="17" t="n"/>
      <c r="M18" s="17" t="n"/>
      <c r="N18" s="17" t="n"/>
      <c r="O18" s="17" t="n"/>
      <c r="P18" s="71">
        <f>SUM(D18:O18)</f>
        <v/>
      </c>
    </row>
    <row r="19">
      <c r="A19" s="61" t="n">
        <v>11</v>
      </c>
      <c r="B19" s="10" t="inlineStr">
        <is>
          <t>Total penjualan</t>
        </is>
      </c>
      <c r="C19" s="3" t="inlineStr">
        <is>
          <t>ton</t>
        </is>
      </c>
      <c r="D19" s="19">
        <f>D16+D17+D18</f>
        <v/>
      </c>
      <c r="E19" s="19">
        <f>E16+E17+E18</f>
        <v/>
      </c>
      <c r="F19" s="19">
        <f>F16+F17+F18</f>
        <v/>
      </c>
      <c r="G19" s="19">
        <f>G16+G17+G18</f>
        <v/>
      </c>
      <c r="H19" s="19">
        <f>H16+H17+H18</f>
        <v/>
      </c>
      <c r="I19" s="19">
        <f>I16+I17+I18</f>
        <v/>
      </c>
      <c r="J19" s="19">
        <f>J16+J17+J18</f>
        <v/>
      </c>
      <c r="K19" s="19">
        <f>K16+K17+K18</f>
        <v/>
      </c>
      <c r="L19" s="19">
        <f>L16+L17+L18</f>
        <v/>
      </c>
      <c r="M19" s="19">
        <f>M16+M17+M18</f>
        <v/>
      </c>
      <c r="N19" s="19">
        <f>N16+N17+N18</f>
        <v/>
      </c>
      <c r="O19" s="19">
        <f>O16+O17+O18</f>
        <v/>
      </c>
      <c r="P19" s="71">
        <f>P16+P17+P18</f>
        <v/>
      </c>
    </row>
    <row r="20">
      <c r="A20" s="61" t="n">
        <v>12</v>
      </c>
      <c r="B20" s="10" t="inlineStr">
        <is>
          <t>ASP – Ekspor</t>
        </is>
      </c>
      <c r="C20" s="3" t="inlineStr">
        <is>
          <t>USD/t</t>
        </is>
      </c>
      <c r="D20" s="18" t="n">
        <v>61.01</v>
      </c>
      <c r="E20" s="18" t="n">
        <v>62.54</v>
      </c>
      <c r="F20" s="18" t="n">
        <v>58.78</v>
      </c>
      <c r="G20" s="18" t="n">
        <v>61.95</v>
      </c>
      <c r="H20" s="18" t="n">
        <v>61.63</v>
      </c>
      <c r="I20" s="18" t="n">
        <v>60.7</v>
      </c>
      <c r="J20" s="18" t="n">
        <v>61.49</v>
      </c>
      <c r="K20" s="18" t="n">
        <v>63.09</v>
      </c>
      <c r="L20" s="18" t="n"/>
      <c r="M20" s="18" t="n"/>
      <c r="N20" s="18" t="n"/>
      <c r="O20" s="18" t="n"/>
      <c r="P20" s="60">
        <f>IFERROR(SUMPRODUCT(D20:O20,D16:O16)/SUM(D16:O16),0)</f>
        <v/>
      </c>
    </row>
    <row r="21">
      <c r="A21" s="61" t="n">
        <v>13</v>
      </c>
      <c r="B21" s="10" t="inlineStr">
        <is>
          <t>ASP – Domestik DMO</t>
        </is>
      </c>
      <c r="C21" s="3" t="inlineStr">
        <is>
          <t>USD/t</t>
        </is>
      </c>
      <c r="D21" s="18" t="n">
        <v>42</v>
      </c>
      <c r="E21" s="18" t="n">
        <v>42</v>
      </c>
      <c r="F21" s="18" t="n">
        <v>42</v>
      </c>
      <c r="G21" s="18" t="n">
        <v>42</v>
      </c>
      <c r="H21" s="18" t="n">
        <v>42</v>
      </c>
      <c r="I21" s="18" t="n">
        <v>42</v>
      </c>
      <c r="J21" s="18" t="n">
        <v>42</v>
      </c>
      <c r="K21" s="18" t="n">
        <v>42</v>
      </c>
      <c r="L21" s="18" t="n"/>
      <c r="M21" s="18" t="n"/>
      <c r="N21" s="18" t="n"/>
      <c r="O21" s="18" t="n"/>
      <c r="P21" s="60">
        <f>IFERROR(SUMPRODUCT(D21:O21,D17:O17)/SUM(D17:O17),0)</f>
        <v/>
      </c>
    </row>
    <row r="22">
      <c r="A22" s="61" t="n">
        <v>14</v>
      </c>
      <c r="B22" s="10" t="inlineStr">
        <is>
          <t>ASP – Domestik non-DMO</t>
        </is>
      </c>
      <c r="C22" s="3" t="inlineStr">
        <is>
          <t>USD/t</t>
        </is>
      </c>
      <c r="D22" s="18" t="n">
        <v>49.45</v>
      </c>
      <c r="E22" s="18" t="n">
        <v>48.89</v>
      </c>
      <c r="F22" s="18" t="n">
        <v>49.92</v>
      </c>
      <c r="G22" s="18" t="n">
        <v>50.82</v>
      </c>
      <c r="H22" s="18" t="n">
        <v>49.42</v>
      </c>
      <c r="I22" s="18" t="n">
        <v>50.42</v>
      </c>
      <c r="J22" s="18" t="n">
        <v>49.52</v>
      </c>
      <c r="K22" s="18" t="n">
        <v>48.56</v>
      </c>
      <c r="L22" s="18" t="n"/>
      <c r="M22" s="18" t="n"/>
      <c r="N22" s="18" t="n"/>
      <c r="O22" s="18" t="n"/>
      <c r="P22" s="60">
        <f>IFERROR(SUMPRODUCT(D22:O22,D18:O18)/SUM(D18:O18),0)</f>
        <v/>
      </c>
    </row>
    <row r="23">
      <c r="A23" s="61" t="n">
        <v>15</v>
      </c>
      <c r="B23" s="10" t="inlineStr">
        <is>
          <t>Harga indeks acuan (HBA/ICI setara CV)</t>
        </is>
      </c>
      <c r="C23" s="3" t="inlineStr">
        <is>
          <t>USD/t</t>
        </is>
      </c>
      <c r="D23" s="18" t="n">
        <v>67.12</v>
      </c>
      <c r="E23" s="18" t="n">
        <v>66.09999999999999</v>
      </c>
      <c r="F23" s="18" t="n">
        <v>65.87</v>
      </c>
      <c r="G23" s="18" t="n">
        <v>65.97</v>
      </c>
      <c r="H23" s="18" t="n">
        <v>64.16</v>
      </c>
      <c r="I23" s="18" t="n">
        <v>67.37</v>
      </c>
      <c r="J23" s="18" t="n">
        <v>67.73</v>
      </c>
      <c r="K23" s="18" t="n">
        <v>65.7</v>
      </c>
      <c r="L23" s="18" t="n"/>
      <c r="M23" s="18" t="n"/>
      <c r="N23" s="18" t="n"/>
      <c r="O23" s="18" t="n"/>
      <c r="P23" s="60">
        <f>IFERROR(AVERAGE(D23:O23),0)</f>
        <v/>
      </c>
    </row>
    <row r="24">
      <c r="A24" s="61" t="n">
        <v>16</v>
      </c>
      <c r="B24" s="10" t="inlineStr">
        <is>
          <t>Nilai kalori realisasi</t>
        </is>
      </c>
      <c r="C24" s="3" t="inlineStr">
        <is>
          <t>kcal/kg GAR</t>
        </is>
      </c>
      <c r="D24" s="17" t="n">
        <v>4288</v>
      </c>
      <c r="E24" s="17" t="n">
        <v>4318</v>
      </c>
      <c r="F24" s="17" t="n">
        <v>4241</v>
      </c>
      <c r="G24" s="17" t="n">
        <v>4211</v>
      </c>
      <c r="H24" s="17" t="n">
        <v>4271</v>
      </c>
      <c r="I24" s="17" t="n">
        <v>4299</v>
      </c>
      <c r="J24" s="17" t="n">
        <v>4265</v>
      </c>
      <c r="K24" s="17" t="n">
        <v>4233</v>
      </c>
      <c r="L24" s="17" t="n"/>
      <c r="M24" s="17" t="n"/>
      <c r="N24" s="17" t="n"/>
      <c r="O24" s="17" t="n"/>
      <c r="P24" s="71">
        <f>IFERROR(SUMPRODUCT(D24:O24,D19:O19)/SUM(D19:O19),0)</f>
        <v/>
      </c>
    </row>
    <row r="25">
      <c r="A25" s="61" t="n">
        <v>17</v>
      </c>
      <c r="B25" s="10" t="inlineStr">
        <is>
          <t>Kurs rata-rata</t>
        </is>
      </c>
      <c r="C25" s="3" t="inlineStr">
        <is>
          <t>Rp/USD</t>
        </is>
      </c>
      <c r="D25" s="17" t="n">
        <v>16492</v>
      </c>
      <c r="E25" s="17" t="n">
        <v>16596</v>
      </c>
      <c r="F25" s="17" t="n">
        <v>16568</v>
      </c>
      <c r="G25" s="17" t="n">
        <v>16552</v>
      </c>
      <c r="H25" s="17" t="n">
        <v>16527</v>
      </c>
      <c r="I25" s="17" t="n">
        <v>16364</v>
      </c>
      <c r="J25" s="17" t="n">
        <v>16423</v>
      </c>
      <c r="K25" s="17" t="n">
        <v>16344</v>
      </c>
      <c r="L25" s="17" t="n"/>
      <c r="M25" s="17" t="n"/>
      <c r="N25" s="17" t="n"/>
      <c r="O25" s="17" t="n"/>
      <c r="P25" s="71">
        <f>IFERROR(AVERAGE(D25:O25),0)</f>
        <v/>
      </c>
    </row>
    <row r="26">
      <c r="A26" s="4" t="inlineStr">
        <is>
          <t>SARANA, BBM &amp; CUACA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61" t="n">
        <v>18</v>
      </c>
      <c r="B27" s="10" t="inlineStr">
        <is>
          <t>Konsumsi BBM</t>
        </is>
      </c>
      <c r="C27" s="3" t="inlineStr">
        <is>
          <t>liter</t>
        </is>
      </c>
      <c r="D27" s="17" t="n">
        <v>1556554</v>
      </c>
      <c r="E27" s="17" t="n">
        <v>1705028</v>
      </c>
      <c r="F27" s="17" t="n">
        <v>1720551</v>
      </c>
      <c r="G27" s="17" t="n">
        <v>2009854</v>
      </c>
      <c r="H27" s="17" t="n">
        <v>1859947</v>
      </c>
      <c r="I27" s="17" t="n">
        <v>1792301</v>
      </c>
      <c r="J27" s="17" t="n">
        <v>2199970</v>
      </c>
      <c r="K27" s="17" t="n">
        <v>2168910</v>
      </c>
      <c r="L27" s="17" t="n"/>
      <c r="M27" s="17" t="n"/>
      <c r="N27" s="17" t="n"/>
      <c r="O27" s="17" t="n"/>
      <c r="P27" s="71">
        <f>SUM(D27:O27)</f>
        <v/>
      </c>
    </row>
    <row r="28">
      <c r="A28" s="61" t="n">
        <v>19</v>
      </c>
      <c r="B28" s="10" t="inlineStr">
        <is>
          <t>Fuel ratio</t>
        </is>
      </c>
      <c r="C28" s="3" t="inlineStr">
        <is>
          <t>L/bcm</t>
        </is>
      </c>
      <c r="D28" s="47">
        <f>IFERROR(D27/D8,0)</f>
        <v/>
      </c>
      <c r="E28" s="47">
        <f>IFERROR(E27/E8,0)</f>
        <v/>
      </c>
      <c r="F28" s="47">
        <f>IFERROR(F27/F8,0)</f>
        <v/>
      </c>
      <c r="G28" s="47">
        <f>IFERROR(G27/G8,0)</f>
        <v/>
      </c>
      <c r="H28" s="47">
        <f>IFERROR(H27/H8,0)</f>
        <v/>
      </c>
      <c r="I28" s="47">
        <f>IFERROR(I27/I8,0)</f>
        <v/>
      </c>
      <c r="J28" s="47">
        <f>IFERROR(J27/J8,0)</f>
        <v/>
      </c>
      <c r="K28" s="47">
        <f>IFERROR(K27/K8,0)</f>
        <v/>
      </c>
      <c r="L28" s="47">
        <f>IFERROR(L27/L8,0)</f>
        <v/>
      </c>
      <c r="M28" s="47">
        <f>IFERROR(M27/M8,0)</f>
        <v/>
      </c>
      <c r="N28" s="47">
        <f>IFERROR(N27/N8,0)</f>
        <v/>
      </c>
      <c r="O28" s="47">
        <f>IFERROR(O27/O8,0)</f>
        <v/>
      </c>
      <c r="P28" s="60">
        <f>IFERROR(P27/P8,0)</f>
        <v/>
      </c>
    </row>
    <row r="29">
      <c r="A29" s="61" t="n">
        <v>20</v>
      </c>
      <c r="B29" s="10" t="inlineStr">
        <is>
          <t>Jam hujan + slippery</t>
        </is>
      </c>
      <c r="C29" s="3" t="inlineStr">
        <is>
          <t>jam</t>
        </is>
      </c>
      <c r="D29" s="17" t="n">
        <v>216</v>
      </c>
      <c r="E29" s="17" t="n">
        <v>188</v>
      </c>
      <c r="F29" s="17" t="n">
        <v>186</v>
      </c>
      <c r="G29" s="17" t="n">
        <v>136</v>
      </c>
      <c r="H29" s="17" t="n">
        <v>127</v>
      </c>
      <c r="I29" s="17" t="n">
        <v>83</v>
      </c>
      <c r="J29" s="17" t="n">
        <v>70</v>
      </c>
      <c r="K29" s="17" t="n">
        <v>73</v>
      </c>
      <c r="L29" s="17" t="n"/>
      <c r="M29" s="17" t="n"/>
      <c r="N29" s="17" t="n"/>
      <c r="O29" s="17" t="n"/>
      <c r="P29" s="71">
        <f>SUM(D29:O29)</f>
        <v/>
      </c>
    </row>
    <row r="30">
      <c r="A30" s="61" t="n">
        <v>21</v>
      </c>
      <c r="B30" s="10" t="inlineStr">
        <is>
          <t>Physical availability (PA) armada utama</t>
        </is>
      </c>
      <c r="C30" s="3" t="inlineStr">
        <is>
          <t>%</t>
        </is>
      </c>
      <c r="D30" s="25" t="n">
        <v>0.867</v>
      </c>
      <c r="E30" s="25" t="n">
        <v>0.884</v>
      </c>
      <c r="F30" s="25" t="n">
        <v>0.823</v>
      </c>
      <c r="G30" s="25" t="n">
        <v>0.897</v>
      </c>
      <c r="H30" s="25" t="n">
        <v>0.824</v>
      </c>
      <c r="I30" s="25" t="n">
        <v>0.875</v>
      </c>
      <c r="J30" s="25" t="n">
        <v>0.869</v>
      </c>
      <c r="K30" s="25" t="n">
        <v>0.873</v>
      </c>
      <c r="L30" s="25" t="n"/>
      <c r="M30" s="25" t="n"/>
      <c r="N30" s="25" t="n"/>
      <c r="O30" s="25" t="n"/>
      <c r="P30" s="66">
        <f>IFERROR(AVERAGE(D30:O30),0)</f>
        <v/>
      </c>
    </row>
    <row r="31">
      <c r="A31" s="61" t="n">
        <v>22</v>
      </c>
      <c r="B31" s="10" t="inlineStr">
        <is>
          <t>Use of availability (UA) armada utama</t>
        </is>
      </c>
      <c r="C31" s="3" t="inlineStr">
        <is>
          <t>%</t>
        </is>
      </c>
      <c r="D31" s="25" t="n">
        <v>0.704</v>
      </c>
      <c r="E31" s="25" t="n">
        <v>0.738</v>
      </c>
      <c r="F31" s="25" t="n">
        <v>0.709</v>
      </c>
      <c r="G31" s="25" t="n">
        <v>0.768</v>
      </c>
      <c r="H31" s="25" t="n">
        <v>0.767</v>
      </c>
      <c r="I31" s="25" t="n">
        <v>0.759</v>
      </c>
      <c r="J31" s="25" t="n">
        <v>0.772</v>
      </c>
      <c r="K31" s="25" t="n">
        <v>0.757</v>
      </c>
      <c r="L31" s="25" t="n"/>
      <c r="M31" s="25" t="n"/>
      <c r="N31" s="25" t="n"/>
      <c r="O31" s="25" t="n"/>
      <c r="P31" s="66">
        <f>IFERROR(AVERAGE(D31:O31),0)</f>
        <v/>
      </c>
    </row>
    <row r="32">
      <c r="A32" s="4" t="inlineStr">
        <is>
          <t>SDM, K3 &amp; LINGKUNGAN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A33" s="61" t="n">
        <v>23</v>
      </c>
      <c r="B33" s="10" t="inlineStr">
        <is>
          <t>Jumlah tenaga kerja (organik + kontraktor)</t>
        </is>
      </c>
      <c r="C33" s="3" t="inlineStr">
        <is>
          <t>orang</t>
        </is>
      </c>
      <c r="D33" s="17" t="n">
        <v>1469</v>
      </c>
      <c r="E33" s="17" t="n">
        <v>1438</v>
      </c>
      <c r="F33" s="17" t="n">
        <v>1459</v>
      </c>
      <c r="G33" s="17" t="n">
        <v>1462</v>
      </c>
      <c r="H33" s="17" t="n">
        <v>1442</v>
      </c>
      <c r="I33" s="17" t="n">
        <v>1443</v>
      </c>
      <c r="J33" s="17" t="n">
        <v>1450</v>
      </c>
      <c r="K33" s="17" t="n">
        <v>1441</v>
      </c>
      <c r="L33" s="17" t="n"/>
      <c r="M33" s="17" t="n"/>
      <c r="N33" s="17" t="n"/>
      <c r="O33" s="17" t="n"/>
      <c r="P33" s="71">
        <f>IFERROR(INDEX(D33:O33,COUNT(D33:O33)),0)</f>
        <v/>
      </c>
    </row>
    <row r="34">
      <c r="A34" s="61" t="n">
        <v>24</v>
      </c>
      <c r="B34" s="10" t="inlineStr">
        <is>
          <t>Jam kerja orang (man-hours)</t>
        </is>
      </c>
      <c r="C34" s="3" t="inlineStr">
        <is>
          <t>jam</t>
        </is>
      </c>
      <c r="D34" s="17" t="n">
        <v>351776</v>
      </c>
      <c r="E34" s="17" t="n">
        <v>367999</v>
      </c>
      <c r="F34" s="17" t="n">
        <v>370170</v>
      </c>
      <c r="G34" s="17" t="n">
        <v>356395</v>
      </c>
      <c r="H34" s="17" t="n">
        <v>360644</v>
      </c>
      <c r="I34" s="17" t="n">
        <v>352413</v>
      </c>
      <c r="J34" s="17" t="n">
        <v>363371</v>
      </c>
      <c r="K34" s="17" t="n">
        <v>361944</v>
      </c>
      <c r="L34" s="17" t="n"/>
      <c r="M34" s="17" t="n"/>
      <c r="N34" s="17" t="n"/>
      <c r="O34" s="17" t="n"/>
      <c r="P34" s="71">
        <f>SUM(D34:O34)</f>
        <v/>
      </c>
    </row>
    <row r="35">
      <c r="A35" s="61" t="n">
        <v>25</v>
      </c>
      <c r="B35" s="10" t="inlineStr">
        <is>
          <t>Kecelakaan hilang waktu kerja (LTI)</t>
        </is>
      </c>
      <c r="C35" s="3" t="inlineStr">
        <is>
          <t>kasus</t>
        </is>
      </c>
      <c r="D35" s="17" t="n">
        <v>0</v>
      </c>
      <c r="E35" s="17" t="n">
        <v>0</v>
      </c>
      <c r="F35" s="17" t="n">
        <v>1</v>
      </c>
      <c r="G35" s="17" t="n">
        <v>0</v>
      </c>
      <c r="H35" s="17" t="n">
        <v>0</v>
      </c>
      <c r="I35" s="17" t="n">
        <v>1</v>
      </c>
      <c r="J35" s="17" t="n">
        <v>0</v>
      </c>
      <c r="K35" s="17" t="n">
        <v>0</v>
      </c>
      <c r="L35" s="17" t="n"/>
      <c r="M35" s="17" t="n"/>
      <c r="N35" s="17" t="n"/>
      <c r="O35" s="17" t="n"/>
      <c r="P35" s="71">
        <f>SUM(D35:O35)</f>
        <v/>
      </c>
    </row>
    <row r="36">
      <c r="A36" s="61" t="n">
        <v>26</v>
      </c>
      <c r="B36" s="10" t="inlineStr">
        <is>
          <t>LTIFR</t>
        </is>
      </c>
      <c r="C36" s="3" t="inlineStr">
        <is>
          <t>per 1 juta jam</t>
        </is>
      </c>
      <c r="D36" s="47">
        <f>IFERROR(D35*1000000/D34,0)</f>
        <v/>
      </c>
      <c r="E36" s="47">
        <f>IFERROR(E35*1000000/E34,0)</f>
        <v/>
      </c>
      <c r="F36" s="47">
        <f>IFERROR(F35*1000000/F34,0)</f>
        <v/>
      </c>
      <c r="G36" s="47">
        <f>IFERROR(G35*1000000/G34,0)</f>
        <v/>
      </c>
      <c r="H36" s="47">
        <f>IFERROR(H35*1000000/H34,0)</f>
        <v/>
      </c>
      <c r="I36" s="47">
        <f>IFERROR(I35*1000000/I34,0)</f>
        <v/>
      </c>
      <c r="J36" s="47">
        <f>IFERROR(J35*1000000/J34,0)</f>
        <v/>
      </c>
      <c r="K36" s="47">
        <f>IFERROR(K35*1000000/K34,0)</f>
        <v/>
      </c>
      <c r="L36" s="47">
        <f>IFERROR(L35*1000000/L34,0)</f>
        <v/>
      </c>
      <c r="M36" s="47">
        <f>IFERROR(M35*1000000/M34,0)</f>
        <v/>
      </c>
      <c r="N36" s="47">
        <f>IFERROR(N35*1000000/N34,0)</f>
        <v/>
      </c>
      <c r="O36" s="47">
        <f>IFERROR(O35*1000000/O34,0)</f>
        <v/>
      </c>
      <c r="P36" s="60">
        <f>IFERROR(P35*1000000/P34,0)</f>
        <v/>
      </c>
    </row>
    <row r="37">
      <c r="A37" s="61" t="n">
        <v>27</v>
      </c>
      <c r="B37" s="10" t="inlineStr">
        <is>
          <t>Bukaan lahan</t>
        </is>
      </c>
      <c r="C37" s="3" t="inlineStr">
        <is>
          <t>ha</t>
        </is>
      </c>
      <c r="D37" s="79" t="n">
        <v>12</v>
      </c>
      <c r="E37" s="79" t="n">
        <v>12</v>
      </c>
      <c r="F37" s="79" t="n">
        <v>12</v>
      </c>
      <c r="G37" s="79" t="n">
        <v>12</v>
      </c>
      <c r="H37" s="79" t="n">
        <v>12</v>
      </c>
      <c r="I37" s="79" t="n">
        <v>12</v>
      </c>
      <c r="J37" s="79" t="n">
        <v>12</v>
      </c>
      <c r="K37" s="79" t="n">
        <v>12</v>
      </c>
      <c r="L37" s="79" t="n"/>
      <c r="M37" s="79" t="n"/>
      <c r="N37" s="79" t="n"/>
      <c r="O37" s="79" t="n"/>
      <c r="P37" s="81">
        <f>SUM(D37:O37)</f>
        <v/>
      </c>
    </row>
    <row r="38">
      <c r="A38" s="61" t="n">
        <v>28</v>
      </c>
      <c r="B38" s="10" t="inlineStr">
        <is>
          <t>Reklamasi &amp; revegetasi</t>
        </is>
      </c>
      <c r="C38" s="3" t="inlineStr">
        <is>
          <t>ha</t>
        </is>
      </c>
      <c r="D38" s="79" t="n">
        <v>5.1</v>
      </c>
      <c r="E38" s="79" t="n">
        <v>7.9</v>
      </c>
      <c r="F38" s="79" t="n">
        <v>4.4</v>
      </c>
      <c r="G38" s="79" t="n">
        <v>5.7</v>
      </c>
      <c r="H38" s="79" t="n">
        <v>6.7</v>
      </c>
      <c r="I38" s="79" t="n">
        <v>6.9</v>
      </c>
      <c r="J38" s="79" t="n">
        <v>6.4</v>
      </c>
      <c r="K38" s="79" t="n">
        <v>6.6</v>
      </c>
      <c r="L38" s="79" t="n"/>
      <c r="M38" s="79" t="n"/>
      <c r="N38" s="79" t="n"/>
      <c r="O38" s="79" t="n"/>
      <c r="P38" s="81">
        <f>SUM(D38:O38)</f>
        <v/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P87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</cols>
  <sheetData>
    <row r="1">
      <c r="A1" s="1" t="inlineStr">
        <is>
          <t>GEG – Laba Rugi BUDGET / RKAP Bulanan (Rp juta)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OTOMATIS dari sheet C19 GL Trial Balance (SUMIFS per kode akun MIS) – tidak perlu input di sini. Beban positif; penalti &amp; beban keuangan negatif.</t>
        </is>
      </c>
    </row>
    <row r="3"/>
    <row r="4"/>
    <row r="5">
      <c r="D5" s="80" t="n">
        <v>1</v>
      </c>
      <c r="E5" s="80" t="n">
        <v>2</v>
      </c>
      <c r="F5" s="80" t="n">
        <v>3</v>
      </c>
      <c r="G5" s="80" t="n">
        <v>4</v>
      </c>
      <c r="H5" s="80" t="n">
        <v>5</v>
      </c>
      <c r="I5" s="80" t="n">
        <v>6</v>
      </c>
      <c r="J5" s="80" t="n">
        <v>7</v>
      </c>
      <c r="K5" s="80" t="n">
        <v>8</v>
      </c>
      <c r="L5" s="80" t="n">
        <v>9</v>
      </c>
      <c r="M5" s="80" t="n">
        <v>10</v>
      </c>
      <c r="N5" s="80" t="n">
        <v>11</v>
      </c>
      <c r="O5" s="80" t="n">
        <v>12</v>
      </c>
    </row>
    <row r="6">
      <c r="A6" s="16" t="inlineStr">
        <is>
          <t>Kode akun</t>
        </is>
      </c>
      <c r="B6" s="16" t="inlineStr">
        <is>
          <t>Uraian</t>
        </is>
      </c>
      <c r="C6" s="16" t="inlineStr">
        <is>
          <t>Catatan</t>
        </is>
      </c>
      <c r="D6" s="16" t="inlineStr">
        <is>
          <t>Jan</t>
        </is>
      </c>
      <c r="E6" s="16" t="inlineStr">
        <is>
          <t>Feb</t>
        </is>
      </c>
      <c r="F6" s="16" t="inlineStr">
        <is>
          <t>Mar</t>
        </is>
      </c>
      <c r="G6" s="16" t="inlineStr">
        <is>
          <t>Apr</t>
        </is>
      </c>
      <c r="H6" s="16" t="inlineStr">
        <is>
          <t>Mei</t>
        </is>
      </c>
      <c r="I6" s="16" t="inlineStr">
        <is>
          <t>Jun</t>
        </is>
      </c>
      <c r="J6" s="16" t="inlineStr">
        <is>
          <t>Jul</t>
        </is>
      </c>
      <c r="K6" s="16" t="inlineStr">
        <is>
          <t>Agu</t>
        </is>
      </c>
      <c r="L6" s="16" t="inlineStr">
        <is>
          <t>Sep</t>
        </is>
      </c>
      <c r="M6" s="16" t="inlineStr">
        <is>
          <t>Okt</t>
        </is>
      </c>
      <c r="N6" s="16" t="inlineStr">
        <is>
          <t>Nov</t>
        </is>
      </c>
      <c r="O6" s="16" t="inlineStr">
        <is>
          <t>Des</t>
        </is>
      </c>
      <c r="P6" s="16" t="inlineStr">
        <is>
          <t>FY / YTD</t>
        </is>
      </c>
    </row>
    <row r="7">
      <c r="A7" s="4" t="inlineStr">
        <is>
          <t>PENDAPATAN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45" t="inlineStr">
        <is>
          <t>4101</t>
        </is>
      </c>
      <c r="B8" s="10" t="inlineStr">
        <is>
          <t xml:space="preserve">   Penjualan batubara – Ekspor</t>
        </is>
      </c>
      <c r="D8" s="28">
        <f>SUMIFS('C19 GEG GL Trial Balance'!$S$10:$S$400,'C19 GEG GL Trial Balance'!$A$10:$A$400,$A8,'C19 GEG GL Trial Balance'!$D$10:$D$400,"Posting")</f>
        <v/>
      </c>
      <c r="E8" s="28">
        <f>SUMIFS('C19 GEG GL Trial Balance'!$T$10:$T$400,'C19 GEG GL Trial Balance'!$A$10:$A$400,$A8,'C19 GEG GL Trial Balance'!$D$10:$D$400,"Posting")</f>
        <v/>
      </c>
      <c r="F8" s="28">
        <f>SUMIFS('C19 GEG GL Trial Balance'!$U$10:$U$400,'C19 GEG GL Trial Balance'!$A$10:$A$400,$A8,'C19 GEG GL Trial Balance'!$D$10:$D$400,"Posting")</f>
        <v/>
      </c>
      <c r="G8" s="28">
        <f>SUMIFS('C19 GEG GL Trial Balance'!$V$10:$V$400,'C19 GEG GL Trial Balance'!$A$10:$A$400,$A8,'C19 GEG GL Trial Balance'!$D$10:$D$400,"Posting")</f>
        <v/>
      </c>
      <c r="H8" s="28">
        <f>SUMIFS('C19 GEG GL Trial Balance'!$W$10:$W$400,'C19 GEG GL Trial Balance'!$A$10:$A$400,$A8,'C19 GEG GL Trial Balance'!$D$10:$D$400,"Posting")</f>
        <v/>
      </c>
      <c r="I8" s="28">
        <f>SUMIFS('C19 GEG GL Trial Balance'!$X$10:$X$400,'C19 GEG GL Trial Balance'!$A$10:$A$400,$A8,'C19 GEG GL Trial Balance'!$D$10:$D$400,"Posting")</f>
        <v/>
      </c>
      <c r="J8" s="28">
        <f>SUMIFS('C19 GEG GL Trial Balance'!$Y$10:$Y$400,'C19 GEG GL Trial Balance'!$A$10:$A$400,$A8,'C19 GEG GL Trial Balance'!$D$10:$D$400,"Posting")</f>
        <v/>
      </c>
      <c r="K8" s="28">
        <f>SUMIFS('C19 GEG GL Trial Balance'!$Z$10:$Z$400,'C19 GEG GL Trial Balance'!$A$10:$A$400,$A8,'C19 GEG GL Trial Balance'!$D$10:$D$400,"Posting")</f>
        <v/>
      </c>
      <c r="L8" s="28">
        <f>SUMIFS('C19 GEG GL Trial Balance'!$AA$10:$AA$400,'C19 GEG GL Trial Balance'!$A$10:$A$400,$A8,'C19 GEG GL Trial Balance'!$D$10:$D$400,"Posting")</f>
        <v/>
      </c>
      <c r="M8" s="28">
        <f>SUMIFS('C19 GEG GL Trial Balance'!$AB$10:$AB$400,'C19 GEG GL Trial Balance'!$A$10:$A$400,$A8,'C19 GEG GL Trial Balance'!$D$10:$D$400,"Posting")</f>
        <v/>
      </c>
      <c r="N8" s="28">
        <f>SUMIFS('C19 GEG GL Trial Balance'!$AC$10:$AC$400,'C19 GEG GL Trial Balance'!$A$10:$A$400,$A8,'C19 GEG GL Trial Balance'!$D$10:$D$400,"Posting")</f>
        <v/>
      </c>
      <c r="O8" s="28">
        <f>SUMIFS('C19 GEG GL Trial Balance'!$AD$10:$AD$400,'C19 GEG GL Trial Balance'!$A$10:$A$400,$A8,'C19 GEG GL Trial Balance'!$D$10:$D$400,"Posting")</f>
        <v/>
      </c>
      <c r="P8" s="71">
        <f>SUM(D8:O8)</f>
        <v/>
      </c>
    </row>
    <row r="9">
      <c r="A9" s="45" t="inlineStr">
        <is>
          <t>4102</t>
        </is>
      </c>
      <c r="B9" s="10" t="inlineStr">
        <is>
          <t xml:space="preserve">   Penjualan batubara – Domestik DMO</t>
        </is>
      </c>
      <c r="D9" s="28">
        <f>SUMIFS('C19 GEG GL Trial Balance'!$S$10:$S$400,'C19 GEG GL Trial Balance'!$A$10:$A$400,$A9,'C19 GEG GL Trial Balance'!$D$10:$D$400,"Posting")</f>
        <v/>
      </c>
      <c r="E9" s="28">
        <f>SUMIFS('C19 GEG GL Trial Balance'!$T$10:$T$400,'C19 GEG GL Trial Balance'!$A$10:$A$400,$A9,'C19 GEG GL Trial Balance'!$D$10:$D$400,"Posting")</f>
        <v/>
      </c>
      <c r="F9" s="28">
        <f>SUMIFS('C19 GEG GL Trial Balance'!$U$10:$U$400,'C19 GEG GL Trial Balance'!$A$10:$A$400,$A9,'C19 GEG GL Trial Balance'!$D$10:$D$400,"Posting")</f>
        <v/>
      </c>
      <c r="G9" s="28">
        <f>SUMIFS('C19 GEG GL Trial Balance'!$V$10:$V$400,'C19 GEG GL Trial Balance'!$A$10:$A$400,$A9,'C19 GEG GL Trial Balance'!$D$10:$D$400,"Posting")</f>
        <v/>
      </c>
      <c r="H9" s="28">
        <f>SUMIFS('C19 GEG GL Trial Balance'!$W$10:$W$400,'C19 GEG GL Trial Balance'!$A$10:$A$400,$A9,'C19 GEG GL Trial Balance'!$D$10:$D$400,"Posting")</f>
        <v/>
      </c>
      <c r="I9" s="28">
        <f>SUMIFS('C19 GEG GL Trial Balance'!$X$10:$X$400,'C19 GEG GL Trial Balance'!$A$10:$A$400,$A9,'C19 GEG GL Trial Balance'!$D$10:$D$400,"Posting")</f>
        <v/>
      </c>
      <c r="J9" s="28">
        <f>SUMIFS('C19 GEG GL Trial Balance'!$Y$10:$Y$400,'C19 GEG GL Trial Balance'!$A$10:$A$400,$A9,'C19 GEG GL Trial Balance'!$D$10:$D$400,"Posting")</f>
        <v/>
      </c>
      <c r="K9" s="28">
        <f>SUMIFS('C19 GEG GL Trial Balance'!$Z$10:$Z$400,'C19 GEG GL Trial Balance'!$A$10:$A$400,$A9,'C19 GEG GL Trial Balance'!$D$10:$D$400,"Posting")</f>
        <v/>
      </c>
      <c r="L9" s="28">
        <f>SUMIFS('C19 GEG GL Trial Balance'!$AA$10:$AA$400,'C19 GEG GL Trial Balance'!$A$10:$A$400,$A9,'C19 GEG GL Trial Balance'!$D$10:$D$400,"Posting")</f>
        <v/>
      </c>
      <c r="M9" s="28">
        <f>SUMIFS('C19 GEG GL Trial Balance'!$AB$10:$AB$400,'C19 GEG GL Trial Balance'!$A$10:$A$400,$A9,'C19 GEG GL Trial Balance'!$D$10:$D$400,"Posting")</f>
        <v/>
      </c>
      <c r="N9" s="28">
        <f>SUMIFS('C19 GEG GL Trial Balance'!$AC$10:$AC$400,'C19 GEG GL Trial Balance'!$A$10:$A$400,$A9,'C19 GEG GL Trial Balance'!$D$10:$D$400,"Posting")</f>
        <v/>
      </c>
      <c r="O9" s="28">
        <f>SUMIFS('C19 GEG GL Trial Balance'!$AD$10:$AD$400,'C19 GEG GL Trial Balance'!$A$10:$A$400,$A9,'C19 GEG GL Trial Balance'!$D$10:$D$400,"Posting")</f>
        <v/>
      </c>
      <c r="P9" s="71">
        <f>SUM(D9:O9)</f>
        <v/>
      </c>
    </row>
    <row r="10">
      <c r="A10" s="45" t="inlineStr">
        <is>
          <t>4103</t>
        </is>
      </c>
      <c r="B10" s="10" t="inlineStr">
        <is>
          <t xml:space="preserve">   Penjualan batubara – Domestik non-DMO</t>
        </is>
      </c>
      <c r="D10" s="28">
        <f>SUMIFS('C19 GEG GL Trial Balance'!$S$10:$S$400,'C19 GEG GL Trial Balance'!$A$10:$A$400,$A10,'C19 GEG GL Trial Balance'!$D$10:$D$400,"Posting")</f>
        <v/>
      </c>
      <c r="E10" s="28">
        <f>SUMIFS('C19 GEG GL Trial Balance'!$T$10:$T$400,'C19 GEG GL Trial Balance'!$A$10:$A$400,$A10,'C19 GEG GL Trial Balance'!$D$10:$D$400,"Posting")</f>
        <v/>
      </c>
      <c r="F10" s="28">
        <f>SUMIFS('C19 GEG GL Trial Balance'!$U$10:$U$400,'C19 GEG GL Trial Balance'!$A$10:$A$400,$A10,'C19 GEG GL Trial Balance'!$D$10:$D$400,"Posting")</f>
        <v/>
      </c>
      <c r="G10" s="28">
        <f>SUMIFS('C19 GEG GL Trial Balance'!$V$10:$V$400,'C19 GEG GL Trial Balance'!$A$10:$A$400,$A10,'C19 GEG GL Trial Balance'!$D$10:$D$400,"Posting")</f>
        <v/>
      </c>
      <c r="H10" s="28">
        <f>SUMIFS('C19 GEG GL Trial Balance'!$W$10:$W$400,'C19 GEG GL Trial Balance'!$A$10:$A$400,$A10,'C19 GEG GL Trial Balance'!$D$10:$D$400,"Posting")</f>
        <v/>
      </c>
      <c r="I10" s="28">
        <f>SUMIFS('C19 GEG GL Trial Balance'!$X$10:$X$400,'C19 GEG GL Trial Balance'!$A$10:$A$400,$A10,'C19 GEG GL Trial Balance'!$D$10:$D$400,"Posting")</f>
        <v/>
      </c>
      <c r="J10" s="28">
        <f>SUMIFS('C19 GEG GL Trial Balance'!$Y$10:$Y$400,'C19 GEG GL Trial Balance'!$A$10:$A$400,$A10,'C19 GEG GL Trial Balance'!$D$10:$D$400,"Posting")</f>
        <v/>
      </c>
      <c r="K10" s="28">
        <f>SUMIFS('C19 GEG GL Trial Balance'!$Z$10:$Z$400,'C19 GEG GL Trial Balance'!$A$10:$A$400,$A10,'C19 GEG GL Trial Balance'!$D$10:$D$400,"Posting")</f>
        <v/>
      </c>
      <c r="L10" s="28">
        <f>SUMIFS('C19 GEG GL Trial Balance'!$AA$10:$AA$400,'C19 GEG GL Trial Balance'!$A$10:$A$400,$A10,'C19 GEG GL Trial Balance'!$D$10:$D$400,"Posting")</f>
        <v/>
      </c>
      <c r="M10" s="28">
        <f>SUMIFS('C19 GEG GL Trial Balance'!$AB$10:$AB$400,'C19 GEG GL Trial Balance'!$A$10:$A$400,$A10,'C19 GEG GL Trial Balance'!$D$10:$D$400,"Posting")</f>
        <v/>
      </c>
      <c r="N10" s="28">
        <f>SUMIFS('C19 GEG GL Trial Balance'!$AC$10:$AC$400,'C19 GEG GL Trial Balance'!$A$10:$A$400,$A10,'C19 GEG GL Trial Balance'!$D$10:$D$400,"Posting")</f>
        <v/>
      </c>
      <c r="O10" s="28">
        <f>SUMIFS('C19 GEG GL Trial Balance'!$AD$10:$AD$400,'C19 GEG GL Trial Balance'!$A$10:$A$400,$A10,'C19 GEG GL Trial Balance'!$D$10:$D$400,"Posting")</f>
        <v/>
      </c>
      <c r="P10" s="71">
        <f>SUM(D10:O10)</f>
        <v/>
      </c>
    </row>
    <row r="11">
      <c r="A11" s="45" t="inlineStr"/>
      <c r="B11" s="20" t="inlineStr">
        <is>
          <t xml:space="preserve">   Subtotal penjualan batubara</t>
        </is>
      </c>
      <c r="C11" s="23" t="n"/>
      <c r="D11" s="22">
        <f>D8+D9+D10</f>
        <v/>
      </c>
      <c r="E11" s="22">
        <f>E8+E9+E10</f>
        <v/>
      </c>
      <c r="F11" s="22">
        <f>F8+F9+F10</f>
        <v/>
      </c>
      <c r="G11" s="22">
        <f>G8+G9+G10</f>
        <v/>
      </c>
      <c r="H11" s="22">
        <f>H8+H9+H10</f>
        <v/>
      </c>
      <c r="I11" s="22">
        <f>I8+I9+I10</f>
        <v/>
      </c>
      <c r="J11" s="22">
        <f>J8+J9+J10</f>
        <v/>
      </c>
      <c r="K11" s="22">
        <f>K8+K9+K10</f>
        <v/>
      </c>
      <c r="L11" s="22">
        <f>L8+L9+L10</f>
        <v/>
      </c>
      <c r="M11" s="22">
        <f>M8+M9+M10</f>
        <v/>
      </c>
      <c r="N11" s="22">
        <f>N8+N9+N10</f>
        <v/>
      </c>
      <c r="O11" s="22">
        <f>O8+O9+O10</f>
        <v/>
      </c>
      <c r="P11" s="22">
        <f>P8+P9+P10</f>
        <v/>
      </c>
    </row>
    <row r="12">
      <c r="A12" s="45" t="inlineStr">
        <is>
          <t>4104</t>
        </is>
      </c>
      <c r="B12" s="10" t="inlineStr">
        <is>
          <t xml:space="preserve">   Penyesuaian harga / penalti kualitas (isi negatif)</t>
        </is>
      </c>
      <c r="D12" s="28">
        <f>SUMIFS('C19 GEG GL Trial Balance'!$S$10:$S$400,'C19 GEG GL Trial Balance'!$A$10:$A$400,$A12,'C19 GEG GL Trial Balance'!$D$10:$D$400,"Posting")</f>
        <v/>
      </c>
      <c r="E12" s="28">
        <f>SUMIFS('C19 GEG GL Trial Balance'!$T$10:$T$400,'C19 GEG GL Trial Balance'!$A$10:$A$400,$A12,'C19 GEG GL Trial Balance'!$D$10:$D$400,"Posting")</f>
        <v/>
      </c>
      <c r="F12" s="28">
        <f>SUMIFS('C19 GEG GL Trial Balance'!$U$10:$U$400,'C19 GEG GL Trial Balance'!$A$10:$A$400,$A12,'C19 GEG GL Trial Balance'!$D$10:$D$400,"Posting")</f>
        <v/>
      </c>
      <c r="G12" s="28">
        <f>SUMIFS('C19 GEG GL Trial Balance'!$V$10:$V$400,'C19 GEG GL Trial Balance'!$A$10:$A$400,$A12,'C19 GEG GL Trial Balance'!$D$10:$D$400,"Posting")</f>
        <v/>
      </c>
      <c r="H12" s="28">
        <f>SUMIFS('C19 GEG GL Trial Balance'!$W$10:$W$400,'C19 GEG GL Trial Balance'!$A$10:$A$400,$A12,'C19 GEG GL Trial Balance'!$D$10:$D$400,"Posting")</f>
        <v/>
      </c>
      <c r="I12" s="28">
        <f>SUMIFS('C19 GEG GL Trial Balance'!$X$10:$X$400,'C19 GEG GL Trial Balance'!$A$10:$A$400,$A12,'C19 GEG GL Trial Balance'!$D$10:$D$400,"Posting")</f>
        <v/>
      </c>
      <c r="J12" s="28">
        <f>SUMIFS('C19 GEG GL Trial Balance'!$Y$10:$Y$400,'C19 GEG GL Trial Balance'!$A$10:$A$400,$A12,'C19 GEG GL Trial Balance'!$D$10:$D$400,"Posting")</f>
        <v/>
      </c>
      <c r="K12" s="28">
        <f>SUMIFS('C19 GEG GL Trial Balance'!$Z$10:$Z$400,'C19 GEG GL Trial Balance'!$A$10:$A$400,$A12,'C19 GEG GL Trial Balance'!$D$10:$D$400,"Posting")</f>
        <v/>
      </c>
      <c r="L12" s="28">
        <f>SUMIFS('C19 GEG GL Trial Balance'!$AA$10:$AA$400,'C19 GEG GL Trial Balance'!$A$10:$A$400,$A12,'C19 GEG GL Trial Balance'!$D$10:$D$400,"Posting")</f>
        <v/>
      </c>
      <c r="M12" s="28">
        <f>SUMIFS('C19 GEG GL Trial Balance'!$AB$10:$AB$400,'C19 GEG GL Trial Balance'!$A$10:$A$400,$A12,'C19 GEG GL Trial Balance'!$D$10:$D$400,"Posting")</f>
        <v/>
      </c>
      <c r="N12" s="28">
        <f>SUMIFS('C19 GEG GL Trial Balance'!$AC$10:$AC$400,'C19 GEG GL Trial Balance'!$A$10:$A$400,$A12,'C19 GEG GL Trial Balance'!$D$10:$D$400,"Posting")</f>
        <v/>
      </c>
      <c r="O12" s="28">
        <f>SUMIFS('C19 GEG GL Trial Balance'!$AD$10:$AD$400,'C19 GEG GL Trial Balance'!$A$10:$A$400,$A12,'C19 GEG GL Trial Balance'!$D$10:$D$400,"Posting")</f>
        <v/>
      </c>
      <c r="P12" s="71">
        <f>SUM(D12:O12)</f>
        <v/>
      </c>
    </row>
    <row r="13">
      <c r="A13" s="45" t="inlineStr">
        <is>
          <t>4201</t>
        </is>
      </c>
      <c r="B13" s="10" t="inlineStr">
        <is>
          <t xml:space="preserve">   Pendapatan jasa &amp; usaha lainnya</t>
        </is>
      </c>
      <c r="D13" s="28">
        <f>SUMIFS('C19 GEG GL Trial Balance'!$S$10:$S$400,'C19 GEG GL Trial Balance'!$A$10:$A$400,$A13,'C19 GEG GL Trial Balance'!$D$10:$D$400,"Posting")</f>
        <v/>
      </c>
      <c r="E13" s="28">
        <f>SUMIFS('C19 GEG GL Trial Balance'!$T$10:$T$400,'C19 GEG GL Trial Balance'!$A$10:$A$400,$A13,'C19 GEG GL Trial Balance'!$D$10:$D$400,"Posting")</f>
        <v/>
      </c>
      <c r="F13" s="28">
        <f>SUMIFS('C19 GEG GL Trial Balance'!$U$10:$U$400,'C19 GEG GL Trial Balance'!$A$10:$A$400,$A13,'C19 GEG GL Trial Balance'!$D$10:$D$400,"Posting")</f>
        <v/>
      </c>
      <c r="G13" s="28">
        <f>SUMIFS('C19 GEG GL Trial Balance'!$V$10:$V$400,'C19 GEG GL Trial Balance'!$A$10:$A$400,$A13,'C19 GEG GL Trial Balance'!$D$10:$D$400,"Posting")</f>
        <v/>
      </c>
      <c r="H13" s="28">
        <f>SUMIFS('C19 GEG GL Trial Balance'!$W$10:$W$400,'C19 GEG GL Trial Balance'!$A$10:$A$400,$A13,'C19 GEG GL Trial Balance'!$D$10:$D$400,"Posting")</f>
        <v/>
      </c>
      <c r="I13" s="28">
        <f>SUMIFS('C19 GEG GL Trial Balance'!$X$10:$X$400,'C19 GEG GL Trial Balance'!$A$10:$A$400,$A13,'C19 GEG GL Trial Balance'!$D$10:$D$400,"Posting")</f>
        <v/>
      </c>
      <c r="J13" s="28">
        <f>SUMIFS('C19 GEG GL Trial Balance'!$Y$10:$Y$400,'C19 GEG GL Trial Balance'!$A$10:$A$400,$A13,'C19 GEG GL Trial Balance'!$D$10:$D$400,"Posting")</f>
        <v/>
      </c>
      <c r="K13" s="28">
        <f>SUMIFS('C19 GEG GL Trial Balance'!$Z$10:$Z$400,'C19 GEG GL Trial Balance'!$A$10:$A$400,$A13,'C19 GEG GL Trial Balance'!$D$10:$D$400,"Posting")</f>
        <v/>
      </c>
      <c r="L13" s="28">
        <f>SUMIFS('C19 GEG GL Trial Balance'!$AA$10:$AA$400,'C19 GEG GL Trial Balance'!$A$10:$A$400,$A13,'C19 GEG GL Trial Balance'!$D$10:$D$400,"Posting")</f>
        <v/>
      </c>
      <c r="M13" s="28">
        <f>SUMIFS('C19 GEG GL Trial Balance'!$AB$10:$AB$400,'C19 GEG GL Trial Balance'!$A$10:$A$400,$A13,'C19 GEG GL Trial Balance'!$D$10:$D$400,"Posting")</f>
        <v/>
      </c>
      <c r="N13" s="28">
        <f>SUMIFS('C19 GEG GL Trial Balance'!$AC$10:$AC$400,'C19 GEG GL Trial Balance'!$A$10:$A$400,$A13,'C19 GEG GL Trial Balance'!$D$10:$D$400,"Posting")</f>
        <v/>
      </c>
      <c r="O13" s="28">
        <f>SUMIFS('C19 GEG GL Trial Balance'!$AD$10:$AD$400,'C19 GEG GL Trial Balance'!$A$10:$A$400,$A13,'C19 GEG GL Trial Balance'!$D$10:$D$400,"Posting")</f>
        <v/>
      </c>
      <c r="P13" s="71">
        <f>SUM(D13:O13)</f>
        <v/>
      </c>
    </row>
    <row r="14">
      <c r="A14" s="82" t="inlineStr"/>
      <c r="B14" s="31" t="inlineStr">
        <is>
          <t>PENDAPATAN BERSIH</t>
        </is>
      </c>
      <c r="C14" s="32" t="n"/>
      <c r="D14" s="33">
        <f>D11+D12+D13</f>
        <v/>
      </c>
      <c r="E14" s="33">
        <f>E11+E12+E13</f>
        <v/>
      </c>
      <c r="F14" s="33">
        <f>F11+F12+F13</f>
        <v/>
      </c>
      <c r="G14" s="33">
        <f>G11+G12+G13</f>
        <v/>
      </c>
      <c r="H14" s="33">
        <f>H11+H12+H13</f>
        <v/>
      </c>
      <c r="I14" s="33">
        <f>I11+I12+I13</f>
        <v/>
      </c>
      <c r="J14" s="33">
        <f>J11+J12+J13</f>
        <v/>
      </c>
      <c r="K14" s="33">
        <f>K11+K12+K13</f>
        <v/>
      </c>
      <c r="L14" s="33">
        <f>L11+L12+L13</f>
        <v/>
      </c>
      <c r="M14" s="33">
        <f>M11+M12+M13</f>
        <v/>
      </c>
      <c r="N14" s="33">
        <f>N11+N12+N13</f>
        <v/>
      </c>
      <c r="O14" s="33">
        <f>O11+O12+O13</f>
        <v/>
      </c>
      <c r="P14" s="33">
        <f>P11+P12+P13</f>
        <v/>
      </c>
    </row>
    <row r="15">
      <c r="A15" s="4" t="inlineStr">
        <is>
          <t>BEBAN POKOK PENDAPATAN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B16" s="35" t="inlineStr">
        <is>
          <t>A. Biaya penambangan</t>
        </is>
      </c>
    </row>
    <row r="17">
      <c r="A17" s="45" t="inlineStr">
        <is>
          <t>5101</t>
        </is>
      </c>
      <c r="B17" s="10" t="inlineStr">
        <is>
          <t xml:space="preserve">   Jasa kontraktor OB removal</t>
        </is>
      </c>
      <c r="D17" s="28">
        <f>SUMIFS('C19 GEG GL Trial Balance'!$S$10:$S$400,'C19 GEG GL Trial Balance'!$A$10:$A$400,$A17,'C19 GEG GL Trial Balance'!$D$10:$D$400,"Posting")</f>
        <v/>
      </c>
      <c r="E17" s="28">
        <f>SUMIFS('C19 GEG GL Trial Balance'!$T$10:$T$400,'C19 GEG GL Trial Balance'!$A$10:$A$400,$A17,'C19 GEG GL Trial Balance'!$D$10:$D$400,"Posting")</f>
        <v/>
      </c>
      <c r="F17" s="28">
        <f>SUMIFS('C19 GEG GL Trial Balance'!$U$10:$U$400,'C19 GEG GL Trial Balance'!$A$10:$A$400,$A17,'C19 GEG GL Trial Balance'!$D$10:$D$400,"Posting")</f>
        <v/>
      </c>
      <c r="G17" s="28">
        <f>SUMIFS('C19 GEG GL Trial Balance'!$V$10:$V$400,'C19 GEG GL Trial Balance'!$A$10:$A$400,$A17,'C19 GEG GL Trial Balance'!$D$10:$D$400,"Posting")</f>
        <v/>
      </c>
      <c r="H17" s="28">
        <f>SUMIFS('C19 GEG GL Trial Balance'!$W$10:$W$400,'C19 GEG GL Trial Balance'!$A$10:$A$400,$A17,'C19 GEG GL Trial Balance'!$D$10:$D$400,"Posting")</f>
        <v/>
      </c>
      <c r="I17" s="28">
        <f>SUMIFS('C19 GEG GL Trial Balance'!$X$10:$X$400,'C19 GEG GL Trial Balance'!$A$10:$A$400,$A17,'C19 GEG GL Trial Balance'!$D$10:$D$400,"Posting")</f>
        <v/>
      </c>
      <c r="J17" s="28">
        <f>SUMIFS('C19 GEG GL Trial Balance'!$Y$10:$Y$400,'C19 GEG GL Trial Balance'!$A$10:$A$400,$A17,'C19 GEG GL Trial Balance'!$D$10:$D$400,"Posting")</f>
        <v/>
      </c>
      <c r="K17" s="28">
        <f>SUMIFS('C19 GEG GL Trial Balance'!$Z$10:$Z$400,'C19 GEG GL Trial Balance'!$A$10:$A$400,$A17,'C19 GEG GL Trial Balance'!$D$10:$D$400,"Posting")</f>
        <v/>
      </c>
      <c r="L17" s="28">
        <f>SUMIFS('C19 GEG GL Trial Balance'!$AA$10:$AA$400,'C19 GEG GL Trial Balance'!$A$10:$A$400,$A17,'C19 GEG GL Trial Balance'!$D$10:$D$400,"Posting")</f>
        <v/>
      </c>
      <c r="M17" s="28">
        <f>SUMIFS('C19 GEG GL Trial Balance'!$AB$10:$AB$400,'C19 GEG GL Trial Balance'!$A$10:$A$400,$A17,'C19 GEG GL Trial Balance'!$D$10:$D$400,"Posting")</f>
        <v/>
      </c>
      <c r="N17" s="28">
        <f>SUMIFS('C19 GEG GL Trial Balance'!$AC$10:$AC$400,'C19 GEG GL Trial Balance'!$A$10:$A$400,$A17,'C19 GEG GL Trial Balance'!$D$10:$D$400,"Posting")</f>
        <v/>
      </c>
      <c r="O17" s="28">
        <f>SUMIFS('C19 GEG GL Trial Balance'!$AD$10:$AD$400,'C19 GEG GL Trial Balance'!$A$10:$A$400,$A17,'C19 GEG GL Trial Balance'!$D$10:$D$400,"Posting")</f>
        <v/>
      </c>
      <c r="P17" s="71">
        <f>SUM(D17:O17)</f>
        <v/>
      </c>
    </row>
    <row r="18">
      <c r="A18" s="45" t="inlineStr">
        <is>
          <t>5102</t>
        </is>
      </c>
      <c r="B18" s="10" t="inlineStr">
        <is>
          <t xml:space="preserve">   Bahan bakar (BBM)</t>
        </is>
      </c>
      <c r="D18" s="28">
        <f>SUMIFS('C19 GEG GL Trial Balance'!$S$10:$S$400,'C19 GEG GL Trial Balance'!$A$10:$A$400,$A18,'C19 GEG GL Trial Balance'!$D$10:$D$400,"Posting")</f>
        <v/>
      </c>
      <c r="E18" s="28">
        <f>SUMIFS('C19 GEG GL Trial Balance'!$T$10:$T$400,'C19 GEG GL Trial Balance'!$A$10:$A$400,$A18,'C19 GEG GL Trial Balance'!$D$10:$D$400,"Posting")</f>
        <v/>
      </c>
      <c r="F18" s="28">
        <f>SUMIFS('C19 GEG GL Trial Balance'!$U$10:$U$400,'C19 GEG GL Trial Balance'!$A$10:$A$400,$A18,'C19 GEG GL Trial Balance'!$D$10:$D$400,"Posting")</f>
        <v/>
      </c>
      <c r="G18" s="28">
        <f>SUMIFS('C19 GEG GL Trial Balance'!$V$10:$V$400,'C19 GEG GL Trial Balance'!$A$10:$A$400,$A18,'C19 GEG GL Trial Balance'!$D$10:$D$400,"Posting")</f>
        <v/>
      </c>
      <c r="H18" s="28">
        <f>SUMIFS('C19 GEG GL Trial Balance'!$W$10:$W$400,'C19 GEG GL Trial Balance'!$A$10:$A$400,$A18,'C19 GEG GL Trial Balance'!$D$10:$D$400,"Posting")</f>
        <v/>
      </c>
      <c r="I18" s="28">
        <f>SUMIFS('C19 GEG GL Trial Balance'!$X$10:$X$400,'C19 GEG GL Trial Balance'!$A$10:$A$400,$A18,'C19 GEG GL Trial Balance'!$D$10:$D$400,"Posting")</f>
        <v/>
      </c>
      <c r="J18" s="28">
        <f>SUMIFS('C19 GEG GL Trial Balance'!$Y$10:$Y$400,'C19 GEG GL Trial Balance'!$A$10:$A$400,$A18,'C19 GEG GL Trial Balance'!$D$10:$D$400,"Posting")</f>
        <v/>
      </c>
      <c r="K18" s="28">
        <f>SUMIFS('C19 GEG GL Trial Balance'!$Z$10:$Z$400,'C19 GEG GL Trial Balance'!$A$10:$A$400,$A18,'C19 GEG GL Trial Balance'!$D$10:$D$400,"Posting")</f>
        <v/>
      </c>
      <c r="L18" s="28">
        <f>SUMIFS('C19 GEG GL Trial Balance'!$AA$10:$AA$400,'C19 GEG GL Trial Balance'!$A$10:$A$400,$A18,'C19 GEG GL Trial Balance'!$D$10:$D$400,"Posting")</f>
        <v/>
      </c>
      <c r="M18" s="28">
        <f>SUMIFS('C19 GEG GL Trial Balance'!$AB$10:$AB$400,'C19 GEG GL Trial Balance'!$A$10:$A$400,$A18,'C19 GEG GL Trial Balance'!$D$10:$D$400,"Posting")</f>
        <v/>
      </c>
      <c r="N18" s="28">
        <f>SUMIFS('C19 GEG GL Trial Balance'!$AC$10:$AC$400,'C19 GEG GL Trial Balance'!$A$10:$A$400,$A18,'C19 GEG GL Trial Balance'!$D$10:$D$400,"Posting")</f>
        <v/>
      </c>
      <c r="O18" s="28">
        <f>SUMIFS('C19 GEG GL Trial Balance'!$AD$10:$AD$400,'C19 GEG GL Trial Balance'!$A$10:$A$400,$A18,'C19 GEG GL Trial Balance'!$D$10:$D$400,"Posting")</f>
        <v/>
      </c>
      <c r="P18" s="71">
        <f>SUM(D18:O18)</f>
        <v/>
      </c>
    </row>
    <row r="19">
      <c r="A19" s="45" t="inlineStr">
        <is>
          <t>5103</t>
        </is>
      </c>
      <c r="B19" s="10" t="inlineStr">
        <is>
          <t xml:space="preserve">   Peledakan (drill &amp; blast)</t>
        </is>
      </c>
      <c r="D19" s="28">
        <f>SUMIFS('C19 GEG GL Trial Balance'!$S$10:$S$400,'C19 GEG GL Trial Balance'!$A$10:$A$400,$A19,'C19 GEG GL Trial Balance'!$D$10:$D$400,"Posting")</f>
        <v/>
      </c>
      <c r="E19" s="28">
        <f>SUMIFS('C19 GEG GL Trial Balance'!$T$10:$T$400,'C19 GEG GL Trial Balance'!$A$10:$A$400,$A19,'C19 GEG GL Trial Balance'!$D$10:$D$400,"Posting")</f>
        <v/>
      </c>
      <c r="F19" s="28">
        <f>SUMIFS('C19 GEG GL Trial Balance'!$U$10:$U$400,'C19 GEG GL Trial Balance'!$A$10:$A$400,$A19,'C19 GEG GL Trial Balance'!$D$10:$D$400,"Posting")</f>
        <v/>
      </c>
      <c r="G19" s="28">
        <f>SUMIFS('C19 GEG GL Trial Balance'!$V$10:$V$400,'C19 GEG GL Trial Balance'!$A$10:$A$400,$A19,'C19 GEG GL Trial Balance'!$D$10:$D$400,"Posting")</f>
        <v/>
      </c>
      <c r="H19" s="28">
        <f>SUMIFS('C19 GEG GL Trial Balance'!$W$10:$W$400,'C19 GEG GL Trial Balance'!$A$10:$A$400,$A19,'C19 GEG GL Trial Balance'!$D$10:$D$400,"Posting")</f>
        <v/>
      </c>
      <c r="I19" s="28">
        <f>SUMIFS('C19 GEG GL Trial Balance'!$X$10:$X$400,'C19 GEG GL Trial Balance'!$A$10:$A$400,$A19,'C19 GEG GL Trial Balance'!$D$10:$D$400,"Posting")</f>
        <v/>
      </c>
      <c r="J19" s="28">
        <f>SUMIFS('C19 GEG GL Trial Balance'!$Y$10:$Y$400,'C19 GEG GL Trial Balance'!$A$10:$A$400,$A19,'C19 GEG GL Trial Balance'!$D$10:$D$400,"Posting")</f>
        <v/>
      </c>
      <c r="K19" s="28">
        <f>SUMIFS('C19 GEG GL Trial Balance'!$Z$10:$Z$400,'C19 GEG GL Trial Balance'!$A$10:$A$400,$A19,'C19 GEG GL Trial Balance'!$D$10:$D$400,"Posting")</f>
        <v/>
      </c>
      <c r="L19" s="28">
        <f>SUMIFS('C19 GEG GL Trial Balance'!$AA$10:$AA$400,'C19 GEG GL Trial Balance'!$A$10:$A$400,$A19,'C19 GEG GL Trial Balance'!$D$10:$D$400,"Posting")</f>
        <v/>
      </c>
      <c r="M19" s="28">
        <f>SUMIFS('C19 GEG GL Trial Balance'!$AB$10:$AB$400,'C19 GEG GL Trial Balance'!$A$10:$A$400,$A19,'C19 GEG GL Trial Balance'!$D$10:$D$400,"Posting")</f>
        <v/>
      </c>
      <c r="N19" s="28">
        <f>SUMIFS('C19 GEG GL Trial Balance'!$AC$10:$AC$400,'C19 GEG GL Trial Balance'!$A$10:$A$400,$A19,'C19 GEG GL Trial Balance'!$D$10:$D$400,"Posting")</f>
        <v/>
      </c>
      <c r="O19" s="28">
        <f>SUMIFS('C19 GEG GL Trial Balance'!$AD$10:$AD$400,'C19 GEG GL Trial Balance'!$A$10:$A$400,$A19,'C19 GEG GL Trial Balance'!$D$10:$D$400,"Posting")</f>
        <v/>
      </c>
      <c r="P19" s="71">
        <f>SUM(D19:O19)</f>
        <v/>
      </c>
    </row>
    <row r="20">
      <c r="A20" s="45" t="inlineStr">
        <is>
          <t>5104</t>
        </is>
      </c>
      <c r="B20" s="10" t="inlineStr">
        <is>
          <t xml:space="preserve">   Penggalian batubara (coal getting)</t>
        </is>
      </c>
      <c r="D20" s="28">
        <f>SUMIFS('C19 GEG GL Trial Balance'!$S$10:$S$400,'C19 GEG GL Trial Balance'!$A$10:$A$400,$A20,'C19 GEG GL Trial Balance'!$D$10:$D$400,"Posting")</f>
        <v/>
      </c>
      <c r="E20" s="28">
        <f>SUMIFS('C19 GEG GL Trial Balance'!$T$10:$T$400,'C19 GEG GL Trial Balance'!$A$10:$A$400,$A20,'C19 GEG GL Trial Balance'!$D$10:$D$400,"Posting")</f>
        <v/>
      </c>
      <c r="F20" s="28">
        <f>SUMIFS('C19 GEG GL Trial Balance'!$U$10:$U$400,'C19 GEG GL Trial Balance'!$A$10:$A$400,$A20,'C19 GEG GL Trial Balance'!$D$10:$D$400,"Posting")</f>
        <v/>
      </c>
      <c r="G20" s="28">
        <f>SUMIFS('C19 GEG GL Trial Balance'!$V$10:$V$400,'C19 GEG GL Trial Balance'!$A$10:$A$400,$A20,'C19 GEG GL Trial Balance'!$D$10:$D$400,"Posting")</f>
        <v/>
      </c>
      <c r="H20" s="28">
        <f>SUMIFS('C19 GEG GL Trial Balance'!$W$10:$W$400,'C19 GEG GL Trial Balance'!$A$10:$A$400,$A20,'C19 GEG GL Trial Balance'!$D$10:$D$400,"Posting")</f>
        <v/>
      </c>
      <c r="I20" s="28">
        <f>SUMIFS('C19 GEG GL Trial Balance'!$X$10:$X$400,'C19 GEG GL Trial Balance'!$A$10:$A$400,$A20,'C19 GEG GL Trial Balance'!$D$10:$D$400,"Posting")</f>
        <v/>
      </c>
      <c r="J20" s="28">
        <f>SUMIFS('C19 GEG GL Trial Balance'!$Y$10:$Y$400,'C19 GEG GL Trial Balance'!$A$10:$A$400,$A20,'C19 GEG GL Trial Balance'!$D$10:$D$400,"Posting")</f>
        <v/>
      </c>
      <c r="K20" s="28">
        <f>SUMIFS('C19 GEG GL Trial Balance'!$Z$10:$Z$400,'C19 GEG GL Trial Balance'!$A$10:$A$400,$A20,'C19 GEG GL Trial Balance'!$D$10:$D$400,"Posting")</f>
        <v/>
      </c>
      <c r="L20" s="28">
        <f>SUMIFS('C19 GEG GL Trial Balance'!$AA$10:$AA$400,'C19 GEG GL Trial Balance'!$A$10:$A$400,$A20,'C19 GEG GL Trial Balance'!$D$10:$D$400,"Posting")</f>
        <v/>
      </c>
      <c r="M20" s="28">
        <f>SUMIFS('C19 GEG GL Trial Balance'!$AB$10:$AB$400,'C19 GEG GL Trial Balance'!$A$10:$A$400,$A20,'C19 GEG GL Trial Balance'!$D$10:$D$400,"Posting")</f>
        <v/>
      </c>
      <c r="N20" s="28">
        <f>SUMIFS('C19 GEG GL Trial Balance'!$AC$10:$AC$400,'C19 GEG GL Trial Balance'!$A$10:$A$400,$A20,'C19 GEG GL Trial Balance'!$D$10:$D$400,"Posting")</f>
        <v/>
      </c>
      <c r="O20" s="28">
        <f>SUMIFS('C19 GEG GL Trial Balance'!$AD$10:$AD$400,'C19 GEG GL Trial Balance'!$A$10:$A$400,$A20,'C19 GEG GL Trial Balance'!$D$10:$D$400,"Posting")</f>
        <v/>
      </c>
      <c r="P20" s="71">
        <f>SUM(D20:O20)</f>
        <v/>
      </c>
    </row>
    <row r="21">
      <c r="A21" s="45" t="inlineStr">
        <is>
          <t>5105</t>
        </is>
      </c>
      <c r="B21" s="10" t="inlineStr">
        <is>
          <t xml:space="preserve">   Sewa alat berat &amp; sarana penunjang</t>
        </is>
      </c>
      <c r="D21" s="28">
        <f>SUMIFS('C19 GEG GL Trial Balance'!$S$10:$S$400,'C19 GEG GL Trial Balance'!$A$10:$A$400,$A21,'C19 GEG GL Trial Balance'!$D$10:$D$400,"Posting")</f>
        <v/>
      </c>
      <c r="E21" s="28">
        <f>SUMIFS('C19 GEG GL Trial Balance'!$T$10:$T$400,'C19 GEG GL Trial Balance'!$A$10:$A$400,$A21,'C19 GEG GL Trial Balance'!$D$10:$D$400,"Posting")</f>
        <v/>
      </c>
      <c r="F21" s="28">
        <f>SUMIFS('C19 GEG GL Trial Balance'!$U$10:$U$400,'C19 GEG GL Trial Balance'!$A$10:$A$400,$A21,'C19 GEG GL Trial Balance'!$D$10:$D$400,"Posting")</f>
        <v/>
      </c>
      <c r="G21" s="28">
        <f>SUMIFS('C19 GEG GL Trial Balance'!$V$10:$V$400,'C19 GEG GL Trial Balance'!$A$10:$A$400,$A21,'C19 GEG GL Trial Balance'!$D$10:$D$400,"Posting")</f>
        <v/>
      </c>
      <c r="H21" s="28">
        <f>SUMIFS('C19 GEG GL Trial Balance'!$W$10:$W$400,'C19 GEG GL Trial Balance'!$A$10:$A$400,$A21,'C19 GEG GL Trial Balance'!$D$10:$D$400,"Posting")</f>
        <v/>
      </c>
      <c r="I21" s="28">
        <f>SUMIFS('C19 GEG GL Trial Balance'!$X$10:$X$400,'C19 GEG GL Trial Balance'!$A$10:$A$400,$A21,'C19 GEG GL Trial Balance'!$D$10:$D$400,"Posting")</f>
        <v/>
      </c>
      <c r="J21" s="28">
        <f>SUMIFS('C19 GEG GL Trial Balance'!$Y$10:$Y$400,'C19 GEG GL Trial Balance'!$A$10:$A$400,$A21,'C19 GEG GL Trial Balance'!$D$10:$D$400,"Posting")</f>
        <v/>
      </c>
      <c r="K21" s="28">
        <f>SUMIFS('C19 GEG GL Trial Balance'!$Z$10:$Z$400,'C19 GEG GL Trial Balance'!$A$10:$A$400,$A21,'C19 GEG GL Trial Balance'!$D$10:$D$400,"Posting")</f>
        <v/>
      </c>
      <c r="L21" s="28">
        <f>SUMIFS('C19 GEG GL Trial Balance'!$AA$10:$AA$400,'C19 GEG GL Trial Balance'!$A$10:$A$400,$A21,'C19 GEG GL Trial Balance'!$D$10:$D$400,"Posting")</f>
        <v/>
      </c>
      <c r="M21" s="28">
        <f>SUMIFS('C19 GEG GL Trial Balance'!$AB$10:$AB$400,'C19 GEG GL Trial Balance'!$A$10:$A$400,$A21,'C19 GEG GL Trial Balance'!$D$10:$D$400,"Posting")</f>
        <v/>
      </c>
      <c r="N21" s="28">
        <f>SUMIFS('C19 GEG GL Trial Balance'!$AC$10:$AC$400,'C19 GEG GL Trial Balance'!$A$10:$A$400,$A21,'C19 GEG GL Trial Balance'!$D$10:$D$400,"Posting")</f>
        <v/>
      </c>
      <c r="O21" s="28">
        <f>SUMIFS('C19 GEG GL Trial Balance'!$AD$10:$AD$400,'C19 GEG GL Trial Balance'!$A$10:$A$400,$A21,'C19 GEG GL Trial Balance'!$D$10:$D$400,"Posting")</f>
        <v/>
      </c>
      <c r="P21" s="71">
        <f>SUM(D21:O21)</f>
        <v/>
      </c>
    </row>
    <row r="22">
      <c r="A22" s="45" t="inlineStr">
        <is>
          <t>5106</t>
        </is>
      </c>
      <c r="B22" s="10" t="inlineStr">
        <is>
          <t xml:space="preserve">   Pemeliharaan jalan tambang &amp; infrastruktur</t>
        </is>
      </c>
      <c r="D22" s="28">
        <f>SUMIFS('C19 GEG GL Trial Balance'!$S$10:$S$400,'C19 GEG GL Trial Balance'!$A$10:$A$400,$A22,'C19 GEG GL Trial Balance'!$D$10:$D$400,"Posting")</f>
        <v/>
      </c>
      <c r="E22" s="28">
        <f>SUMIFS('C19 GEG GL Trial Balance'!$T$10:$T$400,'C19 GEG GL Trial Balance'!$A$10:$A$400,$A22,'C19 GEG GL Trial Balance'!$D$10:$D$400,"Posting")</f>
        <v/>
      </c>
      <c r="F22" s="28">
        <f>SUMIFS('C19 GEG GL Trial Balance'!$U$10:$U$400,'C19 GEG GL Trial Balance'!$A$10:$A$400,$A22,'C19 GEG GL Trial Balance'!$D$10:$D$400,"Posting")</f>
        <v/>
      </c>
      <c r="G22" s="28">
        <f>SUMIFS('C19 GEG GL Trial Balance'!$V$10:$V$400,'C19 GEG GL Trial Balance'!$A$10:$A$400,$A22,'C19 GEG GL Trial Balance'!$D$10:$D$400,"Posting")</f>
        <v/>
      </c>
      <c r="H22" s="28">
        <f>SUMIFS('C19 GEG GL Trial Balance'!$W$10:$W$400,'C19 GEG GL Trial Balance'!$A$10:$A$400,$A22,'C19 GEG GL Trial Balance'!$D$10:$D$400,"Posting")</f>
        <v/>
      </c>
      <c r="I22" s="28">
        <f>SUMIFS('C19 GEG GL Trial Balance'!$X$10:$X$400,'C19 GEG GL Trial Balance'!$A$10:$A$400,$A22,'C19 GEG GL Trial Balance'!$D$10:$D$400,"Posting")</f>
        <v/>
      </c>
      <c r="J22" s="28">
        <f>SUMIFS('C19 GEG GL Trial Balance'!$Y$10:$Y$400,'C19 GEG GL Trial Balance'!$A$10:$A$400,$A22,'C19 GEG GL Trial Balance'!$D$10:$D$400,"Posting")</f>
        <v/>
      </c>
      <c r="K22" s="28">
        <f>SUMIFS('C19 GEG GL Trial Balance'!$Z$10:$Z$400,'C19 GEG GL Trial Balance'!$A$10:$A$400,$A22,'C19 GEG GL Trial Balance'!$D$10:$D$400,"Posting")</f>
        <v/>
      </c>
      <c r="L22" s="28">
        <f>SUMIFS('C19 GEG GL Trial Balance'!$AA$10:$AA$400,'C19 GEG GL Trial Balance'!$A$10:$A$400,$A22,'C19 GEG GL Trial Balance'!$D$10:$D$400,"Posting")</f>
        <v/>
      </c>
      <c r="M22" s="28">
        <f>SUMIFS('C19 GEG GL Trial Balance'!$AB$10:$AB$400,'C19 GEG GL Trial Balance'!$A$10:$A$400,$A22,'C19 GEG GL Trial Balance'!$D$10:$D$400,"Posting")</f>
        <v/>
      </c>
      <c r="N22" s="28">
        <f>SUMIFS('C19 GEG GL Trial Balance'!$AC$10:$AC$400,'C19 GEG GL Trial Balance'!$A$10:$A$400,$A22,'C19 GEG GL Trial Balance'!$D$10:$D$400,"Posting")</f>
        <v/>
      </c>
      <c r="O22" s="28">
        <f>SUMIFS('C19 GEG GL Trial Balance'!$AD$10:$AD$400,'C19 GEG GL Trial Balance'!$A$10:$A$400,$A22,'C19 GEG GL Trial Balance'!$D$10:$D$400,"Posting")</f>
        <v/>
      </c>
      <c r="P22" s="71">
        <f>SUM(D22:O22)</f>
        <v/>
      </c>
    </row>
    <row r="23">
      <c r="A23" s="45" t="inlineStr">
        <is>
          <t>5107</t>
        </is>
      </c>
      <c r="B23" s="10" t="inlineStr">
        <is>
          <t xml:space="preserve">   Pengelolaan air tambang (dewatering)</t>
        </is>
      </c>
      <c r="D23" s="28">
        <f>SUMIFS('C19 GEG GL Trial Balance'!$S$10:$S$400,'C19 GEG GL Trial Balance'!$A$10:$A$400,$A23,'C19 GEG GL Trial Balance'!$D$10:$D$400,"Posting")</f>
        <v/>
      </c>
      <c r="E23" s="28">
        <f>SUMIFS('C19 GEG GL Trial Balance'!$T$10:$T$400,'C19 GEG GL Trial Balance'!$A$10:$A$400,$A23,'C19 GEG GL Trial Balance'!$D$10:$D$400,"Posting")</f>
        <v/>
      </c>
      <c r="F23" s="28">
        <f>SUMIFS('C19 GEG GL Trial Balance'!$U$10:$U$400,'C19 GEG GL Trial Balance'!$A$10:$A$400,$A23,'C19 GEG GL Trial Balance'!$D$10:$D$400,"Posting")</f>
        <v/>
      </c>
      <c r="G23" s="28">
        <f>SUMIFS('C19 GEG GL Trial Balance'!$V$10:$V$400,'C19 GEG GL Trial Balance'!$A$10:$A$400,$A23,'C19 GEG GL Trial Balance'!$D$10:$D$400,"Posting")</f>
        <v/>
      </c>
      <c r="H23" s="28">
        <f>SUMIFS('C19 GEG GL Trial Balance'!$W$10:$W$400,'C19 GEG GL Trial Balance'!$A$10:$A$400,$A23,'C19 GEG GL Trial Balance'!$D$10:$D$400,"Posting")</f>
        <v/>
      </c>
      <c r="I23" s="28">
        <f>SUMIFS('C19 GEG GL Trial Balance'!$X$10:$X$400,'C19 GEG GL Trial Balance'!$A$10:$A$400,$A23,'C19 GEG GL Trial Balance'!$D$10:$D$400,"Posting")</f>
        <v/>
      </c>
      <c r="J23" s="28">
        <f>SUMIFS('C19 GEG GL Trial Balance'!$Y$10:$Y$400,'C19 GEG GL Trial Balance'!$A$10:$A$400,$A23,'C19 GEG GL Trial Balance'!$D$10:$D$400,"Posting")</f>
        <v/>
      </c>
      <c r="K23" s="28">
        <f>SUMIFS('C19 GEG GL Trial Balance'!$Z$10:$Z$400,'C19 GEG GL Trial Balance'!$A$10:$A$400,$A23,'C19 GEG GL Trial Balance'!$D$10:$D$400,"Posting")</f>
        <v/>
      </c>
      <c r="L23" s="28">
        <f>SUMIFS('C19 GEG GL Trial Balance'!$AA$10:$AA$400,'C19 GEG GL Trial Balance'!$A$10:$A$400,$A23,'C19 GEG GL Trial Balance'!$D$10:$D$400,"Posting")</f>
        <v/>
      </c>
      <c r="M23" s="28">
        <f>SUMIFS('C19 GEG GL Trial Balance'!$AB$10:$AB$400,'C19 GEG GL Trial Balance'!$A$10:$A$400,$A23,'C19 GEG GL Trial Balance'!$D$10:$D$400,"Posting")</f>
        <v/>
      </c>
      <c r="N23" s="28">
        <f>SUMIFS('C19 GEG GL Trial Balance'!$AC$10:$AC$400,'C19 GEG GL Trial Balance'!$A$10:$A$400,$A23,'C19 GEG GL Trial Balance'!$D$10:$D$400,"Posting")</f>
        <v/>
      </c>
      <c r="O23" s="28">
        <f>SUMIFS('C19 GEG GL Trial Balance'!$AD$10:$AD$400,'C19 GEG GL Trial Balance'!$A$10:$A$400,$A23,'C19 GEG GL Trial Balance'!$D$10:$D$400,"Posting")</f>
        <v/>
      </c>
      <c r="P23" s="71">
        <f>SUM(D23:O23)</f>
        <v/>
      </c>
    </row>
    <row r="24">
      <c r="A24" s="45" t="inlineStr">
        <is>
          <t>5108</t>
        </is>
      </c>
      <c r="B24" s="10" t="inlineStr">
        <is>
          <t xml:space="preserve">   Survei, geologi &amp; grade control</t>
        </is>
      </c>
      <c r="D24" s="28">
        <f>SUMIFS('C19 GEG GL Trial Balance'!$S$10:$S$400,'C19 GEG GL Trial Balance'!$A$10:$A$400,$A24,'C19 GEG GL Trial Balance'!$D$10:$D$400,"Posting")</f>
        <v/>
      </c>
      <c r="E24" s="28">
        <f>SUMIFS('C19 GEG GL Trial Balance'!$T$10:$T$400,'C19 GEG GL Trial Balance'!$A$10:$A$400,$A24,'C19 GEG GL Trial Balance'!$D$10:$D$400,"Posting")</f>
        <v/>
      </c>
      <c r="F24" s="28">
        <f>SUMIFS('C19 GEG GL Trial Balance'!$U$10:$U$400,'C19 GEG GL Trial Balance'!$A$10:$A$400,$A24,'C19 GEG GL Trial Balance'!$D$10:$D$400,"Posting")</f>
        <v/>
      </c>
      <c r="G24" s="28">
        <f>SUMIFS('C19 GEG GL Trial Balance'!$V$10:$V$400,'C19 GEG GL Trial Balance'!$A$10:$A$400,$A24,'C19 GEG GL Trial Balance'!$D$10:$D$400,"Posting")</f>
        <v/>
      </c>
      <c r="H24" s="28">
        <f>SUMIFS('C19 GEG GL Trial Balance'!$W$10:$W$400,'C19 GEG GL Trial Balance'!$A$10:$A$400,$A24,'C19 GEG GL Trial Balance'!$D$10:$D$400,"Posting")</f>
        <v/>
      </c>
      <c r="I24" s="28">
        <f>SUMIFS('C19 GEG GL Trial Balance'!$X$10:$X$400,'C19 GEG GL Trial Balance'!$A$10:$A$400,$A24,'C19 GEG GL Trial Balance'!$D$10:$D$400,"Posting")</f>
        <v/>
      </c>
      <c r="J24" s="28">
        <f>SUMIFS('C19 GEG GL Trial Balance'!$Y$10:$Y$400,'C19 GEG GL Trial Balance'!$A$10:$A$400,$A24,'C19 GEG GL Trial Balance'!$D$10:$D$400,"Posting")</f>
        <v/>
      </c>
      <c r="K24" s="28">
        <f>SUMIFS('C19 GEG GL Trial Balance'!$Z$10:$Z$400,'C19 GEG GL Trial Balance'!$A$10:$A$400,$A24,'C19 GEG GL Trial Balance'!$D$10:$D$400,"Posting")</f>
        <v/>
      </c>
      <c r="L24" s="28">
        <f>SUMIFS('C19 GEG GL Trial Balance'!$AA$10:$AA$400,'C19 GEG GL Trial Balance'!$A$10:$A$400,$A24,'C19 GEG GL Trial Balance'!$D$10:$D$400,"Posting")</f>
        <v/>
      </c>
      <c r="M24" s="28">
        <f>SUMIFS('C19 GEG GL Trial Balance'!$AB$10:$AB$400,'C19 GEG GL Trial Balance'!$A$10:$A$400,$A24,'C19 GEG GL Trial Balance'!$D$10:$D$400,"Posting")</f>
        <v/>
      </c>
      <c r="N24" s="28">
        <f>SUMIFS('C19 GEG GL Trial Balance'!$AC$10:$AC$400,'C19 GEG GL Trial Balance'!$A$10:$A$400,$A24,'C19 GEG GL Trial Balance'!$D$10:$D$400,"Posting")</f>
        <v/>
      </c>
      <c r="O24" s="28">
        <f>SUMIFS('C19 GEG GL Trial Balance'!$AD$10:$AD$400,'C19 GEG GL Trial Balance'!$A$10:$A$400,$A24,'C19 GEG GL Trial Balance'!$D$10:$D$400,"Posting")</f>
        <v/>
      </c>
      <c r="P24" s="71">
        <f>SUM(D24:O24)</f>
        <v/>
      </c>
    </row>
    <row r="25">
      <c r="A25" s="45" t="inlineStr"/>
      <c r="B25" s="20" t="inlineStr">
        <is>
          <t xml:space="preserve">   Subtotal biaya penambangan</t>
        </is>
      </c>
      <c r="C25" s="23" t="n"/>
      <c r="D25" s="22">
        <f>D17+D18+D19+D20+D21+D22+D23+D24</f>
        <v/>
      </c>
      <c r="E25" s="22">
        <f>E17+E18+E19+E20+E21+E22+E23+E24</f>
        <v/>
      </c>
      <c r="F25" s="22">
        <f>F17+F18+F19+F20+F21+F22+F23+F24</f>
        <v/>
      </c>
      <c r="G25" s="22">
        <f>G17+G18+G19+G20+G21+G22+G23+G24</f>
        <v/>
      </c>
      <c r="H25" s="22">
        <f>H17+H18+H19+H20+H21+H22+H23+H24</f>
        <v/>
      </c>
      <c r="I25" s="22">
        <f>I17+I18+I19+I20+I21+I22+I23+I24</f>
        <v/>
      </c>
      <c r="J25" s="22">
        <f>J17+J18+J19+J20+J21+J22+J23+J24</f>
        <v/>
      </c>
      <c r="K25" s="22">
        <f>K17+K18+K19+K20+K21+K22+K23+K24</f>
        <v/>
      </c>
      <c r="L25" s="22">
        <f>L17+L18+L19+L20+L21+L22+L23+L24</f>
        <v/>
      </c>
      <c r="M25" s="22">
        <f>M17+M18+M19+M20+M21+M22+M23+M24</f>
        <v/>
      </c>
      <c r="N25" s="22">
        <f>N17+N18+N19+N20+N21+N22+N23+N24</f>
        <v/>
      </c>
      <c r="O25" s="22">
        <f>O17+O18+O19+O20+O21+O22+O23+O24</f>
        <v/>
      </c>
      <c r="P25" s="22">
        <f>P17+P18+P19+P20+P21+P22+P23+P24</f>
        <v/>
      </c>
    </row>
    <row r="26">
      <c r="B26" s="35" t="inlineStr">
        <is>
          <t>B. Pengolahan &amp; logistik</t>
        </is>
      </c>
    </row>
    <row r="27">
      <c r="A27" s="45" t="inlineStr">
        <is>
          <t>5201</t>
        </is>
      </c>
      <c r="B27" s="10" t="inlineStr">
        <is>
          <t xml:space="preserve">   Crushing &amp; pengolahan (CPP)</t>
        </is>
      </c>
      <c r="D27" s="28">
        <f>SUMIFS('C19 GEG GL Trial Balance'!$S$10:$S$400,'C19 GEG GL Trial Balance'!$A$10:$A$400,$A27,'C19 GEG GL Trial Balance'!$D$10:$D$400,"Posting")</f>
        <v/>
      </c>
      <c r="E27" s="28">
        <f>SUMIFS('C19 GEG GL Trial Balance'!$T$10:$T$400,'C19 GEG GL Trial Balance'!$A$10:$A$400,$A27,'C19 GEG GL Trial Balance'!$D$10:$D$400,"Posting")</f>
        <v/>
      </c>
      <c r="F27" s="28">
        <f>SUMIFS('C19 GEG GL Trial Balance'!$U$10:$U$400,'C19 GEG GL Trial Balance'!$A$10:$A$400,$A27,'C19 GEG GL Trial Balance'!$D$10:$D$400,"Posting")</f>
        <v/>
      </c>
      <c r="G27" s="28">
        <f>SUMIFS('C19 GEG GL Trial Balance'!$V$10:$V$400,'C19 GEG GL Trial Balance'!$A$10:$A$400,$A27,'C19 GEG GL Trial Balance'!$D$10:$D$400,"Posting")</f>
        <v/>
      </c>
      <c r="H27" s="28">
        <f>SUMIFS('C19 GEG GL Trial Balance'!$W$10:$W$400,'C19 GEG GL Trial Balance'!$A$10:$A$400,$A27,'C19 GEG GL Trial Balance'!$D$10:$D$400,"Posting")</f>
        <v/>
      </c>
      <c r="I27" s="28">
        <f>SUMIFS('C19 GEG GL Trial Balance'!$X$10:$X$400,'C19 GEG GL Trial Balance'!$A$10:$A$400,$A27,'C19 GEG GL Trial Balance'!$D$10:$D$400,"Posting")</f>
        <v/>
      </c>
      <c r="J27" s="28">
        <f>SUMIFS('C19 GEG GL Trial Balance'!$Y$10:$Y$400,'C19 GEG GL Trial Balance'!$A$10:$A$400,$A27,'C19 GEG GL Trial Balance'!$D$10:$D$400,"Posting")</f>
        <v/>
      </c>
      <c r="K27" s="28">
        <f>SUMIFS('C19 GEG GL Trial Balance'!$Z$10:$Z$400,'C19 GEG GL Trial Balance'!$A$10:$A$400,$A27,'C19 GEG GL Trial Balance'!$D$10:$D$400,"Posting")</f>
        <v/>
      </c>
      <c r="L27" s="28">
        <f>SUMIFS('C19 GEG GL Trial Balance'!$AA$10:$AA$400,'C19 GEG GL Trial Balance'!$A$10:$A$400,$A27,'C19 GEG GL Trial Balance'!$D$10:$D$400,"Posting")</f>
        <v/>
      </c>
      <c r="M27" s="28">
        <f>SUMIFS('C19 GEG GL Trial Balance'!$AB$10:$AB$400,'C19 GEG GL Trial Balance'!$A$10:$A$400,$A27,'C19 GEG GL Trial Balance'!$D$10:$D$400,"Posting")</f>
        <v/>
      </c>
      <c r="N27" s="28">
        <f>SUMIFS('C19 GEG GL Trial Balance'!$AC$10:$AC$400,'C19 GEG GL Trial Balance'!$A$10:$A$400,$A27,'C19 GEG GL Trial Balance'!$D$10:$D$400,"Posting")</f>
        <v/>
      </c>
      <c r="O27" s="28">
        <f>SUMIFS('C19 GEG GL Trial Balance'!$AD$10:$AD$400,'C19 GEG GL Trial Balance'!$A$10:$A$400,$A27,'C19 GEG GL Trial Balance'!$D$10:$D$400,"Posting")</f>
        <v/>
      </c>
      <c r="P27" s="71">
        <f>SUM(D27:O27)</f>
        <v/>
      </c>
    </row>
    <row r="28">
      <c r="A28" s="45" t="inlineStr">
        <is>
          <t>5202</t>
        </is>
      </c>
      <c r="B28" s="10" t="inlineStr">
        <is>
          <t xml:space="preserve">   Hauling tambang – pelabuhan</t>
        </is>
      </c>
      <c r="D28" s="28">
        <f>SUMIFS('C19 GEG GL Trial Balance'!$S$10:$S$400,'C19 GEG GL Trial Balance'!$A$10:$A$400,$A28,'C19 GEG GL Trial Balance'!$D$10:$D$400,"Posting")</f>
        <v/>
      </c>
      <c r="E28" s="28">
        <f>SUMIFS('C19 GEG GL Trial Balance'!$T$10:$T$400,'C19 GEG GL Trial Balance'!$A$10:$A$400,$A28,'C19 GEG GL Trial Balance'!$D$10:$D$400,"Posting")</f>
        <v/>
      </c>
      <c r="F28" s="28">
        <f>SUMIFS('C19 GEG GL Trial Balance'!$U$10:$U$400,'C19 GEG GL Trial Balance'!$A$10:$A$400,$A28,'C19 GEG GL Trial Balance'!$D$10:$D$400,"Posting")</f>
        <v/>
      </c>
      <c r="G28" s="28">
        <f>SUMIFS('C19 GEG GL Trial Balance'!$V$10:$V$400,'C19 GEG GL Trial Balance'!$A$10:$A$400,$A28,'C19 GEG GL Trial Balance'!$D$10:$D$400,"Posting")</f>
        <v/>
      </c>
      <c r="H28" s="28">
        <f>SUMIFS('C19 GEG GL Trial Balance'!$W$10:$W$400,'C19 GEG GL Trial Balance'!$A$10:$A$400,$A28,'C19 GEG GL Trial Balance'!$D$10:$D$400,"Posting")</f>
        <v/>
      </c>
      <c r="I28" s="28">
        <f>SUMIFS('C19 GEG GL Trial Balance'!$X$10:$X$400,'C19 GEG GL Trial Balance'!$A$10:$A$400,$A28,'C19 GEG GL Trial Balance'!$D$10:$D$400,"Posting")</f>
        <v/>
      </c>
      <c r="J28" s="28">
        <f>SUMIFS('C19 GEG GL Trial Balance'!$Y$10:$Y$400,'C19 GEG GL Trial Balance'!$A$10:$A$400,$A28,'C19 GEG GL Trial Balance'!$D$10:$D$400,"Posting")</f>
        <v/>
      </c>
      <c r="K28" s="28">
        <f>SUMIFS('C19 GEG GL Trial Balance'!$Z$10:$Z$400,'C19 GEG GL Trial Balance'!$A$10:$A$400,$A28,'C19 GEG GL Trial Balance'!$D$10:$D$400,"Posting")</f>
        <v/>
      </c>
      <c r="L28" s="28">
        <f>SUMIFS('C19 GEG GL Trial Balance'!$AA$10:$AA$400,'C19 GEG GL Trial Balance'!$A$10:$A$400,$A28,'C19 GEG GL Trial Balance'!$D$10:$D$400,"Posting")</f>
        <v/>
      </c>
      <c r="M28" s="28">
        <f>SUMIFS('C19 GEG GL Trial Balance'!$AB$10:$AB$400,'C19 GEG GL Trial Balance'!$A$10:$A$400,$A28,'C19 GEG GL Trial Balance'!$D$10:$D$400,"Posting")</f>
        <v/>
      </c>
      <c r="N28" s="28">
        <f>SUMIFS('C19 GEG GL Trial Balance'!$AC$10:$AC$400,'C19 GEG GL Trial Balance'!$A$10:$A$400,$A28,'C19 GEG GL Trial Balance'!$D$10:$D$400,"Posting")</f>
        <v/>
      </c>
      <c r="O28" s="28">
        <f>SUMIFS('C19 GEG GL Trial Balance'!$AD$10:$AD$400,'C19 GEG GL Trial Balance'!$A$10:$A$400,$A28,'C19 GEG GL Trial Balance'!$D$10:$D$400,"Posting")</f>
        <v/>
      </c>
      <c r="P28" s="71">
        <f>SUM(D28:O28)</f>
        <v/>
      </c>
    </row>
    <row r="29">
      <c r="A29" s="45" t="inlineStr">
        <is>
          <t>5203</t>
        </is>
      </c>
      <c r="B29" s="10" t="inlineStr">
        <is>
          <t xml:space="preserve">   Penanganan pelabuhan &amp; stockpile</t>
        </is>
      </c>
      <c r="D29" s="28">
        <f>SUMIFS('C19 GEG GL Trial Balance'!$S$10:$S$400,'C19 GEG GL Trial Balance'!$A$10:$A$400,$A29,'C19 GEG GL Trial Balance'!$D$10:$D$400,"Posting")</f>
        <v/>
      </c>
      <c r="E29" s="28">
        <f>SUMIFS('C19 GEG GL Trial Balance'!$T$10:$T$400,'C19 GEG GL Trial Balance'!$A$10:$A$400,$A29,'C19 GEG GL Trial Balance'!$D$10:$D$400,"Posting")</f>
        <v/>
      </c>
      <c r="F29" s="28">
        <f>SUMIFS('C19 GEG GL Trial Balance'!$U$10:$U$400,'C19 GEG GL Trial Balance'!$A$10:$A$400,$A29,'C19 GEG GL Trial Balance'!$D$10:$D$400,"Posting")</f>
        <v/>
      </c>
      <c r="G29" s="28">
        <f>SUMIFS('C19 GEG GL Trial Balance'!$V$10:$V$400,'C19 GEG GL Trial Balance'!$A$10:$A$400,$A29,'C19 GEG GL Trial Balance'!$D$10:$D$400,"Posting")</f>
        <v/>
      </c>
      <c r="H29" s="28">
        <f>SUMIFS('C19 GEG GL Trial Balance'!$W$10:$W$400,'C19 GEG GL Trial Balance'!$A$10:$A$400,$A29,'C19 GEG GL Trial Balance'!$D$10:$D$400,"Posting")</f>
        <v/>
      </c>
      <c r="I29" s="28">
        <f>SUMIFS('C19 GEG GL Trial Balance'!$X$10:$X$400,'C19 GEG GL Trial Balance'!$A$10:$A$400,$A29,'C19 GEG GL Trial Balance'!$D$10:$D$400,"Posting")</f>
        <v/>
      </c>
      <c r="J29" s="28">
        <f>SUMIFS('C19 GEG GL Trial Balance'!$Y$10:$Y$400,'C19 GEG GL Trial Balance'!$A$10:$A$400,$A29,'C19 GEG GL Trial Balance'!$D$10:$D$400,"Posting")</f>
        <v/>
      </c>
      <c r="K29" s="28">
        <f>SUMIFS('C19 GEG GL Trial Balance'!$Z$10:$Z$400,'C19 GEG GL Trial Balance'!$A$10:$A$400,$A29,'C19 GEG GL Trial Balance'!$D$10:$D$400,"Posting")</f>
        <v/>
      </c>
      <c r="L29" s="28">
        <f>SUMIFS('C19 GEG GL Trial Balance'!$AA$10:$AA$400,'C19 GEG GL Trial Balance'!$A$10:$A$400,$A29,'C19 GEG GL Trial Balance'!$D$10:$D$400,"Posting")</f>
        <v/>
      </c>
      <c r="M29" s="28">
        <f>SUMIFS('C19 GEG GL Trial Balance'!$AB$10:$AB$400,'C19 GEG GL Trial Balance'!$A$10:$A$400,$A29,'C19 GEG GL Trial Balance'!$D$10:$D$400,"Posting")</f>
        <v/>
      </c>
      <c r="N29" s="28">
        <f>SUMIFS('C19 GEG GL Trial Balance'!$AC$10:$AC$400,'C19 GEG GL Trial Balance'!$A$10:$A$400,$A29,'C19 GEG GL Trial Balance'!$D$10:$D$400,"Posting")</f>
        <v/>
      </c>
      <c r="O29" s="28">
        <f>SUMIFS('C19 GEG GL Trial Balance'!$AD$10:$AD$400,'C19 GEG GL Trial Balance'!$A$10:$A$400,$A29,'C19 GEG GL Trial Balance'!$D$10:$D$400,"Posting")</f>
        <v/>
      </c>
      <c r="P29" s="71">
        <f>SUM(D29:O29)</f>
        <v/>
      </c>
    </row>
    <row r="30">
      <c r="A30" s="45" t="inlineStr">
        <is>
          <t>5204</t>
        </is>
      </c>
      <c r="B30" s="10" t="inlineStr">
        <is>
          <t xml:space="preserve">   Tongkang &amp; transshipment (barging)</t>
        </is>
      </c>
      <c r="D30" s="28">
        <f>SUMIFS('C19 GEG GL Trial Balance'!$S$10:$S$400,'C19 GEG GL Trial Balance'!$A$10:$A$400,$A30,'C19 GEG GL Trial Balance'!$D$10:$D$400,"Posting")</f>
        <v/>
      </c>
      <c r="E30" s="28">
        <f>SUMIFS('C19 GEG GL Trial Balance'!$T$10:$T$400,'C19 GEG GL Trial Balance'!$A$10:$A$400,$A30,'C19 GEG GL Trial Balance'!$D$10:$D$400,"Posting")</f>
        <v/>
      </c>
      <c r="F30" s="28">
        <f>SUMIFS('C19 GEG GL Trial Balance'!$U$10:$U$400,'C19 GEG GL Trial Balance'!$A$10:$A$400,$A30,'C19 GEG GL Trial Balance'!$D$10:$D$400,"Posting")</f>
        <v/>
      </c>
      <c r="G30" s="28">
        <f>SUMIFS('C19 GEG GL Trial Balance'!$V$10:$V$400,'C19 GEG GL Trial Balance'!$A$10:$A$400,$A30,'C19 GEG GL Trial Balance'!$D$10:$D$400,"Posting")</f>
        <v/>
      </c>
      <c r="H30" s="28">
        <f>SUMIFS('C19 GEG GL Trial Balance'!$W$10:$W$400,'C19 GEG GL Trial Balance'!$A$10:$A$400,$A30,'C19 GEG GL Trial Balance'!$D$10:$D$400,"Posting")</f>
        <v/>
      </c>
      <c r="I30" s="28">
        <f>SUMIFS('C19 GEG GL Trial Balance'!$X$10:$X$400,'C19 GEG GL Trial Balance'!$A$10:$A$400,$A30,'C19 GEG GL Trial Balance'!$D$10:$D$400,"Posting")</f>
        <v/>
      </c>
      <c r="J30" s="28">
        <f>SUMIFS('C19 GEG GL Trial Balance'!$Y$10:$Y$400,'C19 GEG GL Trial Balance'!$A$10:$A$400,$A30,'C19 GEG GL Trial Balance'!$D$10:$D$400,"Posting")</f>
        <v/>
      </c>
      <c r="K30" s="28">
        <f>SUMIFS('C19 GEG GL Trial Balance'!$Z$10:$Z$400,'C19 GEG GL Trial Balance'!$A$10:$A$400,$A30,'C19 GEG GL Trial Balance'!$D$10:$D$400,"Posting")</f>
        <v/>
      </c>
      <c r="L30" s="28">
        <f>SUMIFS('C19 GEG GL Trial Balance'!$AA$10:$AA$400,'C19 GEG GL Trial Balance'!$A$10:$A$400,$A30,'C19 GEG GL Trial Balance'!$D$10:$D$400,"Posting")</f>
        <v/>
      </c>
      <c r="M30" s="28">
        <f>SUMIFS('C19 GEG GL Trial Balance'!$AB$10:$AB$400,'C19 GEG GL Trial Balance'!$A$10:$A$400,$A30,'C19 GEG GL Trial Balance'!$D$10:$D$400,"Posting")</f>
        <v/>
      </c>
      <c r="N30" s="28">
        <f>SUMIFS('C19 GEG GL Trial Balance'!$AC$10:$AC$400,'C19 GEG GL Trial Balance'!$A$10:$A$400,$A30,'C19 GEG GL Trial Balance'!$D$10:$D$400,"Posting")</f>
        <v/>
      </c>
      <c r="O30" s="28">
        <f>SUMIFS('C19 GEG GL Trial Balance'!$AD$10:$AD$400,'C19 GEG GL Trial Balance'!$A$10:$A$400,$A30,'C19 GEG GL Trial Balance'!$D$10:$D$400,"Posting")</f>
        <v/>
      </c>
      <c r="P30" s="71">
        <f>SUM(D30:O30)</f>
        <v/>
      </c>
    </row>
    <row r="31">
      <c r="A31" s="45" t="inlineStr"/>
      <c r="B31" s="20" t="inlineStr">
        <is>
          <t xml:space="preserve">   Subtotal pengolahan &amp; logistik</t>
        </is>
      </c>
      <c r="C31" s="23" t="n"/>
      <c r="D31" s="22">
        <f>D27+D28+D29+D30</f>
        <v/>
      </c>
      <c r="E31" s="22">
        <f>E27+E28+E29+E30</f>
        <v/>
      </c>
      <c r="F31" s="22">
        <f>F27+F28+F29+F30</f>
        <v/>
      </c>
      <c r="G31" s="22">
        <f>G27+G28+G29+G30</f>
        <v/>
      </c>
      <c r="H31" s="22">
        <f>H27+H28+H29+H30</f>
        <v/>
      </c>
      <c r="I31" s="22">
        <f>I27+I28+I29+I30</f>
        <v/>
      </c>
      <c r="J31" s="22">
        <f>J27+J28+J29+J30</f>
        <v/>
      </c>
      <c r="K31" s="22">
        <f>K27+K28+K29+K30</f>
        <v/>
      </c>
      <c r="L31" s="22">
        <f>L27+L28+L29+L30</f>
        <v/>
      </c>
      <c r="M31" s="22">
        <f>M27+M28+M29+M30</f>
        <v/>
      </c>
      <c r="N31" s="22">
        <f>N27+N28+N29+N30</f>
        <v/>
      </c>
      <c r="O31" s="22">
        <f>O27+O28+O29+O30</f>
        <v/>
      </c>
      <c r="P31" s="22">
        <f>P27+P28+P29+P30</f>
        <v/>
      </c>
    </row>
    <row r="32">
      <c r="B32" s="35" t="inlineStr">
        <is>
          <t>C. Royalti</t>
        </is>
      </c>
    </row>
    <row r="33">
      <c r="A33" s="45" t="inlineStr">
        <is>
          <t>5301</t>
        </is>
      </c>
      <c r="B33" s="10" t="inlineStr">
        <is>
          <t xml:space="preserve">   Royalti / PNBP (DHPB)</t>
        </is>
      </c>
      <c r="D33" s="28">
        <f>SUMIFS('C19 GEG GL Trial Balance'!$S$10:$S$400,'C19 GEG GL Trial Balance'!$A$10:$A$400,$A33,'C19 GEG GL Trial Balance'!$D$10:$D$400,"Posting")</f>
        <v/>
      </c>
      <c r="E33" s="28">
        <f>SUMIFS('C19 GEG GL Trial Balance'!$T$10:$T$400,'C19 GEG GL Trial Balance'!$A$10:$A$400,$A33,'C19 GEG GL Trial Balance'!$D$10:$D$400,"Posting")</f>
        <v/>
      </c>
      <c r="F33" s="28">
        <f>SUMIFS('C19 GEG GL Trial Balance'!$U$10:$U$400,'C19 GEG GL Trial Balance'!$A$10:$A$400,$A33,'C19 GEG GL Trial Balance'!$D$10:$D$400,"Posting")</f>
        <v/>
      </c>
      <c r="G33" s="28">
        <f>SUMIFS('C19 GEG GL Trial Balance'!$V$10:$V$400,'C19 GEG GL Trial Balance'!$A$10:$A$400,$A33,'C19 GEG GL Trial Balance'!$D$10:$D$400,"Posting")</f>
        <v/>
      </c>
      <c r="H33" s="28">
        <f>SUMIFS('C19 GEG GL Trial Balance'!$W$10:$W$400,'C19 GEG GL Trial Balance'!$A$10:$A$400,$A33,'C19 GEG GL Trial Balance'!$D$10:$D$400,"Posting")</f>
        <v/>
      </c>
      <c r="I33" s="28">
        <f>SUMIFS('C19 GEG GL Trial Balance'!$X$10:$X$400,'C19 GEG GL Trial Balance'!$A$10:$A$400,$A33,'C19 GEG GL Trial Balance'!$D$10:$D$400,"Posting")</f>
        <v/>
      </c>
      <c r="J33" s="28">
        <f>SUMIFS('C19 GEG GL Trial Balance'!$Y$10:$Y$400,'C19 GEG GL Trial Balance'!$A$10:$A$400,$A33,'C19 GEG GL Trial Balance'!$D$10:$D$400,"Posting")</f>
        <v/>
      </c>
      <c r="K33" s="28">
        <f>SUMIFS('C19 GEG GL Trial Balance'!$Z$10:$Z$400,'C19 GEG GL Trial Balance'!$A$10:$A$400,$A33,'C19 GEG GL Trial Balance'!$D$10:$D$400,"Posting")</f>
        <v/>
      </c>
      <c r="L33" s="28">
        <f>SUMIFS('C19 GEG GL Trial Balance'!$AA$10:$AA$400,'C19 GEG GL Trial Balance'!$A$10:$A$400,$A33,'C19 GEG GL Trial Balance'!$D$10:$D$400,"Posting")</f>
        <v/>
      </c>
      <c r="M33" s="28">
        <f>SUMIFS('C19 GEG GL Trial Balance'!$AB$10:$AB$400,'C19 GEG GL Trial Balance'!$A$10:$A$400,$A33,'C19 GEG GL Trial Balance'!$D$10:$D$400,"Posting")</f>
        <v/>
      </c>
      <c r="N33" s="28">
        <f>SUMIFS('C19 GEG GL Trial Balance'!$AC$10:$AC$400,'C19 GEG GL Trial Balance'!$A$10:$A$400,$A33,'C19 GEG GL Trial Balance'!$D$10:$D$400,"Posting")</f>
        <v/>
      </c>
      <c r="O33" s="28">
        <f>SUMIFS('C19 GEG GL Trial Balance'!$AD$10:$AD$400,'C19 GEG GL Trial Balance'!$A$10:$A$400,$A33,'C19 GEG GL Trial Balance'!$D$10:$D$400,"Posting")</f>
        <v/>
      </c>
      <c r="P33" s="71">
        <f>SUM(D33:O33)</f>
        <v/>
      </c>
    </row>
    <row r="34">
      <c r="B34" s="35" t="inlineStr">
        <is>
          <t>D. Overhead site</t>
        </is>
      </c>
    </row>
    <row r="35">
      <c r="A35" s="45" t="inlineStr">
        <is>
          <t>5401</t>
        </is>
      </c>
      <c r="B35" s="10" t="inlineStr">
        <is>
          <t xml:space="preserve">   Gaji &amp; tunjangan karyawan site</t>
        </is>
      </c>
      <c r="D35" s="28">
        <f>SUMIFS('C19 GEG GL Trial Balance'!$S$10:$S$400,'C19 GEG GL Trial Balance'!$A$10:$A$400,$A35,'C19 GEG GL Trial Balance'!$D$10:$D$400,"Posting")</f>
        <v/>
      </c>
      <c r="E35" s="28">
        <f>SUMIFS('C19 GEG GL Trial Balance'!$T$10:$T$400,'C19 GEG GL Trial Balance'!$A$10:$A$400,$A35,'C19 GEG GL Trial Balance'!$D$10:$D$400,"Posting")</f>
        <v/>
      </c>
      <c r="F35" s="28">
        <f>SUMIFS('C19 GEG GL Trial Balance'!$U$10:$U$400,'C19 GEG GL Trial Balance'!$A$10:$A$400,$A35,'C19 GEG GL Trial Balance'!$D$10:$D$400,"Posting")</f>
        <v/>
      </c>
      <c r="G35" s="28">
        <f>SUMIFS('C19 GEG GL Trial Balance'!$V$10:$V$400,'C19 GEG GL Trial Balance'!$A$10:$A$400,$A35,'C19 GEG GL Trial Balance'!$D$10:$D$400,"Posting")</f>
        <v/>
      </c>
      <c r="H35" s="28">
        <f>SUMIFS('C19 GEG GL Trial Balance'!$W$10:$W$400,'C19 GEG GL Trial Balance'!$A$10:$A$400,$A35,'C19 GEG GL Trial Balance'!$D$10:$D$400,"Posting")</f>
        <v/>
      </c>
      <c r="I35" s="28">
        <f>SUMIFS('C19 GEG GL Trial Balance'!$X$10:$X$400,'C19 GEG GL Trial Balance'!$A$10:$A$400,$A35,'C19 GEG GL Trial Balance'!$D$10:$D$400,"Posting")</f>
        <v/>
      </c>
      <c r="J35" s="28">
        <f>SUMIFS('C19 GEG GL Trial Balance'!$Y$10:$Y$400,'C19 GEG GL Trial Balance'!$A$10:$A$400,$A35,'C19 GEG GL Trial Balance'!$D$10:$D$400,"Posting")</f>
        <v/>
      </c>
      <c r="K35" s="28">
        <f>SUMIFS('C19 GEG GL Trial Balance'!$Z$10:$Z$400,'C19 GEG GL Trial Balance'!$A$10:$A$400,$A35,'C19 GEG GL Trial Balance'!$D$10:$D$400,"Posting")</f>
        <v/>
      </c>
      <c r="L35" s="28">
        <f>SUMIFS('C19 GEG GL Trial Balance'!$AA$10:$AA$400,'C19 GEG GL Trial Balance'!$A$10:$A$400,$A35,'C19 GEG GL Trial Balance'!$D$10:$D$400,"Posting")</f>
        <v/>
      </c>
      <c r="M35" s="28">
        <f>SUMIFS('C19 GEG GL Trial Balance'!$AB$10:$AB$400,'C19 GEG GL Trial Balance'!$A$10:$A$400,$A35,'C19 GEG GL Trial Balance'!$D$10:$D$400,"Posting")</f>
        <v/>
      </c>
      <c r="N35" s="28">
        <f>SUMIFS('C19 GEG GL Trial Balance'!$AC$10:$AC$400,'C19 GEG GL Trial Balance'!$A$10:$A$400,$A35,'C19 GEG GL Trial Balance'!$D$10:$D$400,"Posting")</f>
        <v/>
      </c>
      <c r="O35" s="28">
        <f>SUMIFS('C19 GEG GL Trial Balance'!$AD$10:$AD$400,'C19 GEG GL Trial Balance'!$A$10:$A$400,$A35,'C19 GEG GL Trial Balance'!$D$10:$D$400,"Posting")</f>
        <v/>
      </c>
      <c r="P35" s="71">
        <f>SUM(D35:O35)</f>
        <v/>
      </c>
    </row>
    <row r="36">
      <c r="A36" s="45" t="inlineStr">
        <is>
          <t>5402</t>
        </is>
      </c>
      <c r="B36" s="10" t="inlineStr">
        <is>
          <t xml:space="preserve">   Camp, mess &amp; katering</t>
        </is>
      </c>
      <c r="D36" s="28">
        <f>SUMIFS('C19 GEG GL Trial Balance'!$S$10:$S$400,'C19 GEG GL Trial Balance'!$A$10:$A$400,$A36,'C19 GEG GL Trial Balance'!$D$10:$D$400,"Posting")</f>
        <v/>
      </c>
      <c r="E36" s="28">
        <f>SUMIFS('C19 GEG GL Trial Balance'!$T$10:$T$400,'C19 GEG GL Trial Balance'!$A$10:$A$400,$A36,'C19 GEG GL Trial Balance'!$D$10:$D$400,"Posting")</f>
        <v/>
      </c>
      <c r="F36" s="28">
        <f>SUMIFS('C19 GEG GL Trial Balance'!$U$10:$U$400,'C19 GEG GL Trial Balance'!$A$10:$A$400,$A36,'C19 GEG GL Trial Balance'!$D$10:$D$400,"Posting")</f>
        <v/>
      </c>
      <c r="G36" s="28">
        <f>SUMIFS('C19 GEG GL Trial Balance'!$V$10:$V$400,'C19 GEG GL Trial Balance'!$A$10:$A$400,$A36,'C19 GEG GL Trial Balance'!$D$10:$D$400,"Posting")</f>
        <v/>
      </c>
      <c r="H36" s="28">
        <f>SUMIFS('C19 GEG GL Trial Balance'!$W$10:$W$400,'C19 GEG GL Trial Balance'!$A$10:$A$400,$A36,'C19 GEG GL Trial Balance'!$D$10:$D$400,"Posting")</f>
        <v/>
      </c>
      <c r="I36" s="28">
        <f>SUMIFS('C19 GEG GL Trial Balance'!$X$10:$X$400,'C19 GEG GL Trial Balance'!$A$10:$A$400,$A36,'C19 GEG GL Trial Balance'!$D$10:$D$400,"Posting")</f>
        <v/>
      </c>
      <c r="J36" s="28">
        <f>SUMIFS('C19 GEG GL Trial Balance'!$Y$10:$Y$400,'C19 GEG GL Trial Balance'!$A$10:$A$400,$A36,'C19 GEG GL Trial Balance'!$D$10:$D$400,"Posting")</f>
        <v/>
      </c>
      <c r="K36" s="28">
        <f>SUMIFS('C19 GEG GL Trial Balance'!$Z$10:$Z$400,'C19 GEG GL Trial Balance'!$A$10:$A$400,$A36,'C19 GEG GL Trial Balance'!$D$10:$D$400,"Posting")</f>
        <v/>
      </c>
      <c r="L36" s="28">
        <f>SUMIFS('C19 GEG GL Trial Balance'!$AA$10:$AA$400,'C19 GEG GL Trial Balance'!$A$10:$A$400,$A36,'C19 GEG GL Trial Balance'!$D$10:$D$400,"Posting")</f>
        <v/>
      </c>
      <c r="M36" s="28">
        <f>SUMIFS('C19 GEG GL Trial Balance'!$AB$10:$AB$400,'C19 GEG GL Trial Balance'!$A$10:$A$400,$A36,'C19 GEG GL Trial Balance'!$D$10:$D$400,"Posting")</f>
        <v/>
      </c>
      <c r="N36" s="28">
        <f>SUMIFS('C19 GEG GL Trial Balance'!$AC$10:$AC$400,'C19 GEG GL Trial Balance'!$A$10:$A$400,$A36,'C19 GEG GL Trial Balance'!$D$10:$D$400,"Posting")</f>
        <v/>
      </c>
      <c r="O36" s="28">
        <f>SUMIFS('C19 GEG GL Trial Balance'!$AD$10:$AD$400,'C19 GEG GL Trial Balance'!$A$10:$A$400,$A36,'C19 GEG GL Trial Balance'!$D$10:$D$400,"Posting")</f>
        <v/>
      </c>
      <c r="P36" s="71">
        <f>SUM(D36:O36)</f>
        <v/>
      </c>
    </row>
    <row r="37">
      <c r="A37" s="45" t="inlineStr">
        <is>
          <t>5403</t>
        </is>
      </c>
      <c r="B37" s="10" t="inlineStr">
        <is>
          <t xml:space="preserve">   K3 / HSE</t>
        </is>
      </c>
      <c r="D37" s="28">
        <f>SUMIFS('C19 GEG GL Trial Balance'!$S$10:$S$400,'C19 GEG GL Trial Balance'!$A$10:$A$400,$A37,'C19 GEG GL Trial Balance'!$D$10:$D$400,"Posting")</f>
        <v/>
      </c>
      <c r="E37" s="28">
        <f>SUMIFS('C19 GEG GL Trial Balance'!$T$10:$T$400,'C19 GEG GL Trial Balance'!$A$10:$A$400,$A37,'C19 GEG GL Trial Balance'!$D$10:$D$400,"Posting")</f>
        <v/>
      </c>
      <c r="F37" s="28">
        <f>SUMIFS('C19 GEG GL Trial Balance'!$U$10:$U$400,'C19 GEG GL Trial Balance'!$A$10:$A$400,$A37,'C19 GEG GL Trial Balance'!$D$10:$D$400,"Posting")</f>
        <v/>
      </c>
      <c r="G37" s="28">
        <f>SUMIFS('C19 GEG GL Trial Balance'!$V$10:$V$400,'C19 GEG GL Trial Balance'!$A$10:$A$400,$A37,'C19 GEG GL Trial Balance'!$D$10:$D$400,"Posting")</f>
        <v/>
      </c>
      <c r="H37" s="28">
        <f>SUMIFS('C19 GEG GL Trial Balance'!$W$10:$W$400,'C19 GEG GL Trial Balance'!$A$10:$A$400,$A37,'C19 GEG GL Trial Balance'!$D$10:$D$400,"Posting")</f>
        <v/>
      </c>
      <c r="I37" s="28">
        <f>SUMIFS('C19 GEG GL Trial Balance'!$X$10:$X$400,'C19 GEG GL Trial Balance'!$A$10:$A$400,$A37,'C19 GEG GL Trial Balance'!$D$10:$D$400,"Posting")</f>
        <v/>
      </c>
      <c r="J37" s="28">
        <f>SUMIFS('C19 GEG GL Trial Balance'!$Y$10:$Y$400,'C19 GEG GL Trial Balance'!$A$10:$A$400,$A37,'C19 GEG GL Trial Balance'!$D$10:$D$400,"Posting")</f>
        <v/>
      </c>
      <c r="K37" s="28">
        <f>SUMIFS('C19 GEG GL Trial Balance'!$Z$10:$Z$400,'C19 GEG GL Trial Balance'!$A$10:$A$400,$A37,'C19 GEG GL Trial Balance'!$D$10:$D$400,"Posting")</f>
        <v/>
      </c>
      <c r="L37" s="28">
        <f>SUMIFS('C19 GEG GL Trial Balance'!$AA$10:$AA$400,'C19 GEG GL Trial Balance'!$A$10:$A$400,$A37,'C19 GEG GL Trial Balance'!$D$10:$D$400,"Posting")</f>
        <v/>
      </c>
      <c r="M37" s="28">
        <f>SUMIFS('C19 GEG GL Trial Balance'!$AB$10:$AB$400,'C19 GEG GL Trial Balance'!$A$10:$A$400,$A37,'C19 GEG GL Trial Balance'!$D$10:$D$400,"Posting")</f>
        <v/>
      </c>
      <c r="N37" s="28">
        <f>SUMIFS('C19 GEG GL Trial Balance'!$AC$10:$AC$400,'C19 GEG GL Trial Balance'!$A$10:$A$400,$A37,'C19 GEG GL Trial Balance'!$D$10:$D$400,"Posting")</f>
        <v/>
      </c>
      <c r="O37" s="28">
        <f>SUMIFS('C19 GEG GL Trial Balance'!$AD$10:$AD$400,'C19 GEG GL Trial Balance'!$A$10:$A$400,$A37,'C19 GEG GL Trial Balance'!$D$10:$D$400,"Posting")</f>
        <v/>
      </c>
      <c r="P37" s="71">
        <f>SUM(D37:O37)</f>
        <v/>
      </c>
    </row>
    <row r="38">
      <c r="A38" s="45" t="inlineStr">
        <is>
          <t>5404</t>
        </is>
      </c>
      <c r="B38" s="10" t="inlineStr">
        <is>
          <t xml:space="preserve">   Lingkungan &amp; reklamasi (provisi)</t>
        </is>
      </c>
      <c r="D38" s="28">
        <f>SUMIFS('C19 GEG GL Trial Balance'!$S$10:$S$400,'C19 GEG GL Trial Balance'!$A$10:$A$400,$A38,'C19 GEG GL Trial Balance'!$D$10:$D$400,"Posting")</f>
        <v/>
      </c>
      <c r="E38" s="28">
        <f>SUMIFS('C19 GEG GL Trial Balance'!$T$10:$T$400,'C19 GEG GL Trial Balance'!$A$10:$A$400,$A38,'C19 GEG GL Trial Balance'!$D$10:$D$400,"Posting")</f>
        <v/>
      </c>
      <c r="F38" s="28">
        <f>SUMIFS('C19 GEG GL Trial Balance'!$U$10:$U$400,'C19 GEG GL Trial Balance'!$A$10:$A$400,$A38,'C19 GEG GL Trial Balance'!$D$10:$D$400,"Posting")</f>
        <v/>
      </c>
      <c r="G38" s="28">
        <f>SUMIFS('C19 GEG GL Trial Balance'!$V$10:$V$400,'C19 GEG GL Trial Balance'!$A$10:$A$400,$A38,'C19 GEG GL Trial Balance'!$D$10:$D$400,"Posting")</f>
        <v/>
      </c>
      <c r="H38" s="28">
        <f>SUMIFS('C19 GEG GL Trial Balance'!$W$10:$W$400,'C19 GEG GL Trial Balance'!$A$10:$A$400,$A38,'C19 GEG GL Trial Balance'!$D$10:$D$400,"Posting")</f>
        <v/>
      </c>
      <c r="I38" s="28">
        <f>SUMIFS('C19 GEG GL Trial Balance'!$X$10:$X$400,'C19 GEG GL Trial Balance'!$A$10:$A$400,$A38,'C19 GEG GL Trial Balance'!$D$10:$D$400,"Posting")</f>
        <v/>
      </c>
      <c r="J38" s="28">
        <f>SUMIFS('C19 GEG GL Trial Balance'!$Y$10:$Y$400,'C19 GEG GL Trial Balance'!$A$10:$A$400,$A38,'C19 GEG GL Trial Balance'!$D$10:$D$400,"Posting")</f>
        <v/>
      </c>
      <c r="K38" s="28">
        <f>SUMIFS('C19 GEG GL Trial Balance'!$Z$10:$Z$400,'C19 GEG GL Trial Balance'!$A$10:$A$400,$A38,'C19 GEG GL Trial Balance'!$D$10:$D$400,"Posting")</f>
        <v/>
      </c>
      <c r="L38" s="28">
        <f>SUMIFS('C19 GEG GL Trial Balance'!$AA$10:$AA$400,'C19 GEG GL Trial Balance'!$A$10:$A$400,$A38,'C19 GEG GL Trial Balance'!$D$10:$D$400,"Posting")</f>
        <v/>
      </c>
      <c r="M38" s="28">
        <f>SUMIFS('C19 GEG GL Trial Balance'!$AB$10:$AB$400,'C19 GEG GL Trial Balance'!$A$10:$A$400,$A38,'C19 GEG GL Trial Balance'!$D$10:$D$400,"Posting")</f>
        <v/>
      </c>
      <c r="N38" s="28">
        <f>SUMIFS('C19 GEG GL Trial Balance'!$AC$10:$AC$400,'C19 GEG GL Trial Balance'!$A$10:$A$400,$A38,'C19 GEG GL Trial Balance'!$D$10:$D$400,"Posting")</f>
        <v/>
      </c>
      <c r="O38" s="28">
        <f>SUMIFS('C19 GEG GL Trial Balance'!$AD$10:$AD$400,'C19 GEG GL Trial Balance'!$A$10:$A$400,$A38,'C19 GEG GL Trial Balance'!$D$10:$D$400,"Posting")</f>
        <v/>
      </c>
      <c r="P38" s="71">
        <f>SUM(D38:O38)</f>
        <v/>
      </c>
    </row>
    <row r="39">
      <c r="A39" s="45" t="inlineStr">
        <is>
          <t>5405</t>
        </is>
      </c>
      <c r="B39" s="10" t="inlineStr">
        <is>
          <t xml:space="preserve">   PPM / CSR</t>
        </is>
      </c>
      <c r="D39" s="28">
        <f>SUMIFS('C19 GEG GL Trial Balance'!$S$10:$S$400,'C19 GEG GL Trial Balance'!$A$10:$A$400,$A39,'C19 GEG GL Trial Balance'!$D$10:$D$400,"Posting")</f>
        <v/>
      </c>
      <c r="E39" s="28">
        <f>SUMIFS('C19 GEG GL Trial Balance'!$T$10:$T$400,'C19 GEG GL Trial Balance'!$A$10:$A$400,$A39,'C19 GEG GL Trial Balance'!$D$10:$D$400,"Posting")</f>
        <v/>
      </c>
      <c r="F39" s="28">
        <f>SUMIFS('C19 GEG GL Trial Balance'!$U$10:$U$400,'C19 GEG GL Trial Balance'!$A$10:$A$400,$A39,'C19 GEG GL Trial Balance'!$D$10:$D$400,"Posting")</f>
        <v/>
      </c>
      <c r="G39" s="28">
        <f>SUMIFS('C19 GEG GL Trial Balance'!$V$10:$V$400,'C19 GEG GL Trial Balance'!$A$10:$A$400,$A39,'C19 GEG GL Trial Balance'!$D$10:$D$400,"Posting")</f>
        <v/>
      </c>
      <c r="H39" s="28">
        <f>SUMIFS('C19 GEG GL Trial Balance'!$W$10:$W$400,'C19 GEG GL Trial Balance'!$A$10:$A$400,$A39,'C19 GEG GL Trial Balance'!$D$10:$D$400,"Posting")</f>
        <v/>
      </c>
      <c r="I39" s="28">
        <f>SUMIFS('C19 GEG GL Trial Balance'!$X$10:$X$400,'C19 GEG GL Trial Balance'!$A$10:$A$400,$A39,'C19 GEG GL Trial Balance'!$D$10:$D$400,"Posting")</f>
        <v/>
      </c>
      <c r="J39" s="28">
        <f>SUMIFS('C19 GEG GL Trial Balance'!$Y$10:$Y$400,'C19 GEG GL Trial Balance'!$A$10:$A$400,$A39,'C19 GEG GL Trial Balance'!$D$10:$D$400,"Posting")</f>
        <v/>
      </c>
      <c r="K39" s="28">
        <f>SUMIFS('C19 GEG GL Trial Balance'!$Z$10:$Z$400,'C19 GEG GL Trial Balance'!$A$10:$A$400,$A39,'C19 GEG GL Trial Balance'!$D$10:$D$400,"Posting")</f>
        <v/>
      </c>
      <c r="L39" s="28">
        <f>SUMIFS('C19 GEG GL Trial Balance'!$AA$10:$AA$400,'C19 GEG GL Trial Balance'!$A$10:$A$400,$A39,'C19 GEG GL Trial Balance'!$D$10:$D$400,"Posting")</f>
        <v/>
      </c>
      <c r="M39" s="28">
        <f>SUMIFS('C19 GEG GL Trial Balance'!$AB$10:$AB$400,'C19 GEG GL Trial Balance'!$A$10:$A$400,$A39,'C19 GEG GL Trial Balance'!$D$10:$D$400,"Posting")</f>
        <v/>
      </c>
      <c r="N39" s="28">
        <f>SUMIFS('C19 GEG GL Trial Balance'!$AC$10:$AC$400,'C19 GEG GL Trial Balance'!$A$10:$A$400,$A39,'C19 GEG GL Trial Balance'!$D$10:$D$400,"Posting")</f>
        <v/>
      </c>
      <c r="O39" s="28">
        <f>SUMIFS('C19 GEG GL Trial Balance'!$AD$10:$AD$400,'C19 GEG GL Trial Balance'!$A$10:$A$400,$A39,'C19 GEG GL Trial Balance'!$D$10:$D$400,"Posting")</f>
        <v/>
      </c>
      <c r="P39" s="71">
        <f>SUM(D39:O39)</f>
        <v/>
      </c>
    </row>
    <row r="40">
      <c r="A40" s="45" t="inlineStr">
        <is>
          <t>5406</t>
        </is>
      </c>
      <c r="B40" s="10" t="inlineStr">
        <is>
          <t xml:space="preserve">   Iuran tetap &amp; kompensasi lahan</t>
        </is>
      </c>
      <c r="D40" s="28">
        <f>SUMIFS('C19 GEG GL Trial Balance'!$S$10:$S$400,'C19 GEG GL Trial Balance'!$A$10:$A$400,$A40,'C19 GEG GL Trial Balance'!$D$10:$D$400,"Posting")</f>
        <v/>
      </c>
      <c r="E40" s="28">
        <f>SUMIFS('C19 GEG GL Trial Balance'!$T$10:$T$400,'C19 GEG GL Trial Balance'!$A$10:$A$400,$A40,'C19 GEG GL Trial Balance'!$D$10:$D$400,"Posting")</f>
        <v/>
      </c>
      <c r="F40" s="28">
        <f>SUMIFS('C19 GEG GL Trial Balance'!$U$10:$U$400,'C19 GEG GL Trial Balance'!$A$10:$A$400,$A40,'C19 GEG GL Trial Balance'!$D$10:$D$400,"Posting")</f>
        <v/>
      </c>
      <c r="G40" s="28">
        <f>SUMIFS('C19 GEG GL Trial Balance'!$V$10:$V$400,'C19 GEG GL Trial Balance'!$A$10:$A$400,$A40,'C19 GEG GL Trial Balance'!$D$10:$D$400,"Posting")</f>
        <v/>
      </c>
      <c r="H40" s="28">
        <f>SUMIFS('C19 GEG GL Trial Balance'!$W$10:$W$400,'C19 GEG GL Trial Balance'!$A$10:$A$400,$A40,'C19 GEG GL Trial Balance'!$D$10:$D$400,"Posting")</f>
        <v/>
      </c>
      <c r="I40" s="28">
        <f>SUMIFS('C19 GEG GL Trial Balance'!$X$10:$X$400,'C19 GEG GL Trial Balance'!$A$10:$A$400,$A40,'C19 GEG GL Trial Balance'!$D$10:$D$400,"Posting")</f>
        <v/>
      </c>
      <c r="J40" s="28">
        <f>SUMIFS('C19 GEG GL Trial Balance'!$Y$10:$Y$400,'C19 GEG GL Trial Balance'!$A$10:$A$400,$A40,'C19 GEG GL Trial Balance'!$D$10:$D$400,"Posting")</f>
        <v/>
      </c>
      <c r="K40" s="28">
        <f>SUMIFS('C19 GEG GL Trial Balance'!$Z$10:$Z$400,'C19 GEG GL Trial Balance'!$A$10:$A$400,$A40,'C19 GEG GL Trial Balance'!$D$10:$D$400,"Posting")</f>
        <v/>
      </c>
      <c r="L40" s="28">
        <f>SUMIFS('C19 GEG GL Trial Balance'!$AA$10:$AA$400,'C19 GEG GL Trial Balance'!$A$10:$A$400,$A40,'C19 GEG GL Trial Balance'!$D$10:$D$400,"Posting")</f>
        <v/>
      </c>
      <c r="M40" s="28">
        <f>SUMIFS('C19 GEG GL Trial Balance'!$AB$10:$AB$400,'C19 GEG GL Trial Balance'!$A$10:$A$400,$A40,'C19 GEG GL Trial Balance'!$D$10:$D$400,"Posting")</f>
        <v/>
      </c>
      <c r="N40" s="28">
        <f>SUMIFS('C19 GEG GL Trial Balance'!$AC$10:$AC$400,'C19 GEG GL Trial Balance'!$A$10:$A$400,$A40,'C19 GEG GL Trial Balance'!$D$10:$D$400,"Posting")</f>
        <v/>
      </c>
      <c r="O40" s="28">
        <f>SUMIFS('C19 GEG GL Trial Balance'!$AD$10:$AD$400,'C19 GEG GL Trial Balance'!$A$10:$A$400,$A40,'C19 GEG GL Trial Balance'!$D$10:$D$400,"Posting")</f>
        <v/>
      </c>
      <c r="P40" s="71">
        <f>SUM(D40:O40)</f>
        <v/>
      </c>
    </row>
    <row r="41">
      <c r="A41" s="45" t="inlineStr"/>
      <c r="B41" s="20" t="inlineStr">
        <is>
          <t xml:space="preserve">   Subtotal overhead site</t>
        </is>
      </c>
      <c r="C41" s="23" t="n"/>
      <c r="D41" s="22">
        <f>D35+D36+D37+D38+D39+D40</f>
        <v/>
      </c>
      <c r="E41" s="22">
        <f>E35+E36+E37+E38+E39+E40</f>
        <v/>
      </c>
      <c r="F41" s="22">
        <f>F35+F36+F37+F38+F39+F40</f>
        <v/>
      </c>
      <c r="G41" s="22">
        <f>G35+G36+G37+G38+G39+G40</f>
        <v/>
      </c>
      <c r="H41" s="22">
        <f>H35+H36+H37+H38+H39+H40</f>
        <v/>
      </c>
      <c r="I41" s="22">
        <f>I35+I36+I37+I38+I39+I40</f>
        <v/>
      </c>
      <c r="J41" s="22">
        <f>J35+J36+J37+J38+J39+J40</f>
        <v/>
      </c>
      <c r="K41" s="22">
        <f>K35+K36+K37+K38+K39+K40</f>
        <v/>
      </c>
      <c r="L41" s="22">
        <f>L35+L36+L37+L38+L39+L40</f>
        <v/>
      </c>
      <c r="M41" s="22">
        <f>M35+M36+M37+M38+M39+M40</f>
        <v/>
      </c>
      <c r="N41" s="22">
        <f>N35+N36+N37+N38+N39+N40</f>
        <v/>
      </c>
      <c r="O41" s="22">
        <f>O35+O36+O37+O38+O39+O40</f>
        <v/>
      </c>
      <c r="P41" s="22">
        <f>P35+P36+P37+P38+P39+P40</f>
        <v/>
      </c>
    </row>
    <row r="42">
      <c r="B42" s="35" t="inlineStr">
        <is>
          <t>E. Penyusutan &amp; amortisasi</t>
        </is>
      </c>
    </row>
    <row r="43">
      <c r="A43" s="45" t="inlineStr">
        <is>
          <t>5501</t>
        </is>
      </c>
      <c r="B43" s="10" t="inlineStr">
        <is>
          <t xml:space="preserve">   Penyusutan aset tetap</t>
        </is>
      </c>
      <c r="D43" s="28">
        <f>SUMIFS('C19 GEG GL Trial Balance'!$S$10:$S$400,'C19 GEG GL Trial Balance'!$A$10:$A$400,$A43,'C19 GEG GL Trial Balance'!$D$10:$D$400,"Posting")</f>
        <v/>
      </c>
      <c r="E43" s="28">
        <f>SUMIFS('C19 GEG GL Trial Balance'!$T$10:$T$400,'C19 GEG GL Trial Balance'!$A$10:$A$400,$A43,'C19 GEG GL Trial Balance'!$D$10:$D$400,"Posting")</f>
        <v/>
      </c>
      <c r="F43" s="28">
        <f>SUMIFS('C19 GEG GL Trial Balance'!$U$10:$U$400,'C19 GEG GL Trial Balance'!$A$10:$A$400,$A43,'C19 GEG GL Trial Balance'!$D$10:$D$400,"Posting")</f>
        <v/>
      </c>
      <c r="G43" s="28">
        <f>SUMIFS('C19 GEG GL Trial Balance'!$V$10:$V$400,'C19 GEG GL Trial Balance'!$A$10:$A$400,$A43,'C19 GEG GL Trial Balance'!$D$10:$D$400,"Posting")</f>
        <v/>
      </c>
      <c r="H43" s="28">
        <f>SUMIFS('C19 GEG GL Trial Balance'!$W$10:$W$400,'C19 GEG GL Trial Balance'!$A$10:$A$400,$A43,'C19 GEG GL Trial Balance'!$D$10:$D$400,"Posting")</f>
        <v/>
      </c>
      <c r="I43" s="28">
        <f>SUMIFS('C19 GEG GL Trial Balance'!$X$10:$X$400,'C19 GEG GL Trial Balance'!$A$10:$A$400,$A43,'C19 GEG GL Trial Balance'!$D$10:$D$400,"Posting")</f>
        <v/>
      </c>
      <c r="J43" s="28">
        <f>SUMIFS('C19 GEG GL Trial Balance'!$Y$10:$Y$400,'C19 GEG GL Trial Balance'!$A$10:$A$400,$A43,'C19 GEG GL Trial Balance'!$D$10:$D$400,"Posting")</f>
        <v/>
      </c>
      <c r="K43" s="28">
        <f>SUMIFS('C19 GEG GL Trial Balance'!$Z$10:$Z$400,'C19 GEG GL Trial Balance'!$A$10:$A$400,$A43,'C19 GEG GL Trial Balance'!$D$10:$D$400,"Posting")</f>
        <v/>
      </c>
      <c r="L43" s="28">
        <f>SUMIFS('C19 GEG GL Trial Balance'!$AA$10:$AA$400,'C19 GEG GL Trial Balance'!$A$10:$A$400,$A43,'C19 GEG GL Trial Balance'!$D$10:$D$400,"Posting")</f>
        <v/>
      </c>
      <c r="M43" s="28">
        <f>SUMIFS('C19 GEG GL Trial Balance'!$AB$10:$AB$400,'C19 GEG GL Trial Balance'!$A$10:$A$400,$A43,'C19 GEG GL Trial Balance'!$D$10:$D$400,"Posting")</f>
        <v/>
      </c>
      <c r="N43" s="28">
        <f>SUMIFS('C19 GEG GL Trial Balance'!$AC$10:$AC$400,'C19 GEG GL Trial Balance'!$A$10:$A$400,$A43,'C19 GEG GL Trial Balance'!$D$10:$D$400,"Posting")</f>
        <v/>
      </c>
      <c r="O43" s="28">
        <f>SUMIFS('C19 GEG GL Trial Balance'!$AD$10:$AD$400,'C19 GEG GL Trial Balance'!$A$10:$A$400,$A43,'C19 GEG GL Trial Balance'!$D$10:$D$400,"Posting")</f>
        <v/>
      </c>
      <c r="P43" s="71">
        <f>SUM(D43:O43)</f>
        <v/>
      </c>
    </row>
    <row r="44">
      <c r="A44" s="45" t="inlineStr">
        <is>
          <t>5502</t>
        </is>
      </c>
      <c r="B44" s="10" t="inlineStr">
        <is>
          <t xml:space="preserve">   Amortisasi properti pertambangan</t>
        </is>
      </c>
      <c r="D44" s="28">
        <f>SUMIFS('C19 GEG GL Trial Balance'!$S$10:$S$400,'C19 GEG GL Trial Balance'!$A$10:$A$400,$A44,'C19 GEG GL Trial Balance'!$D$10:$D$400,"Posting")</f>
        <v/>
      </c>
      <c r="E44" s="28">
        <f>SUMIFS('C19 GEG GL Trial Balance'!$T$10:$T$400,'C19 GEG GL Trial Balance'!$A$10:$A$400,$A44,'C19 GEG GL Trial Balance'!$D$10:$D$400,"Posting")</f>
        <v/>
      </c>
      <c r="F44" s="28">
        <f>SUMIFS('C19 GEG GL Trial Balance'!$U$10:$U$400,'C19 GEG GL Trial Balance'!$A$10:$A$400,$A44,'C19 GEG GL Trial Balance'!$D$10:$D$400,"Posting")</f>
        <v/>
      </c>
      <c r="G44" s="28">
        <f>SUMIFS('C19 GEG GL Trial Balance'!$V$10:$V$400,'C19 GEG GL Trial Balance'!$A$10:$A$400,$A44,'C19 GEG GL Trial Balance'!$D$10:$D$400,"Posting")</f>
        <v/>
      </c>
      <c r="H44" s="28">
        <f>SUMIFS('C19 GEG GL Trial Balance'!$W$10:$W$400,'C19 GEG GL Trial Balance'!$A$10:$A$400,$A44,'C19 GEG GL Trial Balance'!$D$10:$D$400,"Posting")</f>
        <v/>
      </c>
      <c r="I44" s="28">
        <f>SUMIFS('C19 GEG GL Trial Balance'!$X$10:$X$400,'C19 GEG GL Trial Balance'!$A$10:$A$400,$A44,'C19 GEG GL Trial Balance'!$D$10:$D$400,"Posting")</f>
        <v/>
      </c>
      <c r="J44" s="28">
        <f>SUMIFS('C19 GEG GL Trial Balance'!$Y$10:$Y$400,'C19 GEG GL Trial Balance'!$A$10:$A$400,$A44,'C19 GEG GL Trial Balance'!$D$10:$D$400,"Posting")</f>
        <v/>
      </c>
      <c r="K44" s="28">
        <f>SUMIFS('C19 GEG GL Trial Balance'!$Z$10:$Z$400,'C19 GEG GL Trial Balance'!$A$10:$A$400,$A44,'C19 GEG GL Trial Balance'!$D$10:$D$400,"Posting")</f>
        <v/>
      </c>
      <c r="L44" s="28">
        <f>SUMIFS('C19 GEG GL Trial Balance'!$AA$10:$AA$400,'C19 GEG GL Trial Balance'!$A$10:$A$400,$A44,'C19 GEG GL Trial Balance'!$D$10:$D$400,"Posting")</f>
        <v/>
      </c>
      <c r="M44" s="28">
        <f>SUMIFS('C19 GEG GL Trial Balance'!$AB$10:$AB$400,'C19 GEG GL Trial Balance'!$A$10:$A$400,$A44,'C19 GEG GL Trial Balance'!$D$10:$D$400,"Posting")</f>
        <v/>
      </c>
      <c r="N44" s="28">
        <f>SUMIFS('C19 GEG GL Trial Balance'!$AC$10:$AC$400,'C19 GEG GL Trial Balance'!$A$10:$A$400,$A44,'C19 GEG GL Trial Balance'!$D$10:$D$400,"Posting")</f>
        <v/>
      </c>
      <c r="O44" s="28">
        <f>SUMIFS('C19 GEG GL Trial Balance'!$AD$10:$AD$400,'C19 GEG GL Trial Balance'!$A$10:$A$400,$A44,'C19 GEG GL Trial Balance'!$D$10:$D$400,"Posting")</f>
        <v/>
      </c>
      <c r="P44" s="71">
        <f>SUM(D44:O44)</f>
        <v/>
      </c>
    </row>
    <row r="45">
      <c r="A45" s="45" t="inlineStr">
        <is>
          <t>5503</t>
        </is>
      </c>
      <c r="B45" s="10" t="inlineStr">
        <is>
          <t xml:space="preserve">   Amortisasi biaya pengupasan tangguhan</t>
        </is>
      </c>
      <c r="D45" s="28">
        <f>SUMIFS('C19 GEG GL Trial Balance'!$S$10:$S$400,'C19 GEG GL Trial Balance'!$A$10:$A$400,$A45,'C19 GEG GL Trial Balance'!$D$10:$D$400,"Posting")</f>
        <v/>
      </c>
      <c r="E45" s="28">
        <f>SUMIFS('C19 GEG GL Trial Balance'!$T$10:$T$400,'C19 GEG GL Trial Balance'!$A$10:$A$400,$A45,'C19 GEG GL Trial Balance'!$D$10:$D$400,"Posting")</f>
        <v/>
      </c>
      <c r="F45" s="28">
        <f>SUMIFS('C19 GEG GL Trial Balance'!$U$10:$U$400,'C19 GEG GL Trial Balance'!$A$10:$A$400,$A45,'C19 GEG GL Trial Balance'!$D$10:$D$400,"Posting")</f>
        <v/>
      </c>
      <c r="G45" s="28">
        <f>SUMIFS('C19 GEG GL Trial Balance'!$V$10:$V$400,'C19 GEG GL Trial Balance'!$A$10:$A$400,$A45,'C19 GEG GL Trial Balance'!$D$10:$D$400,"Posting")</f>
        <v/>
      </c>
      <c r="H45" s="28">
        <f>SUMIFS('C19 GEG GL Trial Balance'!$W$10:$W$400,'C19 GEG GL Trial Balance'!$A$10:$A$400,$A45,'C19 GEG GL Trial Balance'!$D$10:$D$400,"Posting")</f>
        <v/>
      </c>
      <c r="I45" s="28">
        <f>SUMIFS('C19 GEG GL Trial Balance'!$X$10:$X$400,'C19 GEG GL Trial Balance'!$A$10:$A$400,$A45,'C19 GEG GL Trial Balance'!$D$10:$D$400,"Posting")</f>
        <v/>
      </c>
      <c r="J45" s="28">
        <f>SUMIFS('C19 GEG GL Trial Balance'!$Y$10:$Y$400,'C19 GEG GL Trial Balance'!$A$10:$A$400,$A45,'C19 GEG GL Trial Balance'!$D$10:$D$400,"Posting")</f>
        <v/>
      </c>
      <c r="K45" s="28">
        <f>SUMIFS('C19 GEG GL Trial Balance'!$Z$10:$Z$400,'C19 GEG GL Trial Balance'!$A$10:$A$400,$A45,'C19 GEG GL Trial Balance'!$D$10:$D$400,"Posting")</f>
        <v/>
      </c>
      <c r="L45" s="28">
        <f>SUMIFS('C19 GEG GL Trial Balance'!$AA$10:$AA$400,'C19 GEG GL Trial Balance'!$A$10:$A$400,$A45,'C19 GEG GL Trial Balance'!$D$10:$D$400,"Posting")</f>
        <v/>
      </c>
      <c r="M45" s="28">
        <f>SUMIFS('C19 GEG GL Trial Balance'!$AB$10:$AB$400,'C19 GEG GL Trial Balance'!$A$10:$A$400,$A45,'C19 GEG GL Trial Balance'!$D$10:$D$400,"Posting")</f>
        <v/>
      </c>
      <c r="N45" s="28">
        <f>SUMIFS('C19 GEG GL Trial Balance'!$AC$10:$AC$400,'C19 GEG GL Trial Balance'!$A$10:$A$400,$A45,'C19 GEG GL Trial Balance'!$D$10:$D$400,"Posting")</f>
        <v/>
      </c>
      <c r="O45" s="28">
        <f>SUMIFS('C19 GEG GL Trial Balance'!$AD$10:$AD$400,'C19 GEG GL Trial Balance'!$A$10:$A$400,$A45,'C19 GEG GL Trial Balance'!$D$10:$D$400,"Posting")</f>
        <v/>
      </c>
      <c r="P45" s="71">
        <f>SUM(D45:O45)</f>
        <v/>
      </c>
    </row>
    <row r="46">
      <c r="A46" s="45" t="inlineStr"/>
      <c r="B46" s="20" t="inlineStr">
        <is>
          <t xml:space="preserve">   Subtotal penyusutan &amp; amortisasi</t>
        </is>
      </c>
      <c r="C46" s="23" t="n"/>
      <c r="D46" s="22">
        <f>D43+D44+D45</f>
        <v/>
      </c>
      <c r="E46" s="22">
        <f>E43+E44+E45</f>
        <v/>
      </c>
      <c r="F46" s="22">
        <f>F43+F44+F45</f>
        <v/>
      </c>
      <c r="G46" s="22">
        <f>G43+G44+G45</f>
        <v/>
      </c>
      <c r="H46" s="22">
        <f>H43+H44+H45</f>
        <v/>
      </c>
      <c r="I46" s="22">
        <f>I43+I44+I45</f>
        <v/>
      </c>
      <c r="J46" s="22">
        <f>J43+J44+J45</f>
        <v/>
      </c>
      <c r="K46" s="22">
        <f>K43+K44+K45</f>
        <v/>
      </c>
      <c r="L46" s="22">
        <f>L43+L44+L45</f>
        <v/>
      </c>
      <c r="M46" s="22">
        <f>M43+M44+M45</f>
        <v/>
      </c>
      <c r="N46" s="22">
        <f>N43+N44+N45</f>
        <v/>
      </c>
      <c r="O46" s="22">
        <f>O43+O44+O45</f>
        <v/>
      </c>
      <c r="P46" s="22">
        <f>P43+P44+P45</f>
        <v/>
      </c>
    </row>
    <row r="47">
      <c r="A47" s="45" t="inlineStr"/>
      <c r="B47" s="20" t="inlineStr">
        <is>
          <t xml:space="preserve">   Total biaya produksi</t>
        </is>
      </c>
      <c r="C47" s="23" t="n"/>
      <c r="D47" s="22">
        <f>D25+D31+D33+D41+D46</f>
        <v/>
      </c>
      <c r="E47" s="22">
        <f>E25+E31+E33+E41+E46</f>
        <v/>
      </c>
      <c r="F47" s="22">
        <f>F25+F31+F33+F41+F46</f>
        <v/>
      </c>
      <c r="G47" s="22">
        <f>G25+G31+G33+G41+G46</f>
        <v/>
      </c>
      <c r="H47" s="22">
        <f>H25+H31+H33+H41+H46</f>
        <v/>
      </c>
      <c r="I47" s="22">
        <f>I25+I31+I33+I41+I46</f>
        <v/>
      </c>
      <c r="J47" s="22">
        <f>J25+J31+J33+J41+J46</f>
        <v/>
      </c>
      <c r="K47" s="22">
        <f>K25+K31+K33+K41+K46</f>
        <v/>
      </c>
      <c r="L47" s="22">
        <f>L25+L31+L33+L41+L46</f>
        <v/>
      </c>
      <c r="M47" s="22">
        <f>M25+M31+M33+M41+M46</f>
        <v/>
      </c>
      <c r="N47" s="22">
        <f>N25+N31+N33+N41+N46</f>
        <v/>
      </c>
      <c r="O47" s="22">
        <f>O25+O31+O33+O41+O46</f>
        <v/>
      </c>
      <c r="P47" s="22">
        <f>P25+P31+P33+P41+P46</f>
        <v/>
      </c>
    </row>
    <row r="48">
      <c r="A48" s="45" t="inlineStr">
        <is>
          <t>5601</t>
        </is>
      </c>
      <c r="B48" s="10" t="inlineStr">
        <is>
          <t xml:space="preserve">   Perubahan persediaan batubara (awal – akhir)</t>
        </is>
      </c>
      <c r="D48" s="28">
        <f>SUMIFS('C19 GEG GL Trial Balance'!$S$10:$S$400,'C19 GEG GL Trial Balance'!$A$10:$A$400,$A48,'C19 GEG GL Trial Balance'!$D$10:$D$400,"Posting")</f>
        <v/>
      </c>
      <c r="E48" s="28">
        <f>SUMIFS('C19 GEG GL Trial Balance'!$T$10:$T$400,'C19 GEG GL Trial Balance'!$A$10:$A$400,$A48,'C19 GEG GL Trial Balance'!$D$10:$D$400,"Posting")</f>
        <v/>
      </c>
      <c r="F48" s="28">
        <f>SUMIFS('C19 GEG GL Trial Balance'!$U$10:$U$400,'C19 GEG GL Trial Balance'!$A$10:$A$400,$A48,'C19 GEG GL Trial Balance'!$D$10:$D$400,"Posting")</f>
        <v/>
      </c>
      <c r="G48" s="28">
        <f>SUMIFS('C19 GEG GL Trial Balance'!$V$10:$V$400,'C19 GEG GL Trial Balance'!$A$10:$A$400,$A48,'C19 GEG GL Trial Balance'!$D$10:$D$400,"Posting")</f>
        <v/>
      </c>
      <c r="H48" s="28">
        <f>SUMIFS('C19 GEG GL Trial Balance'!$W$10:$W$400,'C19 GEG GL Trial Balance'!$A$10:$A$400,$A48,'C19 GEG GL Trial Balance'!$D$10:$D$400,"Posting")</f>
        <v/>
      </c>
      <c r="I48" s="28">
        <f>SUMIFS('C19 GEG GL Trial Balance'!$X$10:$X$400,'C19 GEG GL Trial Balance'!$A$10:$A$400,$A48,'C19 GEG GL Trial Balance'!$D$10:$D$400,"Posting")</f>
        <v/>
      </c>
      <c r="J48" s="28">
        <f>SUMIFS('C19 GEG GL Trial Balance'!$Y$10:$Y$400,'C19 GEG GL Trial Balance'!$A$10:$A$400,$A48,'C19 GEG GL Trial Balance'!$D$10:$D$400,"Posting")</f>
        <v/>
      </c>
      <c r="K48" s="28">
        <f>SUMIFS('C19 GEG GL Trial Balance'!$Z$10:$Z$400,'C19 GEG GL Trial Balance'!$A$10:$A$400,$A48,'C19 GEG GL Trial Balance'!$D$10:$D$400,"Posting")</f>
        <v/>
      </c>
      <c r="L48" s="28">
        <f>SUMIFS('C19 GEG GL Trial Balance'!$AA$10:$AA$400,'C19 GEG GL Trial Balance'!$A$10:$A$400,$A48,'C19 GEG GL Trial Balance'!$D$10:$D$400,"Posting")</f>
        <v/>
      </c>
      <c r="M48" s="28">
        <f>SUMIFS('C19 GEG GL Trial Balance'!$AB$10:$AB$400,'C19 GEG GL Trial Balance'!$A$10:$A$400,$A48,'C19 GEG GL Trial Balance'!$D$10:$D$400,"Posting")</f>
        <v/>
      </c>
      <c r="N48" s="28">
        <f>SUMIFS('C19 GEG GL Trial Balance'!$AC$10:$AC$400,'C19 GEG GL Trial Balance'!$A$10:$A$400,$A48,'C19 GEG GL Trial Balance'!$D$10:$D$400,"Posting")</f>
        <v/>
      </c>
      <c r="O48" s="28">
        <f>SUMIFS('C19 GEG GL Trial Balance'!$AD$10:$AD$400,'C19 GEG GL Trial Balance'!$A$10:$A$400,$A48,'C19 GEG GL Trial Balance'!$D$10:$D$400,"Posting")</f>
        <v/>
      </c>
      <c r="P48" s="71">
        <f>SUM(D48:O48)</f>
        <v/>
      </c>
    </row>
    <row r="49">
      <c r="A49" s="82" t="inlineStr"/>
      <c r="B49" s="31" t="inlineStr">
        <is>
          <t>BEBAN POKOK PENDAPATAN</t>
        </is>
      </c>
      <c r="C49" s="32" t="n"/>
      <c r="D49" s="33">
        <f>D47+D48</f>
        <v/>
      </c>
      <c r="E49" s="33">
        <f>E47+E48</f>
        <v/>
      </c>
      <c r="F49" s="33">
        <f>F47+F48</f>
        <v/>
      </c>
      <c r="G49" s="33">
        <f>G47+G48</f>
        <v/>
      </c>
      <c r="H49" s="33">
        <f>H47+H48</f>
        <v/>
      </c>
      <c r="I49" s="33">
        <f>I47+I48</f>
        <v/>
      </c>
      <c r="J49" s="33">
        <f>J47+J48</f>
        <v/>
      </c>
      <c r="K49" s="33">
        <f>K47+K48</f>
        <v/>
      </c>
      <c r="L49" s="33">
        <f>L47+L48</f>
        <v/>
      </c>
      <c r="M49" s="33">
        <f>M47+M48</f>
        <v/>
      </c>
      <c r="N49" s="33">
        <f>N47+N48</f>
        <v/>
      </c>
      <c r="O49" s="33">
        <f>O47+O48</f>
        <v/>
      </c>
      <c r="P49" s="33">
        <f>P47+P48</f>
        <v/>
      </c>
    </row>
    <row r="50">
      <c r="A50" s="82" t="inlineStr"/>
      <c r="B50" s="31" t="inlineStr">
        <is>
          <t>LABA KOTOR</t>
        </is>
      </c>
      <c r="C50" s="32" t="n"/>
      <c r="D50" s="33">
        <f>D14-D49</f>
        <v/>
      </c>
      <c r="E50" s="33">
        <f>E14-E49</f>
        <v/>
      </c>
      <c r="F50" s="33">
        <f>F14-F49</f>
        <v/>
      </c>
      <c r="G50" s="33">
        <f>G14-G49</f>
        <v/>
      </c>
      <c r="H50" s="33">
        <f>H14-H49</f>
        <v/>
      </c>
      <c r="I50" s="33">
        <f>I14-I49</f>
        <v/>
      </c>
      <c r="J50" s="33">
        <f>J14-J49</f>
        <v/>
      </c>
      <c r="K50" s="33">
        <f>K14-K49</f>
        <v/>
      </c>
      <c r="L50" s="33">
        <f>L14-L49</f>
        <v/>
      </c>
      <c r="M50" s="33">
        <f>M14-M49</f>
        <v/>
      </c>
      <c r="N50" s="33">
        <f>N14-N49</f>
        <v/>
      </c>
      <c r="O50" s="33">
        <f>O14-O49</f>
        <v/>
      </c>
      <c r="P50" s="33">
        <f>P14-P49</f>
        <v/>
      </c>
    </row>
    <row r="51">
      <c r="A51" s="45" t="inlineStr"/>
      <c r="B51" s="37" t="inlineStr">
        <is>
          <t xml:space="preserve">   Marjin laba kotor</t>
        </is>
      </c>
      <c r="D51" s="29">
        <f>IFERROR(D50/D14,0)</f>
        <v/>
      </c>
      <c r="E51" s="29">
        <f>IFERROR(E50/E14,0)</f>
        <v/>
      </c>
      <c r="F51" s="29">
        <f>IFERROR(F50/F14,0)</f>
        <v/>
      </c>
      <c r="G51" s="29">
        <f>IFERROR(G50/G14,0)</f>
        <v/>
      </c>
      <c r="H51" s="29">
        <f>IFERROR(H50/H14,0)</f>
        <v/>
      </c>
      <c r="I51" s="29">
        <f>IFERROR(I50/I14,0)</f>
        <v/>
      </c>
      <c r="J51" s="29">
        <f>IFERROR(J50/J14,0)</f>
        <v/>
      </c>
      <c r="K51" s="29">
        <f>IFERROR(K50/K14,0)</f>
        <v/>
      </c>
      <c r="L51" s="29">
        <f>IFERROR(L50/L14,0)</f>
        <v/>
      </c>
      <c r="M51" s="29">
        <f>IFERROR(M50/M14,0)</f>
        <v/>
      </c>
      <c r="N51" s="29">
        <f>IFERROR(N50/N14,0)</f>
        <v/>
      </c>
      <c r="O51" s="29">
        <f>IFERROR(O50/O14,0)</f>
        <v/>
      </c>
      <c r="P51" s="29">
        <f>IFERROR(P50/P14,0)</f>
        <v/>
      </c>
    </row>
    <row r="52">
      <c r="A52" s="4" t="inlineStr">
        <is>
          <t>BEBAN USAHA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B53" s="35" t="inlineStr">
        <is>
          <t>Beban penjualan</t>
        </is>
      </c>
    </row>
    <row r="54">
      <c r="A54" s="45" t="inlineStr">
        <is>
          <t>6101</t>
        </is>
      </c>
      <c r="B54" s="10" t="inlineStr">
        <is>
          <t xml:space="preserve">   Pengapalan laut (penjualan CIF)</t>
        </is>
      </c>
      <c r="D54" s="28">
        <f>SUMIFS('C19 GEG GL Trial Balance'!$S$10:$S$400,'C19 GEG GL Trial Balance'!$A$10:$A$400,$A54,'C19 GEG GL Trial Balance'!$D$10:$D$400,"Posting")</f>
        <v/>
      </c>
      <c r="E54" s="28">
        <f>SUMIFS('C19 GEG GL Trial Balance'!$T$10:$T$400,'C19 GEG GL Trial Balance'!$A$10:$A$400,$A54,'C19 GEG GL Trial Balance'!$D$10:$D$400,"Posting")</f>
        <v/>
      </c>
      <c r="F54" s="28">
        <f>SUMIFS('C19 GEG GL Trial Balance'!$U$10:$U$400,'C19 GEG GL Trial Balance'!$A$10:$A$400,$A54,'C19 GEG GL Trial Balance'!$D$10:$D$400,"Posting")</f>
        <v/>
      </c>
      <c r="G54" s="28">
        <f>SUMIFS('C19 GEG GL Trial Balance'!$V$10:$V$400,'C19 GEG GL Trial Balance'!$A$10:$A$400,$A54,'C19 GEG GL Trial Balance'!$D$10:$D$400,"Posting")</f>
        <v/>
      </c>
      <c r="H54" s="28">
        <f>SUMIFS('C19 GEG GL Trial Balance'!$W$10:$W$400,'C19 GEG GL Trial Balance'!$A$10:$A$400,$A54,'C19 GEG GL Trial Balance'!$D$10:$D$400,"Posting")</f>
        <v/>
      </c>
      <c r="I54" s="28">
        <f>SUMIFS('C19 GEG GL Trial Balance'!$X$10:$X$400,'C19 GEG GL Trial Balance'!$A$10:$A$400,$A54,'C19 GEG GL Trial Balance'!$D$10:$D$400,"Posting")</f>
        <v/>
      </c>
      <c r="J54" s="28">
        <f>SUMIFS('C19 GEG GL Trial Balance'!$Y$10:$Y$400,'C19 GEG GL Trial Balance'!$A$10:$A$400,$A54,'C19 GEG GL Trial Balance'!$D$10:$D$400,"Posting")</f>
        <v/>
      </c>
      <c r="K54" s="28">
        <f>SUMIFS('C19 GEG GL Trial Balance'!$Z$10:$Z$400,'C19 GEG GL Trial Balance'!$A$10:$A$400,$A54,'C19 GEG GL Trial Balance'!$D$10:$D$400,"Posting")</f>
        <v/>
      </c>
      <c r="L54" s="28">
        <f>SUMIFS('C19 GEG GL Trial Balance'!$AA$10:$AA$400,'C19 GEG GL Trial Balance'!$A$10:$A$400,$A54,'C19 GEG GL Trial Balance'!$D$10:$D$400,"Posting")</f>
        <v/>
      </c>
      <c r="M54" s="28">
        <f>SUMIFS('C19 GEG GL Trial Balance'!$AB$10:$AB$400,'C19 GEG GL Trial Balance'!$A$10:$A$400,$A54,'C19 GEG GL Trial Balance'!$D$10:$D$400,"Posting")</f>
        <v/>
      </c>
      <c r="N54" s="28">
        <f>SUMIFS('C19 GEG GL Trial Balance'!$AC$10:$AC$400,'C19 GEG GL Trial Balance'!$A$10:$A$400,$A54,'C19 GEG GL Trial Balance'!$D$10:$D$400,"Posting")</f>
        <v/>
      </c>
      <c r="O54" s="28">
        <f>SUMIFS('C19 GEG GL Trial Balance'!$AD$10:$AD$400,'C19 GEG GL Trial Balance'!$A$10:$A$400,$A54,'C19 GEG GL Trial Balance'!$D$10:$D$400,"Posting")</f>
        <v/>
      </c>
      <c r="P54" s="71">
        <f>SUM(D54:O54)</f>
        <v/>
      </c>
    </row>
    <row r="55">
      <c r="A55" s="45" t="inlineStr">
        <is>
          <t>6102</t>
        </is>
      </c>
      <c r="B55" s="10" t="inlineStr">
        <is>
          <t xml:space="preserve">   Komisi agen penjualan</t>
        </is>
      </c>
      <c r="D55" s="28">
        <f>SUMIFS('C19 GEG GL Trial Balance'!$S$10:$S$400,'C19 GEG GL Trial Balance'!$A$10:$A$400,$A55,'C19 GEG GL Trial Balance'!$D$10:$D$400,"Posting")</f>
        <v/>
      </c>
      <c r="E55" s="28">
        <f>SUMIFS('C19 GEG GL Trial Balance'!$T$10:$T$400,'C19 GEG GL Trial Balance'!$A$10:$A$400,$A55,'C19 GEG GL Trial Balance'!$D$10:$D$400,"Posting")</f>
        <v/>
      </c>
      <c r="F55" s="28">
        <f>SUMIFS('C19 GEG GL Trial Balance'!$U$10:$U$400,'C19 GEG GL Trial Balance'!$A$10:$A$400,$A55,'C19 GEG GL Trial Balance'!$D$10:$D$400,"Posting")</f>
        <v/>
      </c>
      <c r="G55" s="28">
        <f>SUMIFS('C19 GEG GL Trial Balance'!$V$10:$V$400,'C19 GEG GL Trial Balance'!$A$10:$A$400,$A55,'C19 GEG GL Trial Balance'!$D$10:$D$400,"Posting")</f>
        <v/>
      </c>
      <c r="H55" s="28">
        <f>SUMIFS('C19 GEG GL Trial Balance'!$W$10:$W$400,'C19 GEG GL Trial Balance'!$A$10:$A$400,$A55,'C19 GEG GL Trial Balance'!$D$10:$D$400,"Posting")</f>
        <v/>
      </c>
      <c r="I55" s="28">
        <f>SUMIFS('C19 GEG GL Trial Balance'!$X$10:$X$400,'C19 GEG GL Trial Balance'!$A$10:$A$400,$A55,'C19 GEG GL Trial Balance'!$D$10:$D$400,"Posting")</f>
        <v/>
      </c>
      <c r="J55" s="28">
        <f>SUMIFS('C19 GEG GL Trial Balance'!$Y$10:$Y$400,'C19 GEG GL Trial Balance'!$A$10:$A$400,$A55,'C19 GEG GL Trial Balance'!$D$10:$D$400,"Posting")</f>
        <v/>
      </c>
      <c r="K55" s="28">
        <f>SUMIFS('C19 GEG GL Trial Balance'!$Z$10:$Z$400,'C19 GEG GL Trial Balance'!$A$10:$A$400,$A55,'C19 GEG GL Trial Balance'!$D$10:$D$400,"Posting")</f>
        <v/>
      </c>
      <c r="L55" s="28">
        <f>SUMIFS('C19 GEG GL Trial Balance'!$AA$10:$AA$400,'C19 GEG GL Trial Balance'!$A$10:$A$400,$A55,'C19 GEG GL Trial Balance'!$D$10:$D$400,"Posting")</f>
        <v/>
      </c>
      <c r="M55" s="28">
        <f>SUMIFS('C19 GEG GL Trial Balance'!$AB$10:$AB$400,'C19 GEG GL Trial Balance'!$A$10:$A$400,$A55,'C19 GEG GL Trial Balance'!$D$10:$D$400,"Posting")</f>
        <v/>
      </c>
      <c r="N55" s="28">
        <f>SUMIFS('C19 GEG GL Trial Balance'!$AC$10:$AC$400,'C19 GEG GL Trial Balance'!$A$10:$A$400,$A55,'C19 GEG GL Trial Balance'!$D$10:$D$400,"Posting")</f>
        <v/>
      </c>
      <c r="O55" s="28">
        <f>SUMIFS('C19 GEG GL Trial Balance'!$AD$10:$AD$400,'C19 GEG GL Trial Balance'!$A$10:$A$400,$A55,'C19 GEG GL Trial Balance'!$D$10:$D$400,"Posting")</f>
        <v/>
      </c>
      <c r="P55" s="71">
        <f>SUM(D55:O55)</f>
        <v/>
      </c>
    </row>
    <row r="56">
      <c r="A56" s="45" t="inlineStr">
        <is>
          <t>6103</t>
        </is>
      </c>
      <c r="B56" s="10" t="inlineStr">
        <is>
          <t xml:space="preserve">   Surveyor independen &amp; analisa kualitas</t>
        </is>
      </c>
      <c r="D56" s="28">
        <f>SUMIFS('C19 GEG GL Trial Balance'!$S$10:$S$400,'C19 GEG GL Trial Balance'!$A$10:$A$400,$A56,'C19 GEG GL Trial Balance'!$D$10:$D$400,"Posting")</f>
        <v/>
      </c>
      <c r="E56" s="28">
        <f>SUMIFS('C19 GEG GL Trial Balance'!$T$10:$T$400,'C19 GEG GL Trial Balance'!$A$10:$A$400,$A56,'C19 GEG GL Trial Balance'!$D$10:$D$400,"Posting")</f>
        <v/>
      </c>
      <c r="F56" s="28">
        <f>SUMIFS('C19 GEG GL Trial Balance'!$U$10:$U$400,'C19 GEG GL Trial Balance'!$A$10:$A$400,$A56,'C19 GEG GL Trial Balance'!$D$10:$D$400,"Posting")</f>
        <v/>
      </c>
      <c r="G56" s="28">
        <f>SUMIFS('C19 GEG GL Trial Balance'!$V$10:$V$400,'C19 GEG GL Trial Balance'!$A$10:$A$400,$A56,'C19 GEG GL Trial Balance'!$D$10:$D$400,"Posting")</f>
        <v/>
      </c>
      <c r="H56" s="28">
        <f>SUMIFS('C19 GEG GL Trial Balance'!$W$10:$W$400,'C19 GEG GL Trial Balance'!$A$10:$A$400,$A56,'C19 GEG GL Trial Balance'!$D$10:$D$400,"Posting")</f>
        <v/>
      </c>
      <c r="I56" s="28">
        <f>SUMIFS('C19 GEG GL Trial Balance'!$X$10:$X$400,'C19 GEG GL Trial Balance'!$A$10:$A$400,$A56,'C19 GEG GL Trial Balance'!$D$10:$D$400,"Posting")</f>
        <v/>
      </c>
      <c r="J56" s="28">
        <f>SUMIFS('C19 GEG GL Trial Balance'!$Y$10:$Y$400,'C19 GEG GL Trial Balance'!$A$10:$A$400,$A56,'C19 GEG GL Trial Balance'!$D$10:$D$400,"Posting")</f>
        <v/>
      </c>
      <c r="K56" s="28">
        <f>SUMIFS('C19 GEG GL Trial Balance'!$Z$10:$Z$400,'C19 GEG GL Trial Balance'!$A$10:$A$400,$A56,'C19 GEG GL Trial Balance'!$D$10:$D$400,"Posting")</f>
        <v/>
      </c>
      <c r="L56" s="28">
        <f>SUMIFS('C19 GEG GL Trial Balance'!$AA$10:$AA$400,'C19 GEG GL Trial Balance'!$A$10:$A$400,$A56,'C19 GEG GL Trial Balance'!$D$10:$D$400,"Posting")</f>
        <v/>
      </c>
      <c r="M56" s="28">
        <f>SUMIFS('C19 GEG GL Trial Balance'!$AB$10:$AB$400,'C19 GEG GL Trial Balance'!$A$10:$A$400,$A56,'C19 GEG GL Trial Balance'!$D$10:$D$400,"Posting")</f>
        <v/>
      </c>
      <c r="N56" s="28">
        <f>SUMIFS('C19 GEG GL Trial Balance'!$AC$10:$AC$400,'C19 GEG GL Trial Balance'!$A$10:$A$400,$A56,'C19 GEG GL Trial Balance'!$D$10:$D$400,"Posting")</f>
        <v/>
      </c>
      <c r="O56" s="28">
        <f>SUMIFS('C19 GEG GL Trial Balance'!$AD$10:$AD$400,'C19 GEG GL Trial Balance'!$A$10:$A$400,$A56,'C19 GEG GL Trial Balance'!$D$10:$D$400,"Posting")</f>
        <v/>
      </c>
      <c r="P56" s="71">
        <f>SUM(D56:O56)</f>
        <v/>
      </c>
    </row>
    <row r="57">
      <c r="A57" s="45" t="inlineStr">
        <is>
          <t>6104</t>
        </is>
      </c>
      <c r="B57" s="10" t="inlineStr">
        <is>
          <t xml:space="preserve">   Demurrage</t>
        </is>
      </c>
      <c r="D57" s="28">
        <f>SUMIFS('C19 GEG GL Trial Balance'!$S$10:$S$400,'C19 GEG GL Trial Balance'!$A$10:$A$400,$A57,'C19 GEG GL Trial Balance'!$D$10:$D$400,"Posting")</f>
        <v/>
      </c>
      <c r="E57" s="28">
        <f>SUMIFS('C19 GEG GL Trial Balance'!$T$10:$T$400,'C19 GEG GL Trial Balance'!$A$10:$A$400,$A57,'C19 GEG GL Trial Balance'!$D$10:$D$400,"Posting")</f>
        <v/>
      </c>
      <c r="F57" s="28">
        <f>SUMIFS('C19 GEG GL Trial Balance'!$U$10:$U$400,'C19 GEG GL Trial Balance'!$A$10:$A$400,$A57,'C19 GEG GL Trial Balance'!$D$10:$D$400,"Posting")</f>
        <v/>
      </c>
      <c r="G57" s="28">
        <f>SUMIFS('C19 GEG GL Trial Balance'!$V$10:$V$400,'C19 GEG GL Trial Balance'!$A$10:$A$400,$A57,'C19 GEG GL Trial Balance'!$D$10:$D$400,"Posting")</f>
        <v/>
      </c>
      <c r="H57" s="28">
        <f>SUMIFS('C19 GEG GL Trial Balance'!$W$10:$W$400,'C19 GEG GL Trial Balance'!$A$10:$A$400,$A57,'C19 GEG GL Trial Balance'!$D$10:$D$400,"Posting")</f>
        <v/>
      </c>
      <c r="I57" s="28">
        <f>SUMIFS('C19 GEG GL Trial Balance'!$X$10:$X$400,'C19 GEG GL Trial Balance'!$A$10:$A$400,$A57,'C19 GEG GL Trial Balance'!$D$10:$D$400,"Posting")</f>
        <v/>
      </c>
      <c r="J57" s="28">
        <f>SUMIFS('C19 GEG GL Trial Balance'!$Y$10:$Y$400,'C19 GEG GL Trial Balance'!$A$10:$A$400,$A57,'C19 GEG GL Trial Balance'!$D$10:$D$400,"Posting")</f>
        <v/>
      </c>
      <c r="K57" s="28">
        <f>SUMIFS('C19 GEG GL Trial Balance'!$Z$10:$Z$400,'C19 GEG GL Trial Balance'!$A$10:$A$400,$A57,'C19 GEG GL Trial Balance'!$D$10:$D$400,"Posting")</f>
        <v/>
      </c>
      <c r="L57" s="28">
        <f>SUMIFS('C19 GEG GL Trial Balance'!$AA$10:$AA$400,'C19 GEG GL Trial Balance'!$A$10:$A$400,$A57,'C19 GEG GL Trial Balance'!$D$10:$D$400,"Posting")</f>
        <v/>
      </c>
      <c r="M57" s="28">
        <f>SUMIFS('C19 GEG GL Trial Balance'!$AB$10:$AB$400,'C19 GEG GL Trial Balance'!$A$10:$A$400,$A57,'C19 GEG GL Trial Balance'!$D$10:$D$400,"Posting")</f>
        <v/>
      </c>
      <c r="N57" s="28">
        <f>SUMIFS('C19 GEG GL Trial Balance'!$AC$10:$AC$400,'C19 GEG GL Trial Balance'!$A$10:$A$400,$A57,'C19 GEG GL Trial Balance'!$D$10:$D$400,"Posting")</f>
        <v/>
      </c>
      <c r="O57" s="28">
        <f>SUMIFS('C19 GEG GL Trial Balance'!$AD$10:$AD$400,'C19 GEG GL Trial Balance'!$A$10:$A$400,$A57,'C19 GEG GL Trial Balance'!$D$10:$D$400,"Posting")</f>
        <v/>
      </c>
      <c r="P57" s="71">
        <f>SUM(D57:O57)</f>
        <v/>
      </c>
    </row>
    <row r="58">
      <c r="A58" s="45" t="inlineStr">
        <is>
          <t>6105</t>
        </is>
      </c>
      <c r="B58" s="10" t="inlineStr">
        <is>
          <t xml:space="preserve">   Dokumen ekspor &amp; pungutan</t>
        </is>
      </c>
      <c r="D58" s="28">
        <f>SUMIFS('C19 GEG GL Trial Balance'!$S$10:$S$400,'C19 GEG GL Trial Balance'!$A$10:$A$400,$A58,'C19 GEG GL Trial Balance'!$D$10:$D$400,"Posting")</f>
        <v/>
      </c>
      <c r="E58" s="28">
        <f>SUMIFS('C19 GEG GL Trial Balance'!$T$10:$T$400,'C19 GEG GL Trial Balance'!$A$10:$A$400,$A58,'C19 GEG GL Trial Balance'!$D$10:$D$400,"Posting")</f>
        <v/>
      </c>
      <c r="F58" s="28">
        <f>SUMIFS('C19 GEG GL Trial Balance'!$U$10:$U$400,'C19 GEG GL Trial Balance'!$A$10:$A$400,$A58,'C19 GEG GL Trial Balance'!$D$10:$D$400,"Posting")</f>
        <v/>
      </c>
      <c r="G58" s="28">
        <f>SUMIFS('C19 GEG GL Trial Balance'!$V$10:$V$400,'C19 GEG GL Trial Balance'!$A$10:$A$400,$A58,'C19 GEG GL Trial Balance'!$D$10:$D$400,"Posting")</f>
        <v/>
      </c>
      <c r="H58" s="28">
        <f>SUMIFS('C19 GEG GL Trial Balance'!$W$10:$W$400,'C19 GEG GL Trial Balance'!$A$10:$A$400,$A58,'C19 GEG GL Trial Balance'!$D$10:$D$400,"Posting")</f>
        <v/>
      </c>
      <c r="I58" s="28">
        <f>SUMIFS('C19 GEG GL Trial Balance'!$X$10:$X$400,'C19 GEG GL Trial Balance'!$A$10:$A$400,$A58,'C19 GEG GL Trial Balance'!$D$10:$D$400,"Posting")</f>
        <v/>
      </c>
      <c r="J58" s="28">
        <f>SUMIFS('C19 GEG GL Trial Balance'!$Y$10:$Y$400,'C19 GEG GL Trial Balance'!$A$10:$A$400,$A58,'C19 GEG GL Trial Balance'!$D$10:$D$400,"Posting")</f>
        <v/>
      </c>
      <c r="K58" s="28">
        <f>SUMIFS('C19 GEG GL Trial Balance'!$Z$10:$Z$400,'C19 GEG GL Trial Balance'!$A$10:$A$400,$A58,'C19 GEG GL Trial Balance'!$D$10:$D$400,"Posting")</f>
        <v/>
      </c>
      <c r="L58" s="28">
        <f>SUMIFS('C19 GEG GL Trial Balance'!$AA$10:$AA$400,'C19 GEG GL Trial Balance'!$A$10:$A$400,$A58,'C19 GEG GL Trial Balance'!$D$10:$D$400,"Posting")</f>
        <v/>
      </c>
      <c r="M58" s="28">
        <f>SUMIFS('C19 GEG GL Trial Balance'!$AB$10:$AB$400,'C19 GEG GL Trial Balance'!$A$10:$A$400,$A58,'C19 GEG GL Trial Balance'!$D$10:$D$400,"Posting")</f>
        <v/>
      </c>
      <c r="N58" s="28">
        <f>SUMIFS('C19 GEG GL Trial Balance'!$AC$10:$AC$400,'C19 GEG GL Trial Balance'!$A$10:$A$400,$A58,'C19 GEG GL Trial Balance'!$D$10:$D$400,"Posting")</f>
        <v/>
      </c>
      <c r="O58" s="28">
        <f>SUMIFS('C19 GEG GL Trial Balance'!$AD$10:$AD$400,'C19 GEG GL Trial Balance'!$A$10:$A$400,$A58,'C19 GEG GL Trial Balance'!$D$10:$D$400,"Posting")</f>
        <v/>
      </c>
      <c r="P58" s="71">
        <f>SUM(D58:O58)</f>
        <v/>
      </c>
    </row>
    <row r="59">
      <c r="A59" s="45" t="inlineStr">
        <is>
          <t>6106</t>
        </is>
      </c>
      <c r="B59" s="10" t="inlineStr">
        <is>
          <t xml:space="preserve">   Pemasaran &amp; promosi</t>
        </is>
      </c>
      <c r="D59" s="28">
        <f>SUMIFS('C19 GEG GL Trial Balance'!$S$10:$S$400,'C19 GEG GL Trial Balance'!$A$10:$A$400,$A59,'C19 GEG GL Trial Balance'!$D$10:$D$400,"Posting")</f>
        <v/>
      </c>
      <c r="E59" s="28">
        <f>SUMIFS('C19 GEG GL Trial Balance'!$T$10:$T$400,'C19 GEG GL Trial Balance'!$A$10:$A$400,$A59,'C19 GEG GL Trial Balance'!$D$10:$D$400,"Posting")</f>
        <v/>
      </c>
      <c r="F59" s="28">
        <f>SUMIFS('C19 GEG GL Trial Balance'!$U$10:$U$400,'C19 GEG GL Trial Balance'!$A$10:$A$400,$A59,'C19 GEG GL Trial Balance'!$D$10:$D$400,"Posting")</f>
        <v/>
      </c>
      <c r="G59" s="28">
        <f>SUMIFS('C19 GEG GL Trial Balance'!$V$10:$V$400,'C19 GEG GL Trial Balance'!$A$10:$A$400,$A59,'C19 GEG GL Trial Balance'!$D$10:$D$400,"Posting")</f>
        <v/>
      </c>
      <c r="H59" s="28">
        <f>SUMIFS('C19 GEG GL Trial Balance'!$W$10:$W$400,'C19 GEG GL Trial Balance'!$A$10:$A$400,$A59,'C19 GEG GL Trial Balance'!$D$10:$D$400,"Posting")</f>
        <v/>
      </c>
      <c r="I59" s="28">
        <f>SUMIFS('C19 GEG GL Trial Balance'!$X$10:$X$400,'C19 GEG GL Trial Balance'!$A$10:$A$400,$A59,'C19 GEG GL Trial Balance'!$D$10:$D$400,"Posting")</f>
        <v/>
      </c>
      <c r="J59" s="28">
        <f>SUMIFS('C19 GEG GL Trial Balance'!$Y$10:$Y$400,'C19 GEG GL Trial Balance'!$A$10:$A$400,$A59,'C19 GEG GL Trial Balance'!$D$10:$D$400,"Posting")</f>
        <v/>
      </c>
      <c r="K59" s="28">
        <f>SUMIFS('C19 GEG GL Trial Balance'!$Z$10:$Z$400,'C19 GEG GL Trial Balance'!$A$10:$A$400,$A59,'C19 GEG GL Trial Balance'!$D$10:$D$400,"Posting")</f>
        <v/>
      </c>
      <c r="L59" s="28">
        <f>SUMIFS('C19 GEG GL Trial Balance'!$AA$10:$AA$400,'C19 GEG GL Trial Balance'!$A$10:$A$400,$A59,'C19 GEG GL Trial Balance'!$D$10:$D$400,"Posting")</f>
        <v/>
      </c>
      <c r="M59" s="28">
        <f>SUMIFS('C19 GEG GL Trial Balance'!$AB$10:$AB$400,'C19 GEG GL Trial Balance'!$A$10:$A$400,$A59,'C19 GEG GL Trial Balance'!$D$10:$D$400,"Posting")</f>
        <v/>
      </c>
      <c r="N59" s="28">
        <f>SUMIFS('C19 GEG GL Trial Balance'!$AC$10:$AC$400,'C19 GEG GL Trial Balance'!$A$10:$A$400,$A59,'C19 GEG GL Trial Balance'!$D$10:$D$400,"Posting")</f>
        <v/>
      </c>
      <c r="O59" s="28">
        <f>SUMIFS('C19 GEG GL Trial Balance'!$AD$10:$AD$400,'C19 GEG GL Trial Balance'!$A$10:$A$400,$A59,'C19 GEG GL Trial Balance'!$D$10:$D$400,"Posting")</f>
        <v/>
      </c>
      <c r="P59" s="71">
        <f>SUM(D59:O59)</f>
        <v/>
      </c>
    </row>
    <row r="60">
      <c r="A60" s="45" t="inlineStr"/>
      <c r="B60" s="20" t="inlineStr">
        <is>
          <t xml:space="preserve">   Subtotal beban penjualan</t>
        </is>
      </c>
      <c r="C60" s="23" t="n"/>
      <c r="D60" s="22">
        <f>D54+D55+D56+D57+D58+D59</f>
        <v/>
      </c>
      <c r="E60" s="22">
        <f>E54+E55+E56+E57+E58+E59</f>
        <v/>
      </c>
      <c r="F60" s="22">
        <f>F54+F55+F56+F57+F58+F59</f>
        <v/>
      </c>
      <c r="G60" s="22">
        <f>G54+G55+G56+G57+G58+G59</f>
        <v/>
      </c>
      <c r="H60" s="22">
        <f>H54+H55+H56+H57+H58+H59</f>
        <v/>
      </c>
      <c r="I60" s="22">
        <f>I54+I55+I56+I57+I58+I59</f>
        <v/>
      </c>
      <c r="J60" s="22">
        <f>J54+J55+J56+J57+J58+J59</f>
        <v/>
      </c>
      <c r="K60" s="22">
        <f>K54+K55+K56+K57+K58+K59</f>
        <v/>
      </c>
      <c r="L60" s="22">
        <f>L54+L55+L56+L57+L58+L59</f>
        <v/>
      </c>
      <c r="M60" s="22">
        <f>M54+M55+M56+M57+M58+M59</f>
        <v/>
      </c>
      <c r="N60" s="22">
        <f>N54+N55+N56+N57+N58+N59</f>
        <v/>
      </c>
      <c r="O60" s="22">
        <f>O54+O55+O56+O57+O58+O59</f>
        <v/>
      </c>
      <c r="P60" s="22">
        <f>P54+P55+P56+P57+P58+P59</f>
        <v/>
      </c>
    </row>
    <row r="61">
      <c r="B61" s="35" t="inlineStr">
        <is>
          <t>Beban umum &amp; administrasi</t>
        </is>
      </c>
    </row>
    <row r="62">
      <c r="A62" s="45" t="inlineStr">
        <is>
          <t>6201</t>
        </is>
      </c>
      <c r="B62" s="10" t="inlineStr">
        <is>
          <t xml:space="preserve">   Gaji &amp; tunjangan kantor pusat</t>
        </is>
      </c>
      <c r="D62" s="28">
        <f>SUMIFS('C19 GEG GL Trial Balance'!$S$10:$S$400,'C19 GEG GL Trial Balance'!$A$10:$A$400,$A62,'C19 GEG GL Trial Balance'!$D$10:$D$400,"Posting")</f>
        <v/>
      </c>
      <c r="E62" s="28">
        <f>SUMIFS('C19 GEG GL Trial Balance'!$T$10:$T$400,'C19 GEG GL Trial Balance'!$A$10:$A$400,$A62,'C19 GEG GL Trial Balance'!$D$10:$D$400,"Posting")</f>
        <v/>
      </c>
      <c r="F62" s="28">
        <f>SUMIFS('C19 GEG GL Trial Balance'!$U$10:$U$400,'C19 GEG GL Trial Balance'!$A$10:$A$400,$A62,'C19 GEG GL Trial Balance'!$D$10:$D$400,"Posting")</f>
        <v/>
      </c>
      <c r="G62" s="28">
        <f>SUMIFS('C19 GEG GL Trial Balance'!$V$10:$V$400,'C19 GEG GL Trial Balance'!$A$10:$A$400,$A62,'C19 GEG GL Trial Balance'!$D$10:$D$400,"Posting")</f>
        <v/>
      </c>
      <c r="H62" s="28">
        <f>SUMIFS('C19 GEG GL Trial Balance'!$W$10:$W$400,'C19 GEG GL Trial Balance'!$A$10:$A$400,$A62,'C19 GEG GL Trial Balance'!$D$10:$D$400,"Posting")</f>
        <v/>
      </c>
      <c r="I62" s="28">
        <f>SUMIFS('C19 GEG GL Trial Balance'!$X$10:$X$400,'C19 GEG GL Trial Balance'!$A$10:$A$400,$A62,'C19 GEG GL Trial Balance'!$D$10:$D$400,"Posting")</f>
        <v/>
      </c>
      <c r="J62" s="28">
        <f>SUMIFS('C19 GEG GL Trial Balance'!$Y$10:$Y$400,'C19 GEG GL Trial Balance'!$A$10:$A$400,$A62,'C19 GEG GL Trial Balance'!$D$10:$D$400,"Posting")</f>
        <v/>
      </c>
      <c r="K62" s="28">
        <f>SUMIFS('C19 GEG GL Trial Balance'!$Z$10:$Z$400,'C19 GEG GL Trial Balance'!$A$10:$A$400,$A62,'C19 GEG GL Trial Balance'!$D$10:$D$400,"Posting")</f>
        <v/>
      </c>
      <c r="L62" s="28">
        <f>SUMIFS('C19 GEG GL Trial Balance'!$AA$10:$AA$400,'C19 GEG GL Trial Balance'!$A$10:$A$400,$A62,'C19 GEG GL Trial Balance'!$D$10:$D$400,"Posting")</f>
        <v/>
      </c>
      <c r="M62" s="28">
        <f>SUMIFS('C19 GEG GL Trial Balance'!$AB$10:$AB$400,'C19 GEG GL Trial Balance'!$A$10:$A$400,$A62,'C19 GEG GL Trial Balance'!$D$10:$D$400,"Posting")</f>
        <v/>
      </c>
      <c r="N62" s="28">
        <f>SUMIFS('C19 GEG GL Trial Balance'!$AC$10:$AC$400,'C19 GEG GL Trial Balance'!$A$10:$A$400,$A62,'C19 GEG GL Trial Balance'!$D$10:$D$400,"Posting")</f>
        <v/>
      </c>
      <c r="O62" s="28">
        <f>SUMIFS('C19 GEG GL Trial Balance'!$AD$10:$AD$400,'C19 GEG GL Trial Balance'!$A$10:$A$400,$A62,'C19 GEG GL Trial Balance'!$D$10:$D$400,"Posting")</f>
        <v/>
      </c>
      <c r="P62" s="71">
        <f>SUM(D62:O62)</f>
        <v/>
      </c>
    </row>
    <row r="63">
      <c r="A63" s="45" t="inlineStr">
        <is>
          <t>6202</t>
        </is>
      </c>
      <c r="B63" s="10" t="inlineStr">
        <is>
          <t xml:space="preserve">   Jasa profesional</t>
        </is>
      </c>
      <c r="D63" s="28">
        <f>SUMIFS('C19 GEG GL Trial Balance'!$S$10:$S$400,'C19 GEG GL Trial Balance'!$A$10:$A$400,$A63,'C19 GEG GL Trial Balance'!$D$10:$D$400,"Posting")</f>
        <v/>
      </c>
      <c r="E63" s="28">
        <f>SUMIFS('C19 GEG GL Trial Balance'!$T$10:$T$400,'C19 GEG GL Trial Balance'!$A$10:$A$400,$A63,'C19 GEG GL Trial Balance'!$D$10:$D$400,"Posting")</f>
        <v/>
      </c>
      <c r="F63" s="28">
        <f>SUMIFS('C19 GEG GL Trial Balance'!$U$10:$U$400,'C19 GEG GL Trial Balance'!$A$10:$A$400,$A63,'C19 GEG GL Trial Balance'!$D$10:$D$400,"Posting")</f>
        <v/>
      </c>
      <c r="G63" s="28">
        <f>SUMIFS('C19 GEG GL Trial Balance'!$V$10:$V$400,'C19 GEG GL Trial Balance'!$A$10:$A$400,$A63,'C19 GEG GL Trial Balance'!$D$10:$D$400,"Posting")</f>
        <v/>
      </c>
      <c r="H63" s="28">
        <f>SUMIFS('C19 GEG GL Trial Balance'!$W$10:$W$400,'C19 GEG GL Trial Balance'!$A$10:$A$400,$A63,'C19 GEG GL Trial Balance'!$D$10:$D$400,"Posting")</f>
        <v/>
      </c>
      <c r="I63" s="28">
        <f>SUMIFS('C19 GEG GL Trial Balance'!$X$10:$X$400,'C19 GEG GL Trial Balance'!$A$10:$A$400,$A63,'C19 GEG GL Trial Balance'!$D$10:$D$400,"Posting")</f>
        <v/>
      </c>
      <c r="J63" s="28">
        <f>SUMIFS('C19 GEG GL Trial Balance'!$Y$10:$Y$400,'C19 GEG GL Trial Balance'!$A$10:$A$400,$A63,'C19 GEG GL Trial Balance'!$D$10:$D$400,"Posting")</f>
        <v/>
      </c>
      <c r="K63" s="28">
        <f>SUMIFS('C19 GEG GL Trial Balance'!$Z$10:$Z$400,'C19 GEG GL Trial Balance'!$A$10:$A$400,$A63,'C19 GEG GL Trial Balance'!$D$10:$D$400,"Posting")</f>
        <v/>
      </c>
      <c r="L63" s="28">
        <f>SUMIFS('C19 GEG GL Trial Balance'!$AA$10:$AA$400,'C19 GEG GL Trial Balance'!$A$10:$A$400,$A63,'C19 GEG GL Trial Balance'!$D$10:$D$400,"Posting")</f>
        <v/>
      </c>
      <c r="M63" s="28">
        <f>SUMIFS('C19 GEG GL Trial Balance'!$AB$10:$AB$400,'C19 GEG GL Trial Balance'!$A$10:$A$400,$A63,'C19 GEG GL Trial Balance'!$D$10:$D$400,"Posting")</f>
        <v/>
      </c>
      <c r="N63" s="28">
        <f>SUMIFS('C19 GEG GL Trial Balance'!$AC$10:$AC$400,'C19 GEG GL Trial Balance'!$A$10:$A$400,$A63,'C19 GEG GL Trial Balance'!$D$10:$D$400,"Posting")</f>
        <v/>
      </c>
      <c r="O63" s="28">
        <f>SUMIFS('C19 GEG GL Trial Balance'!$AD$10:$AD$400,'C19 GEG GL Trial Balance'!$A$10:$A$400,$A63,'C19 GEG GL Trial Balance'!$D$10:$D$400,"Posting")</f>
        <v/>
      </c>
      <c r="P63" s="71">
        <f>SUM(D63:O63)</f>
        <v/>
      </c>
    </row>
    <row r="64">
      <c r="A64" s="45" t="inlineStr">
        <is>
          <t>6203</t>
        </is>
      </c>
      <c r="B64" s="10" t="inlineStr">
        <is>
          <t xml:space="preserve">   Sewa kantor</t>
        </is>
      </c>
      <c r="D64" s="28">
        <f>SUMIFS('C19 GEG GL Trial Balance'!$S$10:$S$400,'C19 GEG GL Trial Balance'!$A$10:$A$400,$A64,'C19 GEG GL Trial Balance'!$D$10:$D$400,"Posting")</f>
        <v/>
      </c>
      <c r="E64" s="28">
        <f>SUMIFS('C19 GEG GL Trial Balance'!$T$10:$T$400,'C19 GEG GL Trial Balance'!$A$10:$A$400,$A64,'C19 GEG GL Trial Balance'!$D$10:$D$400,"Posting")</f>
        <v/>
      </c>
      <c r="F64" s="28">
        <f>SUMIFS('C19 GEG GL Trial Balance'!$U$10:$U$400,'C19 GEG GL Trial Balance'!$A$10:$A$400,$A64,'C19 GEG GL Trial Balance'!$D$10:$D$400,"Posting")</f>
        <v/>
      </c>
      <c r="G64" s="28">
        <f>SUMIFS('C19 GEG GL Trial Balance'!$V$10:$V$400,'C19 GEG GL Trial Balance'!$A$10:$A$400,$A64,'C19 GEG GL Trial Balance'!$D$10:$D$400,"Posting")</f>
        <v/>
      </c>
      <c r="H64" s="28">
        <f>SUMIFS('C19 GEG GL Trial Balance'!$W$10:$W$400,'C19 GEG GL Trial Balance'!$A$10:$A$400,$A64,'C19 GEG GL Trial Balance'!$D$10:$D$400,"Posting")</f>
        <v/>
      </c>
      <c r="I64" s="28">
        <f>SUMIFS('C19 GEG GL Trial Balance'!$X$10:$X$400,'C19 GEG GL Trial Balance'!$A$10:$A$400,$A64,'C19 GEG GL Trial Balance'!$D$10:$D$400,"Posting")</f>
        <v/>
      </c>
      <c r="J64" s="28">
        <f>SUMIFS('C19 GEG GL Trial Balance'!$Y$10:$Y$400,'C19 GEG GL Trial Balance'!$A$10:$A$400,$A64,'C19 GEG GL Trial Balance'!$D$10:$D$400,"Posting")</f>
        <v/>
      </c>
      <c r="K64" s="28">
        <f>SUMIFS('C19 GEG GL Trial Balance'!$Z$10:$Z$400,'C19 GEG GL Trial Balance'!$A$10:$A$400,$A64,'C19 GEG GL Trial Balance'!$D$10:$D$400,"Posting")</f>
        <v/>
      </c>
      <c r="L64" s="28">
        <f>SUMIFS('C19 GEG GL Trial Balance'!$AA$10:$AA$400,'C19 GEG GL Trial Balance'!$A$10:$A$400,$A64,'C19 GEG GL Trial Balance'!$D$10:$D$400,"Posting")</f>
        <v/>
      </c>
      <c r="M64" s="28">
        <f>SUMIFS('C19 GEG GL Trial Balance'!$AB$10:$AB$400,'C19 GEG GL Trial Balance'!$A$10:$A$400,$A64,'C19 GEG GL Trial Balance'!$D$10:$D$400,"Posting")</f>
        <v/>
      </c>
      <c r="N64" s="28">
        <f>SUMIFS('C19 GEG GL Trial Balance'!$AC$10:$AC$400,'C19 GEG GL Trial Balance'!$A$10:$A$400,$A64,'C19 GEG GL Trial Balance'!$D$10:$D$400,"Posting")</f>
        <v/>
      </c>
      <c r="O64" s="28">
        <f>SUMIFS('C19 GEG GL Trial Balance'!$AD$10:$AD$400,'C19 GEG GL Trial Balance'!$A$10:$A$400,$A64,'C19 GEG GL Trial Balance'!$D$10:$D$400,"Posting")</f>
        <v/>
      </c>
      <c r="P64" s="71">
        <f>SUM(D64:O64)</f>
        <v/>
      </c>
    </row>
    <row r="65">
      <c r="A65" s="45" t="inlineStr">
        <is>
          <t>6204</t>
        </is>
      </c>
      <c r="B65" s="10" t="inlineStr">
        <is>
          <t xml:space="preserve">   Perjalanan dinas</t>
        </is>
      </c>
      <c r="D65" s="28">
        <f>SUMIFS('C19 GEG GL Trial Balance'!$S$10:$S$400,'C19 GEG GL Trial Balance'!$A$10:$A$400,$A65,'C19 GEG GL Trial Balance'!$D$10:$D$400,"Posting")</f>
        <v/>
      </c>
      <c r="E65" s="28">
        <f>SUMIFS('C19 GEG GL Trial Balance'!$T$10:$T$400,'C19 GEG GL Trial Balance'!$A$10:$A$400,$A65,'C19 GEG GL Trial Balance'!$D$10:$D$400,"Posting")</f>
        <v/>
      </c>
      <c r="F65" s="28">
        <f>SUMIFS('C19 GEG GL Trial Balance'!$U$10:$U$400,'C19 GEG GL Trial Balance'!$A$10:$A$400,$A65,'C19 GEG GL Trial Balance'!$D$10:$D$400,"Posting")</f>
        <v/>
      </c>
      <c r="G65" s="28">
        <f>SUMIFS('C19 GEG GL Trial Balance'!$V$10:$V$400,'C19 GEG GL Trial Balance'!$A$10:$A$400,$A65,'C19 GEG GL Trial Balance'!$D$10:$D$400,"Posting")</f>
        <v/>
      </c>
      <c r="H65" s="28">
        <f>SUMIFS('C19 GEG GL Trial Balance'!$W$10:$W$400,'C19 GEG GL Trial Balance'!$A$10:$A$400,$A65,'C19 GEG GL Trial Balance'!$D$10:$D$400,"Posting")</f>
        <v/>
      </c>
      <c r="I65" s="28">
        <f>SUMIFS('C19 GEG GL Trial Balance'!$X$10:$X$400,'C19 GEG GL Trial Balance'!$A$10:$A$400,$A65,'C19 GEG GL Trial Balance'!$D$10:$D$400,"Posting")</f>
        <v/>
      </c>
      <c r="J65" s="28">
        <f>SUMIFS('C19 GEG GL Trial Balance'!$Y$10:$Y$400,'C19 GEG GL Trial Balance'!$A$10:$A$400,$A65,'C19 GEG GL Trial Balance'!$D$10:$D$400,"Posting")</f>
        <v/>
      </c>
      <c r="K65" s="28">
        <f>SUMIFS('C19 GEG GL Trial Balance'!$Z$10:$Z$400,'C19 GEG GL Trial Balance'!$A$10:$A$400,$A65,'C19 GEG GL Trial Balance'!$D$10:$D$400,"Posting")</f>
        <v/>
      </c>
      <c r="L65" s="28">
        <f>SUMIFS('C19 GEG GL Trial Balance'!$AA$10:$AA$400,'C19 GEG GL Trial Balance'!$A$10:$A$400,$A65,'C19 GEG GL Trial Balance'!$D$10:$D$400,"Posting")</f>
        <v/>
      </c>
      <c r="M65" s="28">
        <f>SUMIFS('C19 GEG GL Trial Balance'!$AB$10:$AB$400,'C19 GEG GL Trial Balance'!$A$10:$A$400,$A65,'C19 GEG GL Trial Balance'!$D$10:$D$400,"Posting")</f>
        <v/>
      </c>
      <c r="N65" s="28">
        <f>SUMIFS('C19 GEG GL Trial Balance'!$AC$10:$AC$400,'C19 GEG GL Trial Balance'!$A$10:$A$400,$A65,'C19 GEG GL Trial Balance'!$D$10:$D$400,"Posting")</f>
        <v/>
      </c>
      <c r="O65" s="28">
        <f>SUMIFS('C19 GEG GL Trial Balance'!$AD$10:$AD$400,'C19 GEG GL Trial Balance'!$A$10:$A$400,$A65,'C19 GEG GL Trial Balance'!$D$10:$D$400,"Posting")</f>
        <v/>
      </c>
      <c r="P65" s="71">
        <f>SUM(D65:O65)</f>
        <v/>
      </c>
    </row>
    <row r="66">
      <c r="A66" s="45" t="inlineStr">
        <is>
          <t>6205</t>
        </is>
      </c>
      <c r="B66" s="10" t="inlineStr">
        <is>
          <t xml:space="preserve">   Asuransi</t>
        </is>
      </c>
      <c r="D66" s="28">
        <f>SUMIFS('C19 GEG GL Trial Balance'!$S$10:$S$400,'C19 GEG GL Trial Balance'!$A$10:$A$400,$A66,'C19 GEG GL Trial Balance'!$D$10:$D$400,"Posting")</f>
        <v/>
      </c>
      <c r="E66" s="28">
        <f>SUMIFS('C19 GEG GL Trial Balance'!$T$10:$T$400,'C19 GEG GL Trial Balance'!$A$10:$A$400,$A66,'C19 GEG GL Trial Balance'!$D$10:$D$400,"Posting")</f>
        <v/>
      </c>
      <c r="F66" s="28">
        <f>SUMIFS('C19 GEG GL Trial Balance'!$U$10:$U$400,'C19 GEG GL Trial Balance'!$A$10:$A$400,$A66,'C19 GEG GL Trial Balance'!$D$10:$D$400,"Posting")</f>
        <v/>
      </c>
      <c r="G66" s="28">
        <f>SUMIFS('C19 GEG GL Trial Balance'!$V$10:$V$400,'C19 GEG GL Trial Balance'!$A$10:$A$400,$A66,'C19 GEG GL Trial Balance'!$D$10:$D$400,"Posting")</f>
        <v/>
      </c>
      <c r="H66" s="28">
        <f>SUMIFS('C19 GEG GL Trial Balance'!$W$10:$W$400,'C19 GEG GL Trial Balance'!$A$10:$A$400,$A66,'C19 GEG GL Trial Balance'!$D$10:$D$400,"Posting")</f>
        <v/>
      </c>
      <c r="I66" s="28">
        <f>SUMIFS('C19 GEG GL Trial Balance'!$X$10:$X$400,'C19 GEG GL Trial Balance'!$A$10:$A$400,$A66,'C19 GEG GL Trial Balance'!$D$10:$D$400,"Posting")</f>
        <v/>
      </c>
      <c r="J66" s="28">
        <f>SUMIFS('C19 GEG GL Trial Balance'!$Y$10:$Y$400,'C19 GEG GL Trial Balance'!$A$10:$A$400,$A66,'C19 GEG GL Trial Balance'!$D$10:$D$400,"Posting")</f>
        <v/>
      </c>
      <c r="K66" s="28">
        <f>SUMIFS('C19 GEG GL Trial Balance'!$Z$10:$Z$400,'C19 GEG GL Trial Balance'!$A$10:$A$400,$A66,'C19 GEG GL Trial Balance'!$D$10:$D$400,"Posting")</f>
        <v/>
      </c>
      <c r="L66" s="28">
        <f>SUMIFS('C19 GEG GL Trial Balance'!$AA$10:$AA$400,'C19 GEG GL Trial Balance'!$A$10:$A$400,$A66,'C19 GEG GL Trial Balance'!$D$10:$D$400,"Posting")</f>
        <v/>
      </c>
      <c r="M66" s="28">
        <f>SUMIFS('C19 GEG GL Trial Balance'!$AB$10:$AB$400,'C19 GEG GL Trial Balance'!$A$10:$A$400,$A66,'C19 GEG GL Trial Balance'!$D$10:$D$400,"Posting")</f>
        <v/>
      </c>
      <c r="N66" s="28">
        <f>SUMIFS('C19 GEG GL Trial Balance'!$AC$10:$AC$400,'C19 GEG GL Trial Balance'!$A$10:$A$400,$A66,'C19 GEG GL Trial Balance'!$D$10:$D$400,"Posting")</f>
        <v/>
      </c>
      <c r="O66" s="28">
        <f>SUMIFS('C19 GEG GL Trial Balance'!$AD$10:$AD$400,'C19 GEG GL Trial Balance'!$A$10:$A$400,$A66,'C19 GEG GL Trial Balance'!$D$10:$D$400,"Posting")</f>
        <v/>
      </c>
      <c r="P66" s="71">
        <f>SUM(D66:O66)</f>
        <v/>
      </c>
    </row>
    <row r="67">
      <c r="A67" s="45" t="inlineStr">
        <is>
          <t>6206</t>
        </is>
      </c>
      <c r="B67" s="10" t="inlineStr">
        <is>
          <t xml:space="preserve">   Pajak, perizinan &amp; iuran</t>
        </is>
      </c>
      <c r="D67" s="28">
        <f>SUMIFS('C19 GEG GL Trial Balance'!$S$10:$S$400,'C19 GEG GL Trial Balance'!$A$10:$A$400,$A67,'C19 GEG GL Trial Balance'!$D$10:$D$400,"Posting")</f>
        <v/>
      </c>
      <c r="E67" s="28">
        <f>SUMIFS('C19 GEG GL Trial Balance'!$T$10:$T$400,'C19 GEG GL Trial Balance'!$A$10:$A$400,$A67,'C19 GEG GL Trial Balance'!$D$10:$D$400,"Posting")</f>
        <v/>
      </c>
      <c r="F67" s="28">
        <f>SUMIFS('C19 GEG GL Trial Balance'!$U$10:$U$400,'C19 GEG GL Trial Balance'!$A$10:$A$400,$A67,'C19 GEG GL Trial Balance'!$D$10:$D$400,"Posting")</f>
        <v/>
      </c>
      <c r="G67" s="28">
        <f>SUMIFS('C19 GEG GL Trial Balance'!$V$10:$V$400,'C19 GEG GL Trial Balance'!$A$10:$A$400,$A67,'C19 GEG GL Trial Balance'!$D$10:$D$400,"Posting")</f>
        <v/>
      </c>
      <c r="H67" s="28">
        <f>SUMIFS('C19 GEG GL Trial Balance'!$W$10:$W$400,'C19 GEG GL Trial Balance'!$A$10:$A$400,$A67,'C19 GEG GL Trial Balance'!$D$10:$D$400,"Posting")</f>
        <v/>
      </c>
      <c r="I67" s="28">
        <f>SUMIFS('C19 GEG GL Trial Balance'!$X$10:$X$400,'C19 GEG GL Trial Balance'!$A$10:$A$400,$A67,'C19 GEG GL Trial Balance'!$D$10:$D$400,"Posting")</f>
        <v/>
      </c>
      <c r="J67" s="28">
        <f>SUMIFS('C19 GEG GL Trial Balance'!$Y$10:$Y$400,'C19 GEG GL Trial Balance'!$A$10:$A$400,$A67,'C19 GEG GL Trial Balance'!$D$10:$D$400,"Posting")</f>
        <v/>
      </c>
      <c r="K67" s="28">
        <f>SUMIFS('C19 GEG GL Trial Balance'!$Z$10:$Z$400,'C19 GEG GL Trial Balance'!$A$10:$A$400,$A67,'C19 GEG GL Trial Balance'!$D$10:$D$400,"Posting")</f>
        <v/>
      </c>
      <c r="L67" s="28">
        <f>SUMIFS('C19 GEG GL Trial Balance'!$AA$10:$AA$400,'C19 GEG GL Trial Balance'!$A$10:$A$400,$A67,'C19 GEG GL Trial Balance'!$D$10:$D$400,"Posting")</f>
        <v/>
      </c>
      <c r="M67" s="28">
        <f>SUMIFS('C19 GEG GL Trial Balance'!$AB$10:$AB$400,'C19 GEG GL Trial Balance'!$A$10:$A$400,$A67,'C19 GEG GL Trial Balance'!$D$10:$D$400,"Posting")</f>
        <v/>
      </c>
      <c r="N67" s="28">
        <f>SUMIFS('C19 GEG GL Trial Balance'!$AC$10:$AC$400,'C19 GEG GL Trial Balance'!$A$10:$A$400,$A67,'C19 GEG GL Trial Balance'!$D$10:$D$400,"Posting")</f>
        <v/>
      </c>
      <c r="O67" s="28">
        <f>SUMIFS('C19 GEG GL Trial Balance'!$AD$10:$AD$400,'C19 GEG GL Trial Balance'!$A$10:$A$400,$A67,'C19 GEG GL Trial Balance'!$D$10:$D$400,"Posting")</f>
        <v/>
      </c>
      <c r="P67" s="71">
        <f>SUM(D67:O67)</f>
        <v/>
      </c>
    </row>
    <row r="68">
      <c r="A68" s="45" t="inlineStr">
        <is>
          <t>6207</t>
        </is>
      </c>
      <c r="B68" s="10" t="inlineStr">
        <is>
          <t xml:space="preserve">   Teknologi informasi &amp; komunikasi</t>
        </is>
      </c>
      <c r="D68" s="28">
        <f>SUMIFS('C19 GEG GL Trial Balance'!$S$10:$S$400,'C19 GEG GL Trial Balance'!$A$10:$A$400,$A68,'C19 GEG GL Trial Balance'!$D$10:$D$400,"Posting")</f>
        <v/>
      </c>
      <c r="E68" s="28">
        <f>SUMIFS('C19 GEG GL Trial Balance'!$T$10:$T$400,'C19 GEG GL Trial Balance'!$A$10:$A$400,$A68,'C19 GEG GL Trial Balance'!$D$10:$D$400,"Posting")</f>
        <v/>
      </c>
      <c r="F68" s="28">
        <f>SUMIFS('C19 GEG GL Trial Balance'!$U$10:$U$400,'C19 GEG GL Trial Balance'!$A$10:$A$400,$A68,'C19 GEG GL Trial Balance'!$D$10:$D$400,"Posting")</f>
        <v/>
      </c>
      <c r="G68" s="28">
        <f>SUMIFS('C19 GEG GL Trial Balance'!$V$10:$V$400,'C19 GEG GL Trial Balance'!$A$10:$A$400,$A68,'C19 GEG GL Trial Balance'!$D$10:$D$400,"Posting")</f>
        <v/>
      </c>
      <c r="H68" s="28">
        <f>SUMIFS('C19 GEG GL Trial Balance'!$W$10:$W$400,'C19 GEG GL Trial Balance'!$A$10:$A$400,$A68,'C19 GEG GL Trial Balance'!$D$10:$D$400,"Posting")</f>
        <v/>
      </c>
      <c r="I68" s="28">
        <f>SUMIFS('C19 GEG GL Trial Balance'!$X$10:$X$400,'C19 GEG GL Trial Balance'!$A$10:$A$400,$A68,'C19 GEG GL Trial Balance'!$D$10:$D$400,"Posting")</f>
        <v/>
      </c>
      <c r="J68" s="28">
        <f>SUMIFS('C19 GEG GL Trial Balance'!$Y$10:$Y$400,'C19 GEG GL Trial Balance'!$A$10:$A$400,$A68,'C19 GEG GL Trial Balance'!$D$10:$D$400,"Posting")</f>
        <v/>
      </c>
      <c r="K68" s="28">
        <f>SUMIFS('C19 GEG GL Trial Balance'!$Z$10:$Z$400,'C19 GEG GL Trial Balance'!$A$10:$A$400,$A68,'C19 GEG GL Trial Balance'!$D$10:$D$400,"Posting")</f>
        <v/>
      </c>
      <c r="L68" s="28">
        <f>SUMIFS('C19 GEG GL Trial Balance'!$AA$10:$AA$400,'C19 GEG GL Trial Balance'!$A$10:$A$400,$A68,'C19 GEG GL Trial Balance'!$D$10:$D$400,"Posting")</f>
        <v/>
      </c>
      <c r="M68" s="28">
        <f>SUMIFS('C19 GEG GL Trial Balance'!$AB$10:$AB$400,'C19 GEG GL Trial Balance'!$A$10:$A$400,$A68,'C19 GEG GL Trial Balance'!$D$10:$D$400,"Posting")</f>
        <v/>
      </c>
      <c r="N68" s="28">
        <f>SUMIFS('C19 GEG GL Trial Balance'!$AC$10:$AC$400,'C19 GEG GL Trial Balance'!$A$10:$A$400,$A68,'C19 GEG GL Trial Balance'!$D$10:$D$400,"Posting")</f>
        <v/>
      </c>
      <c r="O68" s="28">
        <f>SUMIFS('C19 GEG GL Trial Balance'!$AD$10:$AD$400,'C19 GEG GL Trial Balance'!$A$10:$A$400,$A68,'C19 GEG GL Trial Balance'!$D$10:$D$400,"Posting")</f>
        <v/>
      </c>
      <c r="P68" s="71">
        <f>SUM(D68:O68)</f>
        <v/>
      </c>
    </row>
    <row r="69">
      <c r="A69" s="45" t="inlineStr">
        <is>
          <t>6208</t>
        </is>
      </c>
      <c r="B69" s="10" t="inlineStr">
        <is>
          <t xml:space="preserve">   Penyusutan aset kantor</t>
        </is>
      </c>
      <c r="D69" s="28">
        <f>SUMIFS('C19 GEG GL Trial Balance'!$S$10:$S$400,'C19 GEG GL Trial Balance'!$A$10:$A$400,$A69,'C19 GEG GL Trial Balance'!$D$10:$D$400,"Posting")</f>
        <v/>
      </c>
      <c r="E69" s="28">
        <f>SUMIFS('C19 GEG GL Trial Balance'!$T$10:$T$400,'C19 GEG GL Trial Balance'!$A$10:$A$400,$A69,'C19 GEG GL Trial Balance'!$D$10:$D$400,"Posting")</f>
        <v/>
      </c>
      <c r="F69" s="28">
        <f>SUMIFS('C19 GEG GL Trial Balance'!$U$10:$U$400,'C19 GEG GL Trial Balance'!$A$10:$A$400,$A69,'C19 GEG GL Trial Balance'!$D$10:$D$400,"Posting")</f>
        <v/>
      </c>
      <c r="G69" s="28">
        <f>SUMIFS('C19 GEG GL Trial Balance'!$V$10:$V$400,'C19 GEG GL Trial Balance'!$A$10:$A$400,$A69,'C19 GEG GL Trial Balance'!$D$10:$D$400,"Posting")</f>
        <v/>
      </c>
      <c r="H69" s="28">
        <f>SUMIFS('C19 GEG GL Trial Balance'!$W$10:$W$400,'C19 GEG GL Trial Balance'!$A$10:$A$400,$A69,'C19 GEG GL Trial Balance'!$D$10:$D$400,"Posting")</f>
        <v/>
      </c>
      <c r="I69" s="28">
        <f>SUMIFS('C19 GEG GL Trial Balance'!$X$10:$X$400,'C19 GEG GL Trial Balance'!$A$10:$A$400,$A69,'C19 GEG GL Trial Balance'!$D$10:$D$400,"Posting")</f>
        <v/>
      </c>
      <c r="J69" s="28">
        <f>SUMIFS('C19 GEG GL Trial Balance'!$Y$10:$Y$400,'C19 GEG GL Trial Balance'!$A$10:$A$400,$A69,'C19 GEG GL Trial Balance'!$D$10:$D$400,"Posting")</f>
        <v/>
      </c>
      <c r="K69" s="28">
        <f>SUMIFS('C19 GEG GL Trial Balance'!$Z$10:$Z$400,'C19 GEG GL Trial Balance'!$A$10:$A$400,$A69,'C19 GEG GL Trial Balance'!$D$10:$D$400,"Posting")</f>
        <v/>
      </c>
      <c r="L69" s="28">
        <f>SUMIFS('C19 GEG GL Trial Balance'!$AA$10:$AA$400,'C19 GEG GL Trial Balance'!$A$10:$A$400,$A69,'C19 GEG GL Trial Balance'!$D$10:$D$400,"Posting")</f>
        <v/>
      </c>
      <c r="M69" s="28">
        <f>SUMIFS('C19 GEG GL Trial Balance'!$AB$10:$AB$400,'C19 GEG GL Trial Balance'!$A$10:$A$400,$A69,'C19 GEG GL Trial Balance'!$D$10:$D$400,"Posting")</f>
        <v/>
      </c>
      <c r="N69" s="28">
        <f>SUMIFS('C19 GEG GL Trial Balance'!$AC$10:$AC$400,'C19 GEG GL Trial Balance'!$A$10:$A$400,$A69,'C19 GEG GL Trial Balance'!$D$10:$D$400,"Posting")</f>
        <v/>
      </c>
      <c r="O69" s="28">
        <f>SUMIFS('C19 GEG GL Trial Balance'!$AD$10:$AD$400,'C19 GEG GL Trial Balance'!$A$10:$A$400,$A69,'C19 GEG GL Trial Balance'!$D$10:$D$400,"Posting")</f>
        <v/>
      </c>
      <c r="P69" s="71">
        <f>SUM(D69:O69)</f>
        <v/>
      </c>
    </row>
    <row r="70">
      <c r="A70" s="45" t="inlineStr">
        <is>
          <t>6209</t>
        </is>
      </c>
      <c r="B70" s="10" t="inlineStr">
        <is>
          <t xml:space="preserve">   Beban umum lainnya</t>
        </is>
      </c>
      <c r="D70" s="28">
        <f>SUMIFS('C19 GEG GL Trial Balance'!$S$10:$S$400,'C19 GEG GL Trial Balance'!$A$10:$A$400,$A70,'C19 GEG GL Trial Balance'!$D$10:$D$400,"Posting")</f>
        <v/>
      </c>
      <c r="E70" s="28">
        <f>SUMIFS('C19 GEG GL Trial Balance'!$T$10:$T$400,'C19 GEG GL Trial Balance'!$A$10:$A$400,$A70,'C19 GEG GL Trial Balance'!$D$10:$D$400,"Posting")</f>
        <v/>
      </c>
      <c r="F70" s="28">
        <f>SUMIFS('C19 GEG GL Trial Balance'!$U$10:$U$400,'C19 GEG GL Trial Balance'!$A$10:$A$400,$A70,'C19 GEG GL Trial Balance'!$D$10:$D$400,"Posting")</f>
        <v/>
      </c>
      <c r="G70" s="28">
        <f>SUMIFS('C19 GEG GL Trial Balance'!$V$10:$V$400,'C19 GEG GL Trial Balance'!$A$10:$A$400,$A70,'C19 GEG GL Trial Balance'!$D$10:$D$400,"Posting")</f>
        <v/>
      </c>
      <c r="H70" s="28">
        <f>SUMIFS('C19 GEG GL Trial Balance'!$W$10:$W$400,'C19 GEG GL Trial Balance'!$A$10:$A$400,$A70,'C19 GEG GL Trial Balance'!$D$10:$D$400,"Posting")</f>
        <v/>
      </c>
      <c r="I70" s="28">
        <f>SUMIFS('C19 GEG GL Trial Balance'!$X$10:$X$400,'C19 GEG GL Trial Balance'!$A$10:$A$400,$A70,'C19 GEG GL Trial Balance'!$D$10:$D$400,"Posting")</f>
        <v/>
      </c>
      <c r="J70" s="28">
        <f>SUMIFS('C19 GEG GL Trial Balance'!$Y$10:$Y$400,'C19 GEG GL Trial Balance'!$A$10:$A$400,$A70,'C19 GEG GL Trial Balance'!$D$10:$D$400,"Posting")</f>
        <v/>
      </c>
      <c r="K70" s="28">
        <f>SUMIFS('C19 GEG GL Trial Balance'!$Z$10:$Z$400,'C19 GEG GL Trial Balance'!$A$10:$A$400,$A70,'C19 GEG GL Trial Balance'!$D$10:$D$400,"Posting")</f>
        <v/>
      </c>
      <c r="L70" s="28">
        <f>SUMIFS('C19 GEG GL Trial Balance'!$AA$10:$AA$400,'C19 GEG GL Trial Balance'!$A$10:$A$400,$A70,'C19 GEG GL Trial Balance'!$D$10:$D$400,"Posting")</f>
        <v/>
      </c>
      <c r="M70" s="28">
        <f>SUMIFS('C19 GEG GL Trial Balance'!$AB$10:$AB$400,'C19 GEG GL Trial Balance'!$A$10:$A$400,$A70,'C19 GEG GL Trial Balance'!$D$10:$D$400,"Posting")</f>
        <v/>
      </c>
      <c r="N70" s="28">
        <f>SUMIFS('C19 GEG GL Trial Balance'!$AC$10:$AC$400,'C19 GEG GL Trial Balance'!$A$10:$A$400,$A70,'C19 GEG GL Trial Balance'!$D$10:$D$400,"Posting")</f>
        <v/>
      </c>
      <c r="O70" s="28">
        <f>SUMIFS('C19 GEG GL Trial Balance'!$AD$10:$AD$400,'C19 GEG GL Trial Balance'!$A$10:$A$400,$A70,'C19 GEG GL Trial Balance'!$D$10:$D$400,"Posting")</f>
        <v/>
      </c>
      <c r="P70" s="71">
        <f>SUM(D70:O70)</f>
        <v/>
      </c>
    </row>
    <row r="71">
      <c r="A71" s="45" t="inlineStr"/>
      <c r="B71" s="20" t="inlineStr">
        <is>
          <t xml:space="preserve">   Subtotal beban umum &amp; administrasi</t>
        </is>
      </c>
      <c r="C71" s="23" t="n"/>
      <c r="D71" s="22">
        <f>D62+D63+D64+D65+D66+D67+D68+D69+D70</f>
        <v/>
      </c>
      <c r="E71" s="22">
        <f>E62+E63+E64+E65+E66+E67+E68+E69+E70</f>
        <v/>
      </c>
      <c r="F71" s="22">
        <f>F62+F63+F64+F65+F66+F67+F68+F69+F70</f>
        <v/>
      </c>
      <c r="G71" s="22">
        <f>G62+G63+G64+G65+G66+G67+G68+G69+G70</f>
        <v/>
      </c>
      <c r="H71" s="22">
        <f>H62+H63+H64+H65+H66+H67+H68+H69+H70</f>
        <v/>
      </c>
      <c r="I71" s="22">
        <f>I62+I63+I64+I65+I66+I67+I68+I69+I70</f>
        <v/>
      </c>
      <c r="J71" s="22">
        <f>J62+J63+J64+J65+J66+J67+J68+J69+J70</f>
        <v/>
      </c>
      <c r="K71" s="22">
        <f>K62+K63+K64+K65+K66+K67+K68+K69+K70</f>
        <v/>
      </c>
      <c r="L71" s="22">
        <f>L62+L63+L64+L65+L66+L67+L68+L69+L70</f>
        <v/>
      </c>
      <c r="M71" s="22">
        <f>M62+M63+M64+M65+M66+M67+M68+M69+M70</f>
        <v/>
      </c>
      <c r="N71" s="22">
        <f>N62+N63+N64+N65+N66+N67+N68+N69+N70</f>
        <v/>
      </c>
      <c r="O71" s="22">
        <f>O62+O63+O64+O65+O66+O67+O68+O69+O70</f>
        <v/>
      </c>
      <c r="P71" s="22">
        <f>P62+P63+P64+P65+P66+P67+P68+P69+P70</f>
        <v/>
      </c>
    </row>
    <row r="72">
      <c r="A72" s="82" t="inlineStr"/>
      <c r="B72" s="31" t="inlineStr">
        <is>
          <t>TOTAL BEBAN USAHA</t>
        </is>
      </c>
      <c r="C72" s="32" t="n"/>
      <c r="D72" s="33">
        <f>D60+D71</f>
        <v/>
      </c>
      <c r="E72" s="33">
        <f>E60+E71</f>
        <v/>
      </c>
      <c r="F72" s="33">
        <f>F60+F71</f>
        <v/>
      </c>
      <c r="G72" s="33">
        <f>G60+G71</f>
        <v/>
      </c>
      <c r="H72" s="33">
        <f>H60+H71</f>
        <v/>
      </c>
      <c r="I72" s="33">
        <f>I60+I71</f>
        <v/>
      </c>
      <c r="J72" s="33">
        <f>J60+J71</f>
        <v/>
      </c>
      <c r="K72" s="33">
        <f>K60+K71</f>
        <v/>
      </c>
      <c r="L72" s="33">
        <f>L60+L71</f>
        <v/>
      </c>
      <c r="M72" s="33">
        <f>M60+M71</f>
        <v/>
      </c>
      <c r="N72" s="33">
        <f>N60+N71</f>
        <v/>
      </c>
      <c r="O72" s="33">
        <f>O60+O71</f>
        <v/>
      </c>
      <c r="P72" s="33">
        <f>P60+P71</f>
        <v/>
      </c>
    </row>
    <row r="73">
      <c r="A73" s="82" t="inlineStr"/>
      <c r="B73" s="31" t="inlineStr">
        <is>
          <t>LABA USAHA</t>
        </is>
      </c>
      <c r="C73" s="32" t="n"/>
      <c r="D73" s="33">
        <f>D50-D72</f>
        <v/>
      </c>
      <c r="E73" s="33">
        <f>E50-E72</f>
        <v/>
      </c>
      <c r="F73" s="33">
        <f>F50-F72</f>
        <v/>
      </c>
      <c r="G73" s="33">
        <f>G50-G72</f>
        <v/>
      </c>
      <c r="H73" s="33">
        <f>H50-H72</f>
        <v/>
      </c>
      <c r="I73" s="33">
        <f>I50-I72</f>
        <v/>
      </c>
      <c r="J73" s="33">
        <f>J50-J72</f>
        <v/>
      </c>
      <c r="K73" s="33">
        <f>K50-K72</f>
        <v/>
      </c>
      <c r="L73" s="33">
        <f>L50-L72</f>
        <v/>
      </c>
      <c r="M73" s="33">
        <f>M50-M72</f>
        <v/>
      </c>
      <c r="N73" s="33">
        <f>N50-N72</f>
        <v/>
      </c>
      <c r="O73" s="33">
        <f>O50-O72</f>
        <v/>
      </c>
      <c r="P73" s="33">
        <f>P50-P72</f>
        <v/>
      </c>
    </row>
    <row r="74">
      <c r="A74" s="45" t="inlineStr"/>
      <c r="B74" s="37" t="inlineStr">
        <is>
          <t xml:space="preserve">   Marjin laba usaha</t>
        </is>
      </c>
      <c r="D74" s="29">
        <f>IFERROR(D73/D14,0)</f>
        <v/>
      </c>
      <c r="E74" s="29">
        <f>IFERROR(E73/E14,0)</f>
        <v/>
      </c>
      <c r="F74" s="29">
        <f>IFERROR(F73/F14,0)</f>
        <v/>
      </c>
      <c r="G74" s="29">
        <f>IFERROR(G73/G14,0)</f>
        <v/>
      </c>
      <c r="H74" s="29">
        <f>IFERROR(H73/H14,0)</f>
        <v/>
      </c>
      <c r="I74" s="29">
        <f>IFERROR(I73/I14,0)</f>
        <v/>
      </c>
      <c r="J74" s="29">
        <f>IFERROR(J73/J14,0)</f>
        <v/>
      </c>
      <c r="K74" s="29">
        <f>IFERROR(K73/K14,0)</f>
        <v/>
      </c>
      <c r="L74" s="29">
        <f>IFERROR(L73/L14,0)</f>
        <v/>
      </c>
      <c r="M74" s="29">
        <f>IFERROR(M73/M14,0)</f>
        <v/>
      </c>
      <c r="N74" s="29">
        <f>IFERROR(N73/N14,0)</f>
        <v/>
      </c>
      <c r="O74" s="29">
        <f>IFERROR(O73/O14,0)</f>
        <v/>
      </c>
      <c r="P74" s="29">
        <f>IFERROR(P73/P14,0)</f>
        <v/>
      </c>
    </row>
    <row r="75">
      <c r="A75" s="4" t="inlineStr">
        <is>
          <t>PENDAPATAN (BEBAN) LAIN-LAIN</t>
        </is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</row>
    <row r="76">
      <c r="A76" s="45" t="inlineStr">
        <is>
          <t>7101</t>
        </is>
      </c>
      <c r="B76" s="10" t="inlineStr">
        <is>
          <t xml:space="preserve">   Pendapatan bunga</t>
        </is>
      </c>
      <c r="D76" s="28">
        <f>SUMIFS('C19 GEG GL Trial Balance'!$S$10:$S$400,'C19 GEG GL Trial Balance'!$A$10:$A$400,$A76,'C19 GEG GL Trial Balance'!$D$10:$D$400,"Posting")</f>
        <v/>
      </c>
      <c r="E76" s="28">
        <f>SUMIFS('C19 GEG GL Trial Balance'!$T$10:$T$400,'C19 GEG GL Trial Balance'!$A$10:$A$400,$A76,'C19 GEG GL Trial Balance'!$D$10:$D$400,"Posting")</f>
        <v/>
      </c>
      <c r="F76" s="28">
        <f>SUMIFS('C19 GEG GL Trial Balance'!$U$10:$U$400,'C19 GEG GL Trial Balance'!$A$10:$A$400,$A76,'C19 GEG GL Trial Balance'!$D$10:$D$400,"Posting")</f>
        <v/>
      </c>
      <c r="G76" s="28">
        <f>SUMIFS('C19 GEG GL Trial Balance'!$V$10:$V$400,'C19 GEG GL Trial Balance'!$A$10:$A$400,$A76,'C19 GEG GL Trial Balance'!$D$10:$D$400,"Posting")</f>
        <v/>
      </c>
      <c r="H76" s="28">
        <f>SUMIFS('C19 GEG GL Trial Balance'!$W$10:$W$400,'C19 GEG GL Trial Balance'!$A$10:$A$400,$A76,'C19 GEG GL Trial Balance'!$D$10:$D$400,"Posting")</f>
        <v/>
      </c>
      <c r="I76" s="28">
        <f>SUMIFS('C19 GEG GL Trial Balance'!$X$10:$X$400,'C19 GEG GL Trial Balance'!$A$10:$A$400,$A76,'C19 GEG GL Trial Balance'!$D$10:$D$400,"Posting")</f>
        <v/>
      </c>
      <c r="J76" s="28">
        <f>SUMIFS('C19 GEG GL Trial Balance'!$Y$10:$Y$400,'C19 GEG GL Trial Balance'!$A$10:$A$400,$A76,'C19 GEG GL Trial Balance'!$D$10:$D$400,"Posting")</f>
        <v/>
      </c>
      <c r="K76" s="28">
        <f>SUMIFS('C19 GEG GL Trial Balance'!$Z$10:$Z$400,'C19 GEG GL Trial Balance'!$A$10:$A$400,$A76,'C19 GEG GL Trial Balance'!$D$10:$D$400,"Posting")</f>
        <v/>
      </c>
      <c r="L76" s="28">
        <f>SUMIFS('C19 GEG GL Trial Balance'!$AA$10:$AA$400,'C19 GEG GL Trial Balance'!$A$10:$A$400,$A76,'C19 GEG GL Trial Balance'!$D$10:$D$400,"Posting")</f>
        <v/>
      </c>
      <c r="M76" s="28">
        <f>SUMIFS('C19 GEG GL Trial Balance'!$AB$10:$AB$400,'C19 GEG GL Trial Balance'!$A$10:$A$400,$A76,'C19 GEG GL Trial Balance'!$D$10:$D$400,"Posting")</f>
        <v/>
      </c>
      <c r="N76" s="28">
        <f>SUMIFS('C19 GEG GL Trial Balance'!$AC$10:$AC$400,'C19 GEG GL Trial Balance'!$A$10:$A$400,$A76,'C19 GEG GL Trial Balance'!$D$10:$D$400,"Posting")</f>
        <v/>
      </c>
      <c r="O76" s="28">
        <f>SUMIFS('C19 GEG GL Trial Balance'!$AD$10:$AD$400,'C19 GEG GL Trial Balance'!$A$10:$A$400,$A76,'C19 GEG GL Trial Balance'!$D$10:$D$400,"Posting")</f>
        <v/>
      </c>
      <c r="P76" s="71">
        <f>SUM(D76:O76)</f>
        <v/>
      </c>
    </row>
    <row r="77">
      <c r="A77" s="45" t="inlineStr">
        <is>
          <t>7201</t>
        </is>
      </c>
      <c r="B77" s="10" t="inlineStr">
        <is>
          <t xml:space="preserve">   Beban keuangan (isi negatif)</t>
        </is>
      </c>
      <c r="D77" s="28">
        <f>SUMIFS('C19 GEG GL Trial Balance'!$S$10:$S$400,'C19 GEG GL Trial Balance'!$A$10:$A$400,$A77,'C19 GEG GL Trial Balance'!$D$10:$D$400,"Posting")</f>
        <v/>
      </c>
      <c r="E77" s="28">
        <f>SUMIFS('C19 GEG GL Trial Balance'!$T$10:$T$400,'C19 GEG GL Trial Balance'!$A$10:$A$400,$A77,'C19 GEG GL Trial Balance'!$D$10:$D$400,"Posting")</f>
        <v/>
      </c>
      <c r="F77" s="28">
        <f>SUMIFS('C19 GEG GL Trial Balance'!$U$10:$U$400,'C19 GEG GL Trial Balance'!$A$10:$A$400,$A77,'C19 GEG GL Trial Balance'!$D$10:$D$400,"Posting")</f>
        <v/>
      </c>
      <c r="G77" s="28">
        <f>SUMIFS('C19 GEG GL Trial Balance'!$V$10:$V$400,'C19 GEG GL Trial Balance'!$A$10:$A$400,$A77,'C19 GEG GL Trial Balance'!$D$10:$D$400,"Posting")</f>
        <v/>
      </c>
      <c r="H77" s="28">
        <f>SUMIFS('C19 GEG GL Trial Balance'!$W$10:$W$400,'C19 GEG GL Trial Balance'!$A$10:$A$400,$A77,'C19 GEG GL Trial Balance'!$D$10:$D$400,"Posting")</f>
        <v/>
      </c>
      <c r="I77" s="28">
        <f>SUMIFS('C19 GEG GL Trial Balance'!$X$10:$X$400,'C19 GEG GL Trial Balance'!$A$10:$A$400,$A77,'C19 GEG GL Trial Balance'!$D$10:$D$400,"Posting")</f>
        <v/>
      </c>
      <c r="J77" s="28">
        <f>SUMIFS('C19 GEG GL Trial Balance'!$Y$10:$Y$400,'C19 GEG GL Trial Balance'!$A$10:$A$400,$A77,'C19 GEG GL Trial Balance'!$D$10:$D$400,"Posting")</f>
        <v/>
      </c>
      <c r="K77" s="28">
        <f>SUMIFS('C19 GEG GL Trial Balance'!$Z$10:$Z$400,'C19 GEG GL Trial Balance'!$A$10:$A$400,$A77,'C19 GEG GL Trial Balance'!$D$10:$D$400,"Posting")</f>
        <v/>
      </c>
      <c r="L77" s="28">
        <f>SUMIFS('C19 GEG GL Trial Balance'!$AA$10:$AA$400,'C19 GEG GL Trial Balance'!$A$10:$A$400,$A77,'C19 GEG GL Trial Balance'!$D$10:$D$400,"Posting")</f>
        <v/>
      </c>
      <c r="M77" s="28">
        <f>SUMIFS('C19 GEG GL Trial Balance'!$AB$10:$AB$400,'C19 GEG GL Trial Balance'!$A$10:$A$400,$A77,'C19 GEG GL Trial Balance'!$D$10:$D$400,"Posting")</f>
        <v/>
      </c>
      <c r="N77" s="28">
        <f>SUMIFS('C19 GEG GL Trial Balance'!$AC$10:$AC$400,'C19 GEG GL Trial Balance'!$A$10:$A$400,$A77,'C19 GEG GL Trial Balance'!$D$10:$D$400,"Posting")</f>
        <v/>
      </c>
      <c r="O77" s="28">
        <f>SUMIFS('C19 GEG GL Trial Balance'!$AD$10:$AD$400,'C19 GEG GL Trial Balance'!$A$10:$A$400,$A77,'C19 GEG GL Trial Balance'!$D$10:$D$400,"Posting")</f>
        <v/>
      </c>
      <c r="P77" s="71">
        <f>SUM(D77:O77)</f>
        <v/>
      </c>
    </row>
    <row r="78">
      <c r="A78" s="45" t="inlineStr">
        <is>
          <t>7301</t>
        </is>
      </c>
      <c r="B78" s="10" t="inlineStr">
        <is>
          <t xml:space="preserve">   Laba (rugi) selisih kurs</t>
        </is>
      </c>
      <c r="D78" s="28">
        <f>SUMIFS('C19 GEG GL Trial Balance'!$S$10:$S$400,'C19 GEG GL Trial Balance'!$A$10:$A$400,$A78,'C19 GEG GL Trial Balance'!$D$10:$D$400,"Posting")</f>
        <v/>
      </c>
      <c r="E78" s="28">
        <f>SUMIFS('C19 GEG GL Trial Balance'!$T$10:$T$400,'C19 GEG GL Trial Balance'!$A$10:$A$400,$A78,'C19 GEG GL Trial Balance'!$D$10:$D$400,"Posting")</f>
        <v/>
      </c>
      <c r="F78" s="28">
        <f>SUMIFS('C19 GEG GL Trial Balance'!$U$10:$U$400,'C19 GEG GL Trial Balance'!$A$10:$A$400,$A78,'C19 GEG GL Trial Balance'!$D$10:$D$400,"Posting")</f>
        <v/>
      </c>
      <c r="G78" s="28">
        <f>SUMIFS('C19 GEG GL Trial Balance'!$V$10:$V$400,'C19 GEG GL Trial Balance'!$A$10:$A$400,$A78,'C19 GEG GL Trial Balance'!$D$10:$D$400,"Posting")</f>
        <v/>
      </c>
      <c r="H78" s="28">
        <f>SUMIFS('C19 GEG GL Trial Balance'!$W$10:$W$400,'C19 GEG GL Trial Balance'!$A$10:$A$400,$A78,'C19 GEG GL Trial Balance'!$D$10:$D$400,"Posting")</f>
        <v/>
      </c>
      <c r="I78" s="28">
        <f>SUMIFS('C19 GEG GL Trial Balance'!$X$10:$X$400,'C19 GEG GL Trial Balance'!$A$10:$A$400,$A78,'C19 GEG GL Trial Balance'!$D$10:$D$400,"Posting")</f>
        <v/>
      </c>
      <c r="J78" s="28">
        <f>SUMIFS('C19 GEG GL Trial Balance'!$Y$10:$Y$400,'C19 GEG GL Trial Balance'!$A$10:$A$400,$A78,'C19 GEG GL Trial Balance'!$D$10:$D$400,"Posting")</f>
        <v/>
      </c>
      <c r="K78" s="28">
        <f>SUMIFS('C19 GEG GL Trial Balance'!$Z$10:$Z$400,'C19 GEG GL Trial Balance'!$A$10:$A$400,$A78,'C19 GEG GL Trial Balance'!$D$10:$D$400,"Posting")</f>
        <v/>
      </c>
      <c r="L78" s="28">
        <f>SUMIFS('C19 GEG GL Trial Balance'!$AA$10:$AA$400,'C19 GEG GL Trial Balance'!$A$10:$A$400,$A78,'C19 GEG GL Trial Balance'!$D$10:$D$400,"Posting")</f>
        <v/>
      </c>
      <c r="M78" s="28">
        <f>SUMIFS('C19 GEG GL Trial Balance'!$AB$10:$AB$400,'C19 GEG GL Trial Balance'!$A$10:$A$400,$A78,'C19 GEG GL Trial Balance'!$D$10:$D$400,"Posting")</f>
        <v/>
      </c>
      <c r="N78" s="28">
        <f>SUMIFS('C19 GEG GL Trial Balance'!$AC$10:$AC$400,'C19 GEG GL Trial Balance'!$A$10:$A$400,$A78,'C19 GEG GL Trial Balance'!$D$10:$D$400,"Posting")</f>
        <v/>
      </c>
      <c r="O78" s="28">
        <f>SUMIFS('C19 GEG GL Trial Balance'!$AD$10:$AD$400,'C19 GEG GL Trial Balance'!$A$10:$A$400,$A78,'C19 GEG GL Trial Balance'!$D$10:$D$400,"Posting")</f>
        <v/>
      </c>
      <c r="P78" s="71">
        <f>SUM(D78:O78)</f>
        <v/>
      </c>
    </row>
    <row r="79">
      <c r="A79" s="45" t="inlineStr">
        <is>
          <t>7401</t>
        </is>
      </c>
      <c r="B79" s="10" t="inlineStr">
        <is>
          <t xml:space="preserve">   Lain-lain – neto</t>
        </is>
      </c>
      <c r="D79" s="28">
        <f>SUMIFS('C19 GEG GL Trial Balance'!$S$10:$S$400,'C19 GEG GL Trial Balance'!$A$10:$A$400,$A79,'C19 GEG GL Trial Balance'!$D$10:$D$400,"Posting")</f>
        <v/>
      </c>
      <c r="E79" s="28">
        <f>SUMIFS('C19 GEG GL Trial Balance'!$T$10:$T$400,'C19 GEG GL Trial Balance'!$A$10:$A$400,$A79,'C19 GEG GL Trial Balance'!$D$10:$D$400,"Posting")</f>
        <v/>
      </c>
      <c r="F79" s="28">
        <f>SUMIFS('C19 GEG GL Trial Balance'!$U$10:$U$400,'C19 GEG GL Trial Balance'!$A$10:$A$400,$A79,'C19 GEG GL Trial Balance'!$D$10:$D$400,"Posting")</f>
        <v/>
      </c>
      <c r="G79" s="28">
        <f>SUMIFS('C19 GEG GL Trial Balance'!$V$10:$V$400,'C19 GEG GL Trial Balance'!$A$10:$A$400,$A79,'C19 GEG GL Trial Balance'!$D$10:$D$400,"Posting")</f>
        <v/>
      </c>
      <c r="H79" s="28">
        <f>SUMIFS('C19 GEG GL Trial Balance'!$W$10:$W$400,'C19 GEG GL Trial Balance'!$A$10:$A$400,$A79,'C19 GEG GL Trial Balance'!$D$10:$D$400,"Posting")</f>
        <v/>
      </c>
      <c r="I79" s="28">
        <f>SUMIFS('C19 GEG GL Trial Balance'!$X$10:$X$400,'C19 GEG GL Trial Balance'!$A$10:$A$400,$A79,'C19 GEG GL Trial Balance'!$D$10:$D$400,"Posting")</f>
        <v/>
      </c>
      <c r="J79" s="28">
        <f>SUMIFS('C19 GEG GL Trial Balance'!$Y$10:$Y$400,'C19 GEG GL Trial Balance'!$A$10:$A$400,$A79,'C19 GEG GL Trial Balance'!$D$10:$D$400,"Posting")</f>
        <v/>
      </c>
      <c r="K79" s="28">
        <f>SUMIFS('C19 GEG GL Trial Balance'!$Z$10:$Z$400,'C19 GEG GL Trial Balance'!$A$10:$A$400,$A79,'C19 GEG GL Trial Balance'!$D$10:$D$400,"Posting")</f>
        <v/>
      </c>
      <c r="L79" s="28">
        <f>SUMIFS('C19 GEG GL Trial Balance'!$AA$10:$AA$400,'C19 GEG GL Trial Balance'!$A$10:$A$400,$A79,'C19 GEG GL Trial Balance'!$D$10:$D$400,"Posting")</f>
        <v/>
      </c>
      <c r="M79" s="28">
        <f>SUMIFS('C19 GEG GL Trial Balance'!$AB$10:$AB$400,'C19 GEG GL Trial Balance'!$A$10:$A$400,$A79,'C19 GEG GL Trial Balance'!$D$10:$D$400,"Posting")</f>
        <v/>
      </c>
      <c r="N79" s="28">
        <f>SUMIFS('C19 GEG GL Trial Balance'!$AC$10:$AC$400,'C19 GEG GL Trial Balance'!$A$10:$A$400,$A79,'C19 GEG GL Trial Balance'!$D$10:$D$400,"Posting")</f>
        <v/>
      </c>
      <c r="O79" s="28">
        <f>SUMIFS('C19 GEG GL Trial Balance'!$AD$10:$AD$400,'C19 GEG GL Trial Balance'!$A$10:$A$400,$A79,'C19 GEG GL Trial Balance'!$D$10:$D$400,"Posting")</f>
        <v/>
      </c>
      <c r="P79" s="71">
        <f>SUM(D79:O79)</f>
        <v/>
      </c>
    </row>
    <row r="80">
      <c r="A80" s="45" t="inlineStr"/>
      <c r="B80" s="20" t="inlineStr">
        <is>
          <t xml:space="preserve">   Jumlah pendapatan (beban) lain-lain</t>
        </is>
      </c>
      <c r="C80" s="23" t="n"/>
      <c r="D80" s="22">
        <f>D76+D77+D78+D79</f>
        <v/>
      </c>
      <c r="E80" s="22">
        <f>E76+E77+E78+E79</f>
        <v/>
      </c>
      <c r="F80" s="22">
        <f>F76+F77+F78+F79</f>
        <v/>
      </c>
      <c r="G80" s="22">
        <f>G76+G77+G78+G79</f>
        <v/>
      </c>
      <c r="H80" s="22">
        <f>H76+H77+H78+H79</f>
        <v/>
      </c>
      <c r="I80" s="22">
        <f>I76+I77+I78+I79</f>
        <v/>
      </c>
      <c r="J80" s="22">
        <f>J76+J77+J78+J79</f>
        <v/>
      </c>
      <c r="K80" s="22">
        <f>K76+K77+K78+K79</f>
        <v/>
      </c>
      <c r="L80" s="22">
        <f>L76+L77+L78+L79</f>
        <v/>
      </c>
      <c r="M80" s="22">
        <f>M76+M77+M78+M79</f>
        <v/>
      </c>
      <c r="N80" s="22">
        <f>N76+N77+N78+N79</f>
        <v/>
      </c>
      <c r="O80" s="22">
        <f>O76+O77+O78+O79</f>
        <v/>
      </c>
      <c r="P80" s="22">
        <f>P76+P77+P78+P79</f>
        <v/>
      </c>
    </row>
    <row r="81">
      <c r="A81" s="82" t="inlineStr"/>
      <c r="B81" s="31" t="inlineStr">
        <is>
          <t>LABA SEBELUM PAJAK</t>
        </is>
      </c>
      <c r="C81" s="32" t="n"/>
      <c r="D81" s="33">
        <f>D73+D80</f>
        <v/>
      </c>
      <c r="E81" s="33">
        <f>E73+E80</f>
        <v/>
      </c>
      <c r="F81" s="33">
        <f>F73+F80</f>
        <v/>
      </c>
      <c r="G81" s="33">
        <f>G73+G80</f>
        <v/>
      </c>
      <c r="H81" s="33">
        <f>H73+H80</f>
        <v/>
      </c>
      <c r="I81" s="33">
        <f>I73+I80</f>
        <v/>
      </c>
      <c r="J81" s="33">
        <f>J73+J80</f>
        <v/>
      </c>
      <c r="K81" s="33">
        <f>K73+K80</f>
        <v/>
      </c>
      <c r="L81" s="33">
        <f>L73+L80</f>
        <v/>
      </c>
      <c r="M81" s="33">
        <f>M73+M80</f>
        <v/>
      </c>
      <c r="N81" s="33">
        <f>N73+N80</f>
        <v/>
      </c>
      <c r="O81" s="33">
        <f>O73+O80</f>
        <v/>
      </c>
      <c r="P81" s="33">
        <f>P73+P80</f>
        <v/>
      </c>
    </row>
    <row r="82">
      <c r="A82" s="45" t="inlineStr">
        <is>
          <t>8101</t>
        </is>
      </c>
      <c r="B82" s="10" t="inlineStr">
        <is>
          <t xml:space="preserve">   Beban pajak penghasilan</t>
        </is>
      </c>
      <c r="D82" s="28">
        <f>SUMIFS('C19 GEG GL Trial Balance'!$S$10:$S$400,'C19 GEG GL Trial Balance'!$A$10:$A$400,$A82,'C19 GEG GL Trial Balance'!$D$10:$D$400,"Posting")</f>
        <v/>
      </c>
      <c r="E82" s="28">
        <f>SUMIFS('C19 GEG GL Trial Balance'!$T$10:$T$400,'C19 GEG GL Trial Balance'!$A$10:$A$400,$A82,'C19 GEG GL Trial Balance'!$D$10:$D$400,"Posting")</f>
        <v/>
      </c>
      <c r="F82" s="28">
        <f>SUMIFS('C19 GEG GL Trial Balance'!$U$10:$U$400,'C19 GEG GL Trial Balance'!$A$10:$A$400,$A82,'C19 GEG GL Trial Balance'!$D$10:$D$400,"Posting")</f>
        <v/>
      </c>
      <c r="G82" s="28">
        <f>SUMIFS('C19 GEG GL Trial Balance'!$V$10:$V$400,'C19 GEG GL Trial Balance'!$A$10:$A$400,$A82,'C19 GEG GL Trial Balance'!$D$10:$D$400,"Posting")</f>
        <v/>
      </c>
      <c r="H82" s="28">
        <f>SUMIFS('C19 GEG GL Trial Balance'!$W$10:$W$400,'C19 GEG GL Trial Balance'!$A$10:$A$400,$A82,'C19 GEG GL Trial Balance'!$D$10:$D$400,"Posting")</f>
        <v/>
      </c>
      <c r="I82" s="28">
        <f>SUMIFS('C19 GEG GL Trial Balance'!$X$10:$X$400,'C19 GEG GL Trial Balance'!$A$10:$A$400,$A82,'C19 GEG GL Trial Balance'!$D$10:$D$400,"Posting")</f>
        <v/>
      </c>
      <c r="J82" s="28">
        <f>SUMIFS('C19 GEG GL Trial Balance'!$Y$10:$Y$400,'C19 GEG GL Trial Balance'!$A$10:$A$400,$A82,'C19 GEG GL Trial Balance'!$D$10:$D$400,"Posting")</f>
        <v/>
      </c>
      <c r="K82" s="28">
        <f>SUMIFS('C19 GEG GL Trial Balance'!$Z$10:$Z$400,'C19 GEG GL Trial Balance'!$A$10:$A$400,$A82,'C19 GEG GL Trial Balance'!$D$10:$D$400,"Posting")</f>
        <v/>
      </c>
      <c r="L82" s="28">
        <f>SUMIFS('C19 GEG GL Trial Balance'!$AA$10:$AA$400,'C19 GEG GL Trial Balance'!$A$10:$A$400,$A82,'C19 GEG GL Trial Balance'!$D$10:$D$400,"Posting")</f>
        <v/>
      </c>
      <c r="M82" s="28">
        <f>SUMIFS('C19 GEG GL Trial Balance'!$AB$10:$AB$400,'C19 GEG GL Trial Balance'!$A$10:$A$400,$A82,'C19 GEG GL Trial Balance'!$D$10:$D$400,"Posting")</f>
        <v/>
      </c>
      <c r="N82" s="28">
        <f>SUMIFS('C19 GEG GL Trial Balance'!$AC$10:$AC$400,'C19 GEG GL Trial Balance'!$A$10:$A$400,$A82,'C19 GEG GL Trial Balance'!$D$10:$D$400,"Posting")</f>
        <v/>
      </c>
      <c r="O82" s="28">
        <f>SUMIFS('C19 GEG GL Trial Balance'!$AD$10:$AD$400,'C19 GEG GL Trial Balance'!$A$10:$A$400,$A82,'C19 GEG GL Trial Balance'!$D$10:$D$400,"Posting")</f>
        <v/>
      </c>
      <c r="P82" s="71">
        <f>SUM(D82:O82)</f>
        <v/>
      </c>
    </row>
    <row r="83">
      <c r="A83" s="82" t="inlineStr"/>
      <c r="B83" s="31" t="inlineStr">
        <is>
          <t>LABA BERSIH</t>
        </is>
      </c>
      <c r="C83" s="32" t="n"/>
      <c r="D83" s="33">
        <f>D81-D82</f>
        <v/>
      </c>
      <c r="E83" s="33">
        <f>E81-E82</f>
        <v/>
      </c>
      <c r="F83" s="33">
        <f>F81-F82</f>
        <v/>
      </c>
      <c r="G83" s="33">
        <f>G81-G82</f>
        <v/>
      </c>
      <c r="H83" s="33">
        <f>H81-H82</f>
        <v/>
      </c>
      <c r="I83" s="33">
        <f>I81-I82</f>
        <v/>
      </c>
      <c r="J83" s="33">
        <f>J81-J82</f>
        <v/>
      </c>
      <c r="K83" s="33">
        <f>K81-K82</f>
        <v/>
      </c>
      <c r="L83" s="33">
        <f>L81-L82</f>
        <v/>
      </c>
      <c r="M83" s="33">
        <f>M81-M82</f>
        <v/>
      </c>
      <c r="N83" s="33">
        <f>N81-N82</f>
        <v/>
      </c>
      <c r="O83" s="33">
        <f>O81-O82</f>
        <v/>
      </c>
      <c r="P83" s="33">
        <f>P81-P82</f>
        <v/>
      </c>
    </row>
    <row r="84">
      <c r="A84" s="45" t="inlineStr"/>
      <c r="B84" s="37" t="inlineStr">
        <is>
          <t xml:space="preserve">   Marjin laba bersih</t>
        </is>
      </c>
      <c r="D84" s="29">
        <f>IFERROR(D83/D14,0)</f>
        <v/>
      </c>
      <c r="E84" s="29">
        <f>IFERROR(E83/E14,0)</f>
        <v/>
      </c>
      <c r="F84" s="29">
        <f>IFERROR(F83/F14,0)</f>
        <v/>
      </c>
      <c r="G84" s="29">
        <f>IFERROR(G83/G14,0)</f>
        <v/>
      </c>
      <c r="H84" s="29">
        <f>IFERROR(H83/H14,0)</f>
        <v/>
      </c>
      <c r="I84" s="29">
        <f>IFERROR(I83/I14,0)</f>
        <v/>
      </c>
      <c r="J84" s="29">
        <f>IFERROR(J83/J14,0)</f>
        <v/>
      </c>
      <c r="K84" s="29">
        <f>IFERROR(K83/K14,0)</f>
        <v/>
      </c>
      <c r="L84" s="29">
        <f>IFERROR(L83/L14,0)</f>
        <v/>
      </c>
      <c r="M84" s="29">
        <f>IFERROR(M83/M14,0)</f>
        <v/>
      </c>
      <c r="N84" s="29">
        <f>IFERROR(N83/N14,0)</f>
        <v/>
      </c>
      <c r="O84" s="29">
        <f>IFERROR(O83/O14,0)</f>
        <v/>
      </c>
      <c r="P84" s="29">
        <f>IFERROR(P83/P14,0)</f>
        <v/>
      </c>
    </row>
    <row r="85">
      <c r="A85" s="4" t="inlineStr">
        <is>
          <t>MEMO</t>
        </is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</row>
    <row r="86">
      <c r="A86" s="45" t="inlineStr"/>
      <c r="B86" s="20" t="inlineStr">
        <is>
          <t xml:space="preserve">   EBITDA (laba usaha + penyusutan &amp; amortisasi)</t>
        </is>
      </c>
      <c r="C86" s="23" t="n"/>
      <c r="D86" s="22">
        <f>D73+D46+D69</f>
        <v/>
      </c>
      <c r="E86" s="22">
        <f>E73+E46+E69</f>
        <v/>
      </c>
      <c r="F86" s="22">
        <f>F73+F46+F69</f>
        <v/>
      </c>
      <c r="G86" s="22">
        <f>G73+G46+G69</f>
        <v/>
      </c>
      <c r="H86" s="22">
        <f>H73+H46+H69</f>
        <v/>
      </c>
      <c r="I86" s="22">
        <f>I73+I46+I69</f>
        <v/>
      </c>
      <c r="J86" s="22">
        <f>J73+J46+J69</f>
        <v/>
      </c>
      <c r="K86" s="22">
        <f>K73+K46+K69</f>
        <v/>
      </c>
      <c r="L86" s="22">
        <f>L73+L46+L69</f>
        <v/>
      </c>
      <c r="M86" s="22">
        <f>M73+M46+M69</f>
        <v/>
      </c>
      <c r="N86" s="22">
        <f>N73+N46+N69</f>
        <v/>
      </c>
      <c r="O86" s="22">
        <f>O73+O46+O69</f>
        <v/>
      </c>
      <c r="P86" s="22">
        <f>P73+P46+P69</f>
        <v/>
      </c>
    </row>
    <row r="87">
      <c r="A87" s="45" t="inlineStr"/>
      <c r="B87" s="37" t="inlineStr">
        <is>
          <t xml:space="preserve">   Marjin EBITDA</t>
        </is>
      </c>
      <c r="D87" s="29">
        <f>IFERROR(D86/D14,0)</f>
        <v/>
      </c>
      <c r="E87" s="29">
        <f>IFERROR(E86/E14,0)</f>
        <v/>
      </c>
      <c r="F87" s="29">
        <f>IFERROR(F86/F14,0)</f>
        <v/>
      </c>
      <c r="G87" s="29">
        <f>IFERROR(G86/G14,0)</f>
        <v/>
      </c>
      <c r="H87" s="29">
        <f>IFERROR(H86/H14,0)</f>
        <v/>
      </c>
      <c r="I87" s="29">
        <f>IFERROR(I86/I14,0)</f>
        <v/>
      </c>
      <c r="J87" s="29">
        <f>IFERROR(J86/J14,0)</f>
        <v/>
      </c>
      <c r="K87" s="29">
        <f>IFERROR(K86/K14,0)</f>
        <v/>
      </c>
      <c r="L87" s="29">
        <f>IFERROR(L86/L14,0)</f>
        <v/>
      </c>
      <c r="M87" s="29">
        <f>IFERROR(M86/M14,0)</f>
        <v/>
      </c>
      <c r="N87" s="29">
        <f>IFERROR(N86/N14,0)</f>
        <v/>
      </c>
      <c r="O87" s="29">
        <f>IFERROR(O86/O14,0)</f>
        <v/>
      </c>
      <c r="P87" s="29">
        <f>IFERROR(P86/P14,0)</f>
        <v/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P87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</cols>
  <sheetData>
    <row r="1">
      <c r="A1" s="1" t="inlineStr">
        <is>
          <t>GEG – Laba Rugi AKTUAL Bulanan (Rp juta)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OTOMATIS dari sheet C19 GL Trial Balance (SUMIFS per kode akun MIS) – tidak perlu input di sini. Beban positif; penalti &amp; beban keuangan negatif.</t>
        </is>
      </c>
    </row>
    <row r="3"/>
    <row r="4"/>
    <row r="5">
      <c r="D5" s="80" t="n">
        <v>1</v>
      </c>
      <c r="E5" s="80" t="n">
        <v>2</v>
      </c>
      <c r="F5" s="80" t="n">
        <v>3</v>
      </c>
      <c r="G5" s="80" t="n">
        <v>4</v>
      </c>
      <c r="H5" s="80" t="n">
        <v>5</v>
      </c>
      <c r="I5" s="80" t="n">
        <v>6</v>
      </c>
      <c r="J5" s="80" t="n">
        <v>7</v>
      </c>
      <c r="K5" s="80" t="n">
        <v>8</v>
      </c>
      <c r="L5" s="80" t="n">
        <v>9</v>
      </c>
      <c r="M5" s="80" t="n">
        <v>10</v>
      </c>
      <c r="N5" s="80" t="n">
        <v>11</v>
      </c>
      <c r="O5" s="80" t="n">
        <v>12</v>
      </c>
    </row>
    <row r="6">
      <c r="A6" s="16" t="inlineStr">
        <is>
          <t>Kode akun</t>
        </is>
      </c>
      <c r="B6" s="16" t="inlineStr">
        <is>
          <t>Uraian</t>
        </is>
      </c>
      <c r="C6" s="16" t="inlineStr">
        <is>
          <t>Catatan</t>
        </is>
      </c>
      <c r="D6" s="16" t="inlineStr">
        <is>
          <t>Jan</t>
        </is>
      </c>
      <c r="E6" s="16" t="inlineStr">
        <is>
          <t>Feb</t>
        </is>
      </c>
      <c r="F6" s="16" t="inlineStr">
        <is>
          <t>Mar</t>
        </is>
      </c>
      <c r="G6" s="16" t="inlineStr">
        <is>
          <t>Apr</t>
        </is>
      </c>
      <c r="H6" s="16" t="inlineStr">
        <is>
          <t>Mei</t>
        </is>
      </c>
      <c r="I6" s="16" t="inlineStr">
        <is>
          <t>Jun</t>
        </is>
      </c>
      <c r="J6" s="16" t="inlineStr">
        <is>
          <t>Jul</t>
        </is>
      </c>
      <c r="K6" s="16" t="inlineStr">
        <is>
          <t>Agu</t>
        </is>
      </c>
      <c r="L6" s="16" t="inlineStr">
        <is>
          <t>Sep</t>
        </is>
      </c>
      <c r="M6" s="16" t="inlineStr">
        <is>
          <t>Okt</t>
        </is>
      </c>
      <c r="N6" s="16" t="inlineStr">
        <is>
          <t>Nov</t>
        </is>
      </c>
      <c r="O6" s="16" t="inlineStr">
        <is>
          <t>Des</t>
        </is>
      </c>
      <c r="P6" s="16" t="inlineStr">
        <is>
          <t>FY / YTD</t>
        </is>
      </c>
    </row>
    <row r="7">
      <c r="A7" s="4" t="inlineStr">
        <is>
          <t>PENDAPATAN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45" t="inlineStr">
        <is>
          <t>4101</t>
        </is>
      </c>
      <c r="B8" s="10" t="inlineStr">
        <is>
          <t xml:space="preserve">   Penjualan batubara – Ekspor</t>
        </is>
      </c>
      <c r="D8" s="28">
        <f>SUMIFS('C19 GEG GL Trial Balance'!$E$10:$E$400,'C19 GEG GL Trial Balance'!$A$10:$A$400,$A8,'C19 GEG GL Trial Balance'!$D$10:$D$400,"Posting")</f>
        <v/>
      </c>
      <c r="E8" s="28">
        <f>SUMIFS('C19 GEG GL Trial Balance'!$F$10:$F$400,'C19 GEG GL Trial Balance'!$A$10:$A$400,$A8,'C19 GEG GL Trial Balance'!$D$10:$D$400,"Posting")</f>
        <v/>
      </c>
      <c r="F8" s="28">
        <f>SUMIFS('C19 GEG GL Trial Balance'!$G$10:$G$400,'C19 GEG GL Trial Balance'!$A$10:$A$400,$A8,'C19 GEG GL Trial Balance'!$D$10:$D$400,"Posting")</f>
        <v/>
      </c>
      <c r="G8" s="28">
        <f>SUMIFS('C19 GEG GL Trial Balance'!$H$10:$H$400,'C19 GEG GL Trial Balance'!$A$10:$A$400,$A8,'C19 GEG GL Trial Balance'!$D$10:$D$400,"Posting")</f>
        <v/>
      </c>
      <c r="H8" s="28">
        <f>SUMIFS('C19 GEG GL Trial Balance'!$I$10:$I$400,'C19 GEG GL Trial Balance'!$A$10:$A$400,$A8,'C19 GEG GL Trial Balance'!$D$10:$D$400,"Posting")</f>
        <v/>
      </c>
      <c r="I8" s="28">
        <f>SUMIFS('C19 GEG GL Trial Balance'!$J$10:$J$400,'C19 GEG GL Trial Balance'!$A$10:$A$400,$A8,'C19 GEG GL Trial Balance'!$D$10:$D$400,"Posting")</f>
        <v/>
      </c>
      <c r="J8" s="28">
        <f>SUMIFS('C19 GEG GL Trial Balance'!$K$10:$K$400,'C19 GEG GL Trial Balance'!$A$10:$A$400,$A8,'C19 GEG GL Trial Balance'!$D$10:$D$400,"Posting")</f>
        <v/>
      </c>
      <c r="K8" s="28">
        <f>SUMIFS('C19 GEG GL Trial Balance'!$L$10:$L$400,'C19 GEG GL Trial Balance'!$A$10:$A$400,$A8,'C19 GEG GL Trial Balance'!$D$10:$D$400,"Posting")</f>
        <v/>
      </c>
      <c r="L8" s="28">
        <f>SUMIFS('C19 GEG GL Trial Balance'!$M$10:$M$400,'C19 GEG GL Trial Balance'!$A$10:$A$400,$A8,'C19 GEG GL Trial Balance'!$D$10:$D$400,"Posting")</f>
        <v/>
      </c>
      <c r="M8" s="28">
        <f>SUMIFS('C19 GEG GL Trial Balance'!$N$10:$N$400,'C19 GEG GL Trial Balance'!$A$10:$A$400,$A8,'C19 GEG GL Trial Balance'!$D$10:$D$400,"Posting")</f>
        <v/>
      </c>
      <c r="N8" s="28">
        <f>SUMIFS('C19 GEG GL Trial Balance'!$O$10:$O$400,'C19 GEG GL Trial Balance'!$A$10:$A$400,$A8,'C19 GEG GL Trial Balance'!$D$10:$D$400,"Posting")</f>
        <v/>
      </c>
      <c r="O8" s="28">
        <f>SUMIFS('C19 GEG GL Trial Balance'!$P$10:$P$400,'C19 GEG GL Trial Balance'!$A$10:$A$400,$A8,'C19 GEG GL Trial Balance'!$D$10:$D$400,"Posting")</f>
        <v/>
      </c>
      <c r="P8" s="71">
        <f>SUM(D8:O8)</f>
        <v/>
      </c>
    </row>
    <row r="9">
      <c r="A9" s="45" t="inlineStr">
        <is>
          <t>4102</t>
        </is>
      </c>
      <c r="B9" s="10" t="inlineStr">
        <is>
          <t xml:space="preserve">   Penjualan batubara – Domestik DMO</t>
        </is>
      </c>
      <c r="D9" s="28">
        <f>SUMIFS('C19 GEG GL Trial Balance'!$E$10:$E$400,'C19 GEG GL Trial Balance'!$A$10:$A$400,$A9,'C19 GEG GL Trial Balance'!$D$10:$D$400,"Posting")</f>
        <v/>
      </c>
      <c r="E9" s="28">
        <f>SUMIFS('C19 GEG GL Trial Balance'!$F$10:$F$400,'C19 GEG GL Trial Balance'!$A$10:$A$400,$A9,'C19 GEG GL Trial Balance'!$D$10:$D$400,"Posting")</f>
        <v/>
      </c>
      <c r="F9" s="28">
        <f>SUMIFS('C19 GEG GL Trial Balance'!$G$10:$G$400,'C19 GEG GL Trial Balance'!$A$10:$A$400,$A9,'C19 GEG GL Trial Balance'!$D$10:$D$400,"Posting")</f>
        <v/>
      </c>
      <c r="G9" s="28">
        <f>SUMIFS('C19 GEG GL Trial Balance'!$H$10:$H$400,'C19 GEG GL Trial Balance'!$A$10:$A$400,$A9,'C19 GEG GL Trial Balance'!$D$10:$D$400,"Posting")</f>
        <v/>
      </c>
      <c r="H9" s="28">
        <f>SUMIFS('C19 GEG GL Trial Balance'!$I$10:$I$400,'C19 GEG GL Trial Balance'!$A$10:$A$400,$A9,'C19 GEG GL Trial Balance'!$D$10:$D$400,"Posting")</f>
        <v/>
      </c>
      <c r="I9" s="28">
        <f>SUMIFS('C19 GEG GL Trial Balance'!$J$10:$J$400,'C19 GEG GL Trial Balance'!$A$10:$A$400,$A9,'C19 GEG GL Trial Balance'!$D$10:$D$400,"Posting")</f>
        <v/>
      </c>
      <c r="J9" s="28">
        <f>SUMIFS('C19 GEG GL Trial Balance'!$K$10:$K$400,'C19 GEG GL Trial Balance'!$A$10:$A$400,$A9,'C19 GEG GL Trial Balance'!$D$10:$D$400,"Posting")</f>
        <v/>
      </c>
      <c r="K9" s="28">
        <f>SUMIFS('C19 GEG GL Trial Balance'!$L$10:$L$400,'C19 GEG GL Trial Balance'!$A$10:$A$400,$A9,'C19 GEG GL Trial Balance'!$D$10:$D$400,"Posting")</f>
        <v/>
      </c>
      <c r="L9" s="28">
        <f>SUMIFS('C19 GEG GL Trial Balance'!$M$10:$M$400,'C19 GEG GL Trial Balance'!$A$10:$A$400,$A9,'C19 GEG GL Trial Balance'!$D$10:$D$400,"Posting")</f>
        <v/>
      </c>
      <c r="M9" s="28">
        <f>SUMIFS('C19 GEG GL Trial Balance'!$N$10:$N$400,'C19 GEG GL Trial Balance'!$A$10:$A$400,$A9,'C19 GEG GL Trial Balance'!$D$10:$D$400,"Posting")</f>
        <v/>
      </c>
      <c r="N9" s="28">
        <f>SUMIFS('C19 GEG GL Trial Balance'!$O$10:$O$400,'C19 GEG GL Trial Balance'!$A$10:$A$400,$A9,'C19 GEG GL Trial Balance'!$D$10:$D$400,"Posting")</f>
        <v/>
      </c>
      <c r="O9" s="28">
        <f>SUMIFS('C19 GEG GL Trial Balance'!$P$10:$P$400,'C19 GEG GL Trial Balance'!$A$10:$A$400,$A9,'C19 GEG GL Trial Balance'!$D$10:$D$400,"Posting")</f>
        <v/>
      </c>
      <c r="P9" s="71">
        <f>SUM(D9:O9)</f>
        <v/>
      </c>
    </row>
    <row r="10">
      <c r="A10" s="45" t="inlineStr">
        <is>
          <t>4103</t>
        </is>
      </c>
      <c r="B10" s="10" t="inlineStr">
        <is>
          <t xml:space="preserve">   Penjualan batubara – Domestik non-DMO</t>
        </is>
      </c>
      <c r="D10" s="28">
        <f>SUMIFS('C19 GEG GL Trial Balance'!$E$10:$E$400,'C19 GEG GL Trial Balance'!$A$10:$A$400,$A10,'C19 GEG GL Trial Balance'!$D$10:$D$400,"Posting")</f>
        <v/>
      </c>
      <c r="E10" s="28">
        <f>SUMIFS('C19 GEG GL Trial Balance'!$F$10:$F$400,'C19 GEG GL Trial Balance'!$A$10:$A$400,$A10,'C19 GEG GL Trial Balance'!$D$10:$D$400,"Posting")</f>
        <v/>
      </c>
      <c r="F10" s="28">
        <f>SUMIFS('C19 GEG GL Trial Balance'!$G$10:$G$400,'C19 GEG GL Trial Balance'!$A$10:$A$400,$A10,'C19 GEG GL Trial Balance'!$D$10:$D$400,"Posting")</f>
        <v/>
      </c>
      <c r="G10" s="28">
        <f>SUMIFS('C19 GEG GL Trial Balance'!$H$10:$H$400,'C19 GEG GL Trial Balance'!$A$10:$A$400,$A10,'C19 GEG GL Trial Balance'!$D$10:$D$400,"Posting")</f>
        <v/>
      </c>
      <c r="H10" s="28">
        <f>SUMIFS('C19 GEG GL Trial Balance'!$I$10:$I$400,'C19 GEG GL Trial Balance'!$A$10:$A$400,$A10,'C19 GEG GL Trial Balance'!$D$10:$D$400,"Posting")</f>
        <v/>
      </c>
      <c r="I10" s="28">
        <f>SUMIFS('C19 GEG GL Trial Balance'!$J$10:$J$400,'C19 GEG GL Trial Balance'!$A$10:$A$400,$A10,'C19 GEG GL Trial Balance'!$D$10:$D$400,"Posting")</f>
        <v/>
      </c>
      <c r="J10" s="28">
        <f>SUMIFS('C19 GEG GL Trial Balance'!$K$10:$K$400,'C19 GEG GL Trial Balance'!$A$10:$A$400,$A10,'C19 GEG GL Trial Balance'!$D$10:$D$400,"Posting")</f>
        <v/>
      </c>
      <c r="K10" s="28">
        <f>SUMIFS('C19 GEG GL Trial Balance'!$L$10:$L$400,'C19 GEG GL Trial Balance'!$A$10:$A$400,$A10,'C19 GEG GL Trial Balance'!$D$10:$D$400,"Posting")</f>
        <v/>
      </c>
      <c r="L10" s="28">
        <f>SUMIFS('C19 GEG GL Trial Balance'!$M$10:$M$400,'C19 GEG GL Trial Balance'!$A$10:$A$400,$A10,'C19 GEG GL Trial Balance'!$D$10:$D$400,"Posting")</f>
        <v/>
      </c>
      <c r="M10" s="28">
        <f>SUMIFS('C19 GEG GL Trial Balance'!$N$10:$N$400,'C19 GEG GL Trial Balance'!$A$10:$A$400,$A10,'C19 GEG GL Trial Balance'!$D$10:$D$400,"Posting")</f>
        <v/>
      </c>
      <c r="N10" s="28">
        <f>SUMIFS('C19 GEG GL Trial Balance'!$O$10:$O$400,'C19 GEG GL Trial Balance'!$A$10:$A$400,$A10,'C19 GEG GL Trial Balance'!$D$10:$D$400,"Posting")</f>
        <v/>
      </c>
      <c r="O10" s="28">
        <f>SUMIFS('C19 GEG GL Trial Balance'!$P$10:$P$400,'C19 GEG GL Trial Balance'!$A$10:$A$400,$A10,'C19 GEG GL Trial Balance'!$D$10:$D$400,"Posting")</f>
        <v/>
      </c>
      <c r="P10" s="71">
        <f>SUM(D10:O10)</f>
        <v/>
      </c>
    </row>
    <row r="11">
      <c r="A11" s="45" t="inlineStr"/>
      <c r="B11" s="20" t="inlineStr">
        <is>
          <t xml:space="preserve">   Subtotal penjualan batubara</t>
        </is>
      </c>
      <c r="C11" s="23" t="n"/>
      <c r="D11" s="22">
        <f>D8+D9+D10</f>
        <v/>
      </c>
      <c r="E11" s="22">
        <f>E8+E9+E10</f>
        <v/>
      </c>
      <c r="F11" s="22">
        <f>F8+F9+F10</f>
        <v/>
      </c>
      <c r="G11" s="22">
        <f>G8+G9+G10</f>
        <v/>
      </c>
      <c r="H11" s="22">
        <f>H8+H9+H10</f>
        <v/>
      </c>
      <c r="I11" s="22">
        <f>I8+I9+I10</f>
        <v/>
      </c>
      <c r="J11" s="22">
        <f>J8+J9+J10</f>
        <v/>
      </c>
      <c r="K11" s="22">
        <f>K8+K9+K10</f>
        <v/>
      </c>
      <c r="L11" s="22">
        <f>L8+L9+L10</f>
        <v/>
      </c>
      <c r="M11" s="22">
        <f>M8+M9+M10</f>
        <v/>
      </c>
      <c r="N11" s="22">
        <f>N8+N9+N10</f>
        <v/>
      </c>
      <c r="O11" s="22">
        <f>O8+O9+O10</f>
        <v/>
      </c>
      <c r="P11" s="22">
        <f>P8+P9+P10</f>
        <v/>
      </c>
    </row>
    <row r="12">
      <c r="A12" s="45" t="inlineStr">
        <is>
          <t>4104</t>
        </is>
      </c>
      <c r="B12" s="10" t="inlineStr">
        <is>
          <t xml:space="preserve">   Penyesuaian harga / penalti kualitas (isi negatif)</t>
        </is>
      </c>
      <c r="D12" s="28">
        <f>SUMIFS('C19 GEG GL Trial Balance'!$E$10:$E$400,'C19 GEG GL Trial Balance'!$A$10:$A$400,$A12,'C19 GEG GL Trial Balance'!$D$10:$D$400,"Posting")</f>
        <v/>
      </c>
      <c r="E12" s="28">
        <f>SUMIFS('C19 GEG GL Trial Balance'!$F$10:$F$400,'C19 GEG GL Trial Balance'!$A$10:$A$400,$A12,'C19 GEG GL Trial Balance'!$D$10:$D$400,"Posting")</f>
        <v/>
      </c>
      <c r="F12" s="28">
        <f>SUMIFS('C19 GEG GL Trial Balance'!$G$10:$G$400,'C19 GEG GL Trial Balance'!$A$10:$A$400,$A12,'C19 GEG GL Trial Balance'!$D$10:$D$400,"Posting")</f>
        <v/>
      </c>
      <c r="G12" s="28">
        <f>SUMIFS('C19 GEG GL Trial Balance'!$H$10:$H$400,'C19 GEG GL Trial Balance'!$A$10:$A$400,$A12,'C19 GEG GL Trial Balance'!$D$10:$D$400,"Posting")</f>
        <v/>
      </c>
      <c r="H12" s="28">
        <f>SUMIFS('C19 GEG GL Trial Balance'!$I$10:$I$400,'C19 GEG GL Trial Balance'!$A$10:$A$400,$A12,'C19 GEG GL Trial Balance'!$D$10:$D$400,"Posting")</f>
        <v/>
      </c>
      <c r="I12" s="28">
        <f>SUMIFS('C19 GEG GL Trial Balance'!$J$10:$J$400,'C19 GEG GL Trial Balance'!$A$10:$A$400,$A12,'C19 GEG GL Trial Balance'!$D$10:$D$400,"Posting")</f>
        <v/>
      </c>
      <c r="J12" s="28">
        <f>SUMIFS('C19 GEG GL Trial Balance'!$K$10:$K$400,'C19 GEG GL Trial Balance'!$A$10:$A$400,$A12,'C19 GEG GL Trial Balance'!$D$10:$D$400,"Posting")</f>
        <v/>
      </c>
      <c r="K12" s="28">
        <f>SUMIFS('C19 GEG GL Trial Balance'!$L$10:$L$400,'C19 GEG GL Trial Balance'!$A$10:$A$400,$A12,'C19 GEG GL Trial Balance'!$D$10:$D$400,"Posting")</f>
        <v/>
      </c>
      <c r="L12" s="28">
        <f>SUMIFS('C19 GEG GL Trial Balance'!$M$10:$M$400,'C19 GEG GL Trial Balance'!$A$10:$A$400,$A12,'C19 GEG GL Trial Balance'!$D$10:$D$400,"Posting")</f>
        <v/>
      </c>
      <c r="M12" s="28">
        <f>SUMIFS('C19 GEG GL Trial Balance'!$N$10:$N$400,'C19 GEG GL Trial Balance'!$A$10:$A$400,$A12,'C19 GEG GL Trial Balance'!$D$10:$D$400,"Posting")</f>
        <v/>
      </c>
      <c r="N12" s="28">
        <f>SUMIFS('C19 GEG GL Trial Balance'!$O$10:$O$400,'C19 GEG GL Trial Balance'!$A$10:$A$400,$A12,'C19 GEG GL Trial Balance'!$D$10:$D$400,"Posting")</f>
        <v/>
      </c>
      <c r="O12" s="28">
        <f>SUMIFS('C19 GEG GL Trial Balance'!$P$10:$P$400,'C19 GEG GL Trial Balance'!$A$10:$A$400,$A12,'C19 GEG GL Trial Balance'!$D$10:$D$400,"Posting")</f>
        <v/>
      </c>
      <c r="P12" s="71">
        <f>SUM(D12:O12)</f>
        <v/>
      </c>
    </row>
    <row r="13">
      <c r="A13" s="45" t="inlineStr">
        <is>
          <t>4201</t>
        </is>
      </c>
      <c r="B13" s="10" t="inlineStr">
        <is>
          <t xml:space="preserve">   Pendapatan jasa &amp; usaha lainnya</t>
        </is>
      </c>
      <c r="D13" s="28">
        <f>SUMIFS('C19 GEG GL Trial Balance'!$E$10:$E$400,'C19 GEG GL Trial Balance'!$A$10:$A$400,$A13,'C19 GEG GL Trial Balance'!$D$10:$D$400,"Posting")</f>
        <v/>
      </c>
      <c r="E13" s="28">
        <f>SUMIFS('C19 GEG GL Trial Balance'!$F$10:$F$400,'C19 GEG GL Trial Balance'!$A$10:$A$400,$A13,'C19 GEG GL Trial Balance'!$D$10:$D$400,"Posting")</f>
        <v/>
      </c>
      <c r="F13" s="28">
        <f>SUMIFS('C19 GEG GL Trial Balance'!$G$10:$G$400,'C19 GEG GL Trial Balance'!$A$10:$A$400,$A13,'C19 GEG GL Trial Balance'!$D$10:$D$400,"Posting")</f>
        <v/>
      </c>
      <c r="G13" s="28">
        <f>SUMIFS('C19 GEG GL Trial Balance'!$H$10:$H$400,'C19 GEG GL Trial Balance'!$A$10:$A$400,$A13,'C19 GEG GL Trial Balance'!$D$10:$D$400,"Posting")</f>
        <v/>
      </c>
      <c r="H13" s="28">
        <f>SUMIFS('C19 GEG GL Trial Balance'!$I$10:$I$400,'C19 GEG GL Trial Balance'!$A$10:$A$400,$A13,'C19 GEG GL Trial Balance'!$D$10:$D$400,"Posting")</f>
        <v/>
      </c>
      <c r="I13" s="28">
        <f>SUMIFS('C19 GEG GL Trial Balance'!$J$10:$J$400,'C19 GEG GL Trial Balance'!$A$10:$A$400,$A13,'C19 GEG GL Trial Balance'!$D$10:$D$400,"Posting")</f>
        <v/>
      </c>
      <c r="J13" s="28">
        <f>SUMIFS('C19 GEG GL Trial Balance'!$K$10:$K$400,'C19 GEG GL Trial Balance'!$A$10:$A$400,$A13,'C19 GEG GL Trial Balance'!$D$10:$D$400,"Posting")</f>
        <v/>
      </c>
      <c r="K13" s="28">
        <f>SUMIFS('C19 GEG GL Trial Balance'!$L$10:$L$400,'C19 GEG GL Trial Balance'!$A$10:$A$400,$A13,'C19 GEG GL Trial Balance'!$D$10:$D$400,"Posting")</f>
        <v/>
      </c>
      <c r="L13" s="28">
        <f>SUMIFS('C19 GEG GL Trial Balance'!$M$10:$M$400,'C19 GEG GL Trial Balance'!$A$10:$A$400,$A13,'C19 GEG GL Trial Balance'!$D$10:$D$400,"Posting")</f>
        <v/>
      </c>
      <c r="M13" s="28">
        <f>SUMIFS('C19 GEG GL Trial Balance'!$N$10:$N$400,'C19 GEG GL Trial Balance'!$A$10:$A$400,$A13,'C19 GEG GL Trial Balance'!$D$10:$D$400,"Posting")</f>
        <v/>
      </c>
      <c r="N13" s="28">
        <f>SUMIFS('C19 GEG GL Trial Balance'!$O$10:$O$400,'C19 GEG GL Trial Balance'!$A$10:$A$400,$A13,'C19 GEG GL Trial Balance'!$D$10:$D$400,"Posting")</f>
        <v/>
      </c>
      <c r="O13" s="28">
        <f>SUMIFS('C19 GEG GL Trial Balance'!$P$10:$P$400,'C19 GEG GL Trial Balance'!$A$10:$A$400,$A13,'C19 GEG GL Trial Balance'!$D$10:$D$400,"Posting")</f>
        <v/>
      </c>
      <c r="P13" s="71">
        <f>SUM(D13:O13)</f>
        <v/>
      </c>
    </row>
    <row r="14">
      <c r="A14" s="82" t="inlineStr"/>
      <c r="B14" s="31" t="inlineStr">
        <is>
          <t>PENDAPATAN BERSIH</t>
        </is>
      </c>
      <c r="C14" s="32" t="n"/>
      <c r="D14" s="33">
        <f>D11+D12+D13</f>
        <v/>
      </c>
      <c r="E14" s="33">
        <f>E11+E12+E13</f>
        <v/>
      </c>
      <c r="F14" s="33">
        <f>F11+F12+F13</f>
        <v/>
      </c>
      <c r="G14" s="33">
        <f>G11+G12+G13</f>
        <v/>
      </c>
      <c r="H14" s="33">
        <f>H11+H12+H13</f>
        <v/>
      </c>
      <c r="I14" s="33">
        <f>I11+I12+I13</f>
        <v/>
      </c>
      <c r="J14" s="33">
        <f>J11+J12+J13</f>
        <v/>
      </c>
      <c r="K14" s="33">
        <f>K11+K12+K13</f>
        <v/>
      </c>
      <c r="L14" s="33">
        <f>L11+L12+L13</f>
        <v/>
      </c>
      <c r="M14" s="33">
        <f>M11+M12+M13</f>
        <v/>
      </c>
      <c r="N14" s="33">
        <f>N11+N12+N13</f>
        <v/>
      </c>
      <c r="O14" s="33">
        <f>O11+O12+O13</f>
        <v/>
      </c>
      <c r="P14" s="33">
        <f>P11+P12+P13</f>
        <v/>
      </c>
    </row>
    <row r="15">
      <c r="A15" s="4" t="inlineStr">
        <is>
          <t>BEBAN POKOK PENDAPATAN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B16" s="35" t="inlineStr">
        <is>
          <t>A. Biaya penambangan</t>
        </is>
      </c>
    </row>
    <row r="17">
      <c r="A17" s="45" t="inlineStr">
        <is>
          <t>5101</t>
        </is>
      </c>
      <c r="B17" s="10" t="inlineStr">
        <is>
          <t xml:space="preserve">   Jasa kontraktor OB removal</t>
        </is>
      </c>
      <c r="D17" s="28">
        <f>SUMIFS('C19 GEG GL Trial Balance'!$E$10:$E$400,'C19 GEG GL Trial Balance'!$A$10:$A$400,$A17,'C19 GEG GL Trial Balance'!$D$10:$D$400,"Posting")</f>
        <v/>
      </c>
      <c r="E17" s="28">
        <f>SUMIFS('C19 GEG GL Trial Balance'!$F$10:$F$400,'C19 GEG GL Trial Balance'!$A$10:$A$400,$A17,'C19 GEG GL Trial Balance'!$D$10:$D$400,"Posting")</f>
        <v/>
      </c>
      <c r="F17" s="28">
        <f>SUMIFS('C19 GEG GL Trial Balance'!$G$10:$G$400,'C19 GEG GL Trial Balance'!$A$10:$A$400,$A17,'C19 GEG GL Trial Balance'!$D$10:$D$400,"Posting")</f>
        <v/>
      </c>
      <c r="G17" s="28">
        <f>SUMIFS('C19 GEG GL Trial Balance'!$H$10:$H$400,'C19 GEG GL Trial Balance'!$A$10:$A$400,$A17,'C19 GEG GL Trial Balance'!$D$10:$D$400,"Posting")</f>
        <v/>
      </c>
      <c r="H17" s="28">
        <f>SUMIFS('C19 GEG GL Trial Balance'!$I$10:$I$400,'C19 GEG GL Trial Balance'!$A$10:$A$400,$A17,'C19 GEG GL Trial Balance'!$D$10:$D$400,"Posting")</f>
        <v/>
      </c>
      <c r="I17" s="28">
        <f>SUMIFS('C19 GEG GL Trial Balance'!$J$10:$J$400,'C19 GEG GL Trial Balance'!$A$10:$A$400,$A17,'C19 GEG GL Trial Balance'!$D$10:$D$400,"Posting")</f>
        <v/>
      </c>
      <c r="J17" s="28">
        <f>SUMIFS('C19 GEG GL Trial Balance'!$K$10:$K$400,'C19 GEG GL Trial Balance'!$A$10:$A$400,$A17,'C19 GEG GL Trial Balance'!$D$10:$D$400,"Posting")</f>
        <v/>
      </c>
      <c r="K17" s="28">
        <f>SUMIFS('C19 GEG GL Trial Balance'!$L$10:$L$400,'C19 GEG GL Trial Balance'!$A$10:$A$400,$A17,'C19 GEG GL Trial Balance'!$D$10:$D$400,"Posting")</f>
        <v/>
      </c>
      <c r="L17" s="28">
        <f>SUMIFS('C19 GEG GL Trial Balance'!$M$10:$M$400,'C19 GEG GL Trial Balance'!$A$10:$A$400,$A17,'C19 GEG GL Trial Balance'!$D$10:$D$400,"Posting")</f>
        <v/>
      </c>
      <c r="M17" s="28">
        <f>SUMIFS('C19 GEG GL Trial Balance'!$N$10:$N$400,'C19 GEG GL Trial Balance'!$A$10:$A$400,$A17,'C19 GEG GL Trial Balance'!$D$10:$D$400,"Posting")</f>
        <v/>
      </c>
      <c r="N17" s="28">
        <f>SUMIFS('C19 GEG GL Trial Balance'!$O$10:$O$400,'C19 GEG GL Trial Balance'!$A$10:$A$400,$A17,'C19 GEG GL Trial Balance'!$D$10:$D$400,"Posting")</f>
        <v/>
      </c>
      <c r="O17" s="28">
        <f>SUMIFS('C19 GEG GL Trial Balance'!$P$10:$P$400,'C19 GEG GL Trial Balance'!$A$10:$A$400,$A17,'C19 GEG GL Trial Balance'!$D$10:$D$400,"Posting")</f>
        <v/>
      </c>
      <c r="P17" s="71">
        <f>SUM(D17:O17)</f>
        <v/>
      </c>
    </row>
    <row r="18">
      <c r="A18" s="45" t="inlineStr">
        <is>
          <t>5102</t>
        </is>
      </c>
      <c r="B18" s="10" t="inlineStr">
        <is>
          <t xml:space="preserve">   Bahan bakar (BBM)</t>
        </is>
      </c>
      <c r="D18" s="28">
        <f>SUMIFS('C19 GEG GL Trial Balance'!$E$10:$E$400,'C19 GEG GL Trial Balance'!$A$10:$A$400,$A18,'C19 GEG GL Trial Balance'!$D$10:$D$400,"Posting")</f>
        <v/>
      </c>
      <c r="E18" s="28">
        <f>SUMIFS('C19 GEG GL Trial Balance'!$F$10:$F$400,'C19 GEG GL Trial Balance'!$A$10:$A$400,$A18,'C19 GEG GL Trial Balance'!$D$10:$D$400,"Posting")</f>
        <v/>
      </c>
      <c r="F18" s="28">
        <f>SUMIFS('C19 GEG GL Trial Balance'!$G$10:$G$400,'C19 GEG GL Trial Balance'!$A$10:$A$400,$A18,'C19 GEG GL Trial Balance'!$D$10:$D$400,"Posting")</f>
        <v/>
      </c>
      <c r="G18" s="28">
        <f>SUMIFS('C19 GEG GL Trial Balance'!$H$10:$H$400,'C19 GEG GL Trial Balance'!$A$10:$A$400,$A18,'C19 GEG GL Trial Balance'!$D$10:$D$400,"Posting")</f>
        <v/>
      </c>
      <c r="H18" s="28">
        <f>SUMIFS('C19 GEG GL Trial Balance'!$I$10:$I$400,'C19 GEG GL Trial Balance'!$A$10:$A$400,$A18,'C19 GEG GL Trial Balance'!$D$10:$D$400,"Posting")</f>
        <v/>
      </c>
      <c r="I18" s="28">
        <f>SUMIFS('C19 GEG GL Trial Balance'!$J$10:$J$400,'C19 GEG GL Trial Balance'!$A$10:$A$400,$A18,'C19 GEG GL Trial Balance'!$D$10:$D$400,"Posting")</f>
        <v/>
      </c>
      <c r="J18" s="28">
        <f>SUMIFS('C19 GEG GL Trial Balance'!$K$10:$K$400,'C19 GEG GL Trial Balance'!$A$10:$A$400,$A18,'C19 GEG GL Trial Balance'!$D$10:$D$400,"Posting")</f>
        <v/>
      </c>
      <c r="K18" s="28">
        <f>SUMIFS('C19 GEG GL Trial Balance'!$L$10:$L$400,'C19 GEG GL Trial Balance'!$A$10:$A$400,$A18,'C19 GEG GL Trial Balance'!$D$10:$D$400,"Posting")</f>
        <v/>
      </c>
      <c r="L18" s="28">
        <f>SUMIFS('C19 GEG GL Trial Balance'!$M$10:$M$400,'C19 GEG GL Trial Balance'!$A$10:$A$400,$A18,'C19 GEG GL Trial Balance'!$D$10:$D$400,"Posting")</f>
        <v/>
      </c>
      <c r="M18" s="28">
        <f>SUMIFS('C19 GEG GL Trial Balance'!$N$10:$N$400,'C19 GEG GL Trial Balance'!$A$10:$A$400,$A18,'C19 GEG GL Trial Balance'!$D$10:$D$400,"Posting")</f>
        <v/>
      </c>
      <c r="N18" s="28">
        <f>SUMIFS('C19 GEG GL Trial Balance'!$O$10:$O$400,'C19 GEG GL Trial Balance'!$A$10:$A$400,$A18,'C19 GEG GL Trial Balance'!$D$10:$D$400,"Posting")</f>
        <v/>
      </c>
      <c r="O18" s="28">
        <f>SUMIFS('C19 GEG GL Trial Balance'!$P$10:$P$400,'C19 GEG GL Trial Balance'!$A$10:$A$400,$A18,'C19 GEG GL Trial Balance'!$D$10:$D$400,"Posting")</f>
        <v/>
      </c>
      <c r="P18" s="71">
        <f>SUM(D18:O18)</f>
        <v/>
      </c>
    </row>
    <row r="19">
      <c r="A19" s="45" t="inlineStr">
        <is>
          <t>5103</t>
        </is>
      </c>
      <c r="B19" s="10" t="inlineStr">
        <is>
          <t xml:space="preserve">   Peledakan (drill &amp; blast)</t>
        </is>
      </c>
      <c r="D19" s="28">
        <f>SUMIFS('C19 GEG GL Trial Balance'!$E$10:$E$400,'C19 GEG GL Trial Balance'!$A$10:$A$400,$A19,'C19 GEG GL Trial Balance'!$D$10:$D$400,"Posting")</f>
        <v/>
      </c>
      <c r="E19" s="28">
        <f>SUMIFS('C19 GEG GL Trial Balance'!$F$10:$F$400,'C19 GEG GL Trial Balance'!$A$10:$A$400,$A19,'C19 GEG GL Trial Balance'!$D$10:$D$400,"Posting")</f>
        <v/>
      </c>
      <c r="F19" s="28">
        <f>SUMIFS('C19 GEG GL Trial Balance'!$G$10:$G$400,'C19 GEG GL Trial Balance'!$A$10:$A$400,$A19,'C19 GEG GL Trial Balance'!$D$10:$D$400,"Posting")</f>
        <v/>
      </c>
      <c r="G19" s="28">
        <f>SUMIFS('C19 GEG GL Trial Balance'!$H$10:$H$400,'C19 GEG GL Trial Balance'!$A$10:$A$400,$A19,'C19 GEG GL Trial Balance'!$D$10:$D$400,"Posting")</f>
        <v/>
      </c>
      <c r="H19" s="28">
        <f>SUMIFS('C19 GEG GL Trial Balance'!$I$10:$I$400,'C19 GEG GL Trial Balance'!$A$10:$A$400,$A19,'C19 GEG GL Trial Balance'!$D$10:$D$400,"Posting")</f>
        <v/>
      </c>
      <c r="I19" s="28">
        <f>SUMIFS('C19 GEG GL Trial Balance'!$J$10:$J$400,'C19 GEG GL Trial Balance'!$A$10:$A$400,$A19,'C19 GEG GL Trial Balance'!$D$10:$D$400,"Posting")</f>
        <v/>
      </c>
      <c r="J19" s="28">
        <f>SUMIFS('C19 GEG GL Trial Balance'!$K$10:$K$400,'C19 GEG GL Trial Balance'!$A$10:$A$400,$A19,'C19 GEG GL Trial Balance'!$D$10:$D$400,"Posting")</f>
        <v/>
      </c>
      <c r="K19" s="28">
        <f>SUMIFS('C19 GEG GL Trial Balance'!$L$10:$L$400,'C19 GEG GL Trial Balance'!$A$10:$A$400,$A19,'C19 GEG GL Trial Balance'!$D$10:$D$400,"Posting")</f>
        <v/>
      </c>
      <c r="L19" s="28">
        <f>SUMIFS('C19 GEG GL Trial Balance'!$M$10:$M$400,'C19 GEG GL Trial Balance'!$A$10:$A$400,$A19,'C19 GEG GL Trial Balance'!$D$10:$D$400,"Posting")</f>
        <v/>
      </c>
      <c r="M19" s="28">
        <f>SUMIFS('C19 GEG GL Trial Balance'!$N$10:$N$400,'C19 GEG GL Trial Balance'!$A$10:$A$400,$A19,'C19 GEG GL Trial Balance'!$D$10:$D$400,"Posting")</f>
        <v/>
      </c>
      <c r="N19" s="28">
        <f>SUMIFS('C19 GEG GL Trial Balance'!$O$10:$O$400,'C19 GEG GL Trial Balance'!$A$10:$A$400,$A19,'C19 GEG GL Trial Balance'!$D$10:$D$400,"Posting")</f>
        <v/>
      </c>
      <c r="O19" s="28">
        <f>SUMIFS('C19 GEG GL Trial Balance'!$P$10:$P$400,'C19 GEG GL Trial Balance'!$A$10:$A$400,$A19,'C19 GEG GL Trial Balance'!$D$10:$D$400,"Posting")</f>
        <v/>
      </c>
      <c r="P19" s="71">
        <f>SUM(D19:O19)</f>
        <v/>
      </c>
    </row>
    <row r="20">
      <c r="A20" s="45" t="inlineStr">
        <is>
          <t>5104</t>
        </is>
      </c>
      <c r="B20" s="10" t="inlineStr">
        <is>
          <t xml:space="preserve">   Penggalian batubara (coal getting)</t>
        </is>
      </c>
      <c r="D20" s="28">
        <f>SUMIFS('C19 GEG GL Trial Balance'!$E$10:$E$400,'C19 GEG GL Trial Balance'!$A$10:$A$400,$A20,'C19 GEG GL Trial Balance'!$D$10:$D$400,"Posting")</f>
        <v/>
      </c>
      <c r="E20" s="28">
        <f>SUMIFS('C19 GEG GL Trial Balance'!$F$10:$F$400,'C19 GEG GL Trial Balance'!$A$10:$A$400,$A20,'C19 GEG GL Trial Balance'!$D$10:$D$400,"Posting")</f>
        <v/>
      </c>
      <c r="F20" s="28">
        <f>SUMIFS('C19 GEG GL Trial Balance'!$G$10:$G$400,'C19 GEG GL Trial Balance'!$A$10:$A$400,$A20,'C19 GEG GL Trial Balance'!$D$10:$D$400,"Posting")</f>
        <v/>
      </c>
      <c r="G20" s="28">
        <f>SUMIFS('C19 GEG GL Trial Balance'!$H$10:$H$400,'C19 GEG GL Trial Balance'!$A$10:$A$400,$A20,'C19 GEG GL Trial Balance'!$D$10:$D$400,"Posting")</f>
        <v/>
      </c>
      <c r="H20" s="28">
        <f>SUMIFS('C19 GEG GL Trial Balance'!$I$10:$I$400,'C19 GEG GL Trial Balance'!$A$10:$A$400,$A20,'C19 GEG GL Trial Balance'!$D$10:$D$400,"Posting")</f>
        <v/>
      </c>
      <c r="I20" s="28">
        <f>SUMIFS('C19 GEG GL Trial Balance'!$J$10:$J$400,'C19 GEG GL Trial Balance'!$A$10:$A$400,$A20,'C19 GEG GL Trial Balance'!$D$10:$D$400,"Posting")</f>
        <v/>
      </c>
      <c r="J20" s="28">
        <f>SUMIFS('C19 GEG GL Trial Balance'!$K$10:$K$400,'C19 GEG GL Trial Balance'!$A$10:$A$400,$A20,'C19 GEG GL Trial Balance'!$D$10:$D$400,"Posting")</f>
        <v/>
      </c>
      <c r="K20" s="28">
        <f>SUMIFS('C19 GEG GL Trial Balance'!$L$10:$L$400,'C19 GEG GL Trial Balance'!$A$10:$A$400,$A20,'C19 GEG GL Trial Balance'!$D$10:$D$400,"Posting")</f>
        <v/>
      </c>
      <c r="L20" s="28">
        <f>SUMIFS('C19 GEG GL Trial Balance'!$M$10:$M$400,'C19 GEG GL Trial Balance'!$A$10:$A$400,$A20,'C19 GEG GL Trial Balance'!$D$10:$D$400,"Posting")</f>
        <v/>
      </c>
      <c r="M20" s="28">
        <f>SUMIFS('C19 GEG GL Trial Balance'!$N$10:$N$400,'C19 GEG GL Trial Balance'!$A$10:$A$400,$A20,'C19 GEG GL Trial Balance'!$D$10:$D$400,"Posting")</f>
        <v/>
      </c>
      <c r="N20" s="28">
        <f>SUMIFS('C19 GEG GL Trial Balance'!$O$10:$O$400,'C19 GEG GL Trial Balance'!$A$10:$A$400,$A20,'C19 GEG GL Trial Balance'!$D$10:$D$400,"Posting")</f>
        <v/>
      </c>
      <c r="O20" s="28">
        <f>SUMIFS('C19 GEG GL Trial Balance'!$P$10:$P$400,'C19 GEG GL Trial Balance'!$A$10:$A$400,$A20,'C19 GEG GL Trial Balance'!$D$10:$D$400,"Posting")</f>
        <v/>
      </c>
      <c r="P20" s="71">
        <f>SUM(D20:O20)</f>
        <v/>
      </c>
    </row>
    <row r="21">
      <c r="A21" s="45" t="inlineStr">
        <is>
          <t>5105</t>
        </is>
      </c>
      <c r="B21" s="10" t="inlineStr">
        <is>
          <t xml:space="preserve">   Sewa alat berat &amp; sarana penunjang</t>
        </is>
      </c>
      <c r="D21" s="28">
        <f>SUMIFS('C19 GEG GL Trial Balance'!$E$10:$E$400,'C19 GEG GL Trial Balance'!$A$10:$A$400,$A21,'C19 GEG GL Trial Balance'!$D$10:$D$400,"Posting")</f>
        <v/>
      </c>
      <c r="E21" s="28">
        <f>SUMIFS('C19 GEG GL Trial Balance'!$F$10:$F$400,'C19 GEG GL Trial Balance'!$A$10:$A$400,$A21,'C19 GEG GL Trial Balance'!$D$10:$D$400,"Posting")</f>
        <v/>
      </c>
      <c r="F21" s="28">
        <f>SUMIFS('C19 GEG GL Trial Balance'!$G$10:$G$400,'C19 GEG GL Trial Balance'!$A$10:$A$400,$A21,'C19 GEG GL Trial Balance'!$D$10:$D$400,"Posting")</f>
        <v/>
      </c>
      <c r="G21" s="28">
        <f>SUMIFS('C19 GEG GL Trial Balance'!$H$10:$H$400,'C19 GEG GL Trial Balance'!$A$10:$A$400,$A21,'C19 GEG GL Trial Balance'!$D$10:$D$400,"Posting")</f>
        <v/>
      </c>
      <c r="H21" s="28">
        <f>SUMIFS('C19 GEG GL Trial Balance'!$I$10:$I$400,'C19 GEG GL Trial Balance'!$A$10:$A$400,$A21,'C19 GEG GL Trial Balance'!$D$10:$D$400,"Posting")</f>
        <v/>
      </c>
      <c r="I21" s="28">
        <f>SUMIFS('C19 GEG GL Trial Balance'!$J$10:$J$400,'C19 GEG GL Trial Balance'!$A$10:$A$400,$A21,'C19 GEG GL Trial Balance'!$D$10:$D$400,"Posting")</f>
        <v/>
      </c>
      <c r="J21" s="28">
        <f>SUMIFS('C19 GEG GL Trial Balance'!$K$10:$K$400,'C19 GEG GL Trial Balance'!$A$10:$A$400,$A21,'C19 GEG GL Trial Balance'!$D$10:$D$400,"Posting")</f>
        <v/>
      </c>
      <c r="K21" s="28">
        <f>SUMIFS('C19 GEG GL Trial Balance'!$L$10:$L$400,'C19 GEG GL Trial Balance'!$A$10:$A$400,$A21,'C19 GEG GL Trial Balance'!$D$10:$D$400,"Posting")</f>
        <v/>
      </c>
      <c r="L21" s="28">
        <f>SUMIFS('C19 GEG GL Trial Balance'!$M$10:$M$400,'C19 GEG GL Trial Balance'!$A$10:$A$400,$A21,'C19 GEG GL Trial Balance'!$D$10:$D$400,"Posting")</f>
        <v/>
      </c>
      <c r="M21" s="28">
        <f>SUMIFS('C19 GEG GL Trial Balance'!$N$10:$N$400,'C19 GEG GL Trial Balance'!$A$10:$A$400,$A21,'C19 GEG GL Trial Balance'!$D$10:$D$400,"Posting")</f>
        <v/>
      </c>
      <c r="N21" s="28">
        <f>SUMIFS('C19 GEG GL Trial Balance'!$O$10:$O$400,'C19 GEG GL Trial Balance'!$A$10:$A$400,$A21,'C19 GEG GL Trial Balance'!$D$10:$D$400,"Posting")</f>
        <v/>
      </c>
      <c r="O21" s="28">
        <f>SUMIFS('C19 GEG GL Trial Balance'!$P$10:$P$400,'C19 GEG GL Trial Balance'!$A$10:$A$400,$A21,'C19 GEG GL Trial Balance'!$D$10:$D$400,"Posting")</f>
        <v/>
      </c>
      <c r="P21" s="71">
        <f>SUM(D21:O21)</f>
        <v/>
      </c>
    </row>
    <row r="22">
      <c r="A22" s="45" t="inlineStr">
        <is>
          <t>5106</t>
        </is>
      </c>
      <c r="B22" s="10" t="inlineStr">
        <is>
          <t xml:space="preserve">   Pemeliharaan jalan tambang &amp; infrastruktur</t>
        </is>
      </c>
      <c r="D22" s="28">
        <f>SUMIFS('C19 GEG GL Trial Balance'!$E$10:$E$400,'C19 GEG GL Trial Balance'!$A$10:$A$400,$A22,'C19 GEG GL Trial Balance'!$D$10:$D$400,"Posting")</f>
        <v/>
      </c>
      <c r="E22" s="28">
        <f>SUMIFS('C19 GEG GL Trial Balance'!$F$10:$F$400,'C19 GEG GL Trial Balance'!$A$10:$A$400,$A22,'C19 GEG GL Trial Balance'!$D$10:$D$400,"Posting")</f>
        <v/>
      </c>
      <c r="F22" s="28">
        <f>SUMIFS('C19 GEG GL Trial Balance'!$G$10:$G$400,'C19 GEG GL Trial Balance'!$A$10:$A$400,$A22,'C19 GEG GL Trial Balance'!$D$10:$D$400,"Posting")</f>
        <v/>
      </c>
      <c r="G22" s="28">
        <f>SUMIFS('C19 GEG GL Trial Balance'!$H$10:$H$400,'C19 GEG GL Trial Balance'!$A$10:$A$400,$A22,'C19 GEG GL Trial Balance'!$D$10:$D$400,"Posting")</f>
        <v/>
      </c>
      <c r="H22" s="28">
        <f>SUMIFS('C19 GEG GL Trial Balance'!$I$10:$I$400,'C19 GEG GL Trial Balance'!$A$10:$A$400,$A22,'C19 GEG GL Trial Balance'!$D$10:$D$400,"Posting")</f>
        <v/>
      </c>
      <c r="I22" s="28">
        <f>SUMIFS('C19 GEG GL Trial Balance'!$J$10:$J$400,'C19 GEG GL Trial Balance'!$A$10:$A$400,$A22,'C19 GEG GL Trial Balance'!$D$10:$D$400,"Posting")</f>
        <v/>
      </c>
      <c r="J22" s="28">
        <f>SUMIFS('C19 GEG GL Trial Balance'!$K$10:$K$400,'C19 GEG GL Trial Balance'!$A$10:$A$400,$A22,'C19 GEG GL Trial Balance'!$D$10:$D$400,"Posting")</f>
        <v/>
      </c>
      <c r="K22" s="28">
        <f>SUMIFS('C19 GEG GL Trial Balance'!$L$10:$L$400,'C19 GEG GL Trial Balance'!$A$10:$A$400,$A22,'C19 GEG GL Trial Balance'!$D$10:$D$400,"Posting")</f>
        <v/>
      </c>
      <c r="L22" s="28">
        <f>SUMIFS('C19 GEG GL Trial Balance'!$M$10:$M$400,'C19 GEG GL Trial Balance'!$A$10:$A$400,$A22,'C19 GEG GL Trial Balance'!$D$10:$D$400,"Posting")</f>
        <v/>
      </c>
      <c r="M22" s="28">
        <f>SUMIFS('C19 GEG GL Trial Balance'!$N$10:$N$400,'C19 GEG GL Trial Balance'!$A$10:$A$400,$A22,'C19 GEG GL Trial Balance'!$D$10:$D$400,"Posting")</f>
        <v/>
      </c>
      <c r="N22" s="28">
        <f>SUMIFS('C19 GEG GL Trial Balance'!$O$10:$O$400,'C19 GEG GL Trial Balance'!$A$10:$A$400,$A22,'C19 GEG GL Trial Balance'!$D$10:$D$400,"Posting")</f>
        <v/>
      </c>
      <c r="O22" s="28">
        <f>SUMIFS('C19 GEG GL Trial Balance'!$P$10:$P$400,'C19 GEG GL Trial Balance'!$A$10:$A$400,$A22,'C19 GEG GL Trial Balance'!$D$10:$D$400,"Posting")</f>
        <v/>
      </c>
      <c r="P22" s="71">
        <f>SUM(D22:O22)</f>
        <v/>
      </c>
    </row>
    <row r="23">
      <c r="A23" s="45" t="inlineStr">
        <is>
          <t>5107</t>
        </is>
      </c>
      <c r="B23" s="10" t="inlineStr">
        <is>
          <t xml:space="preserve">   Pengelolaan air tambang (dewatering)</t>
        </is>
      </c>
      <c r="D23" s="28">
        <f>SUMIFS('C19 GEG GL Trial Balance'!$E$10:$E$400,'C19 GEG GL Trial Balance'!$A$10:$A$400,$A23,'C19 GEG GL Trial Balance'!$D$10:$D$400,"Posting")</f>
        <v/>
      </c>
      <c r="E23" s="28">
        <f>SUMIFS('C19 GEG GL Trial Balance'!$F$10:$F$400,'C19 GEG GL Trial Balance'!$A$10:$A$400,$A23,'C19 GEG GL Trial Balance'!$D$10:$D$400,"Posting")</f>
        <v/>
      </c>
      <c r="F23" s="28">
        <f>SUMIFS('C19 GEG GL Trial Balance'!$G$10:$G$400,'C19 GEG GL Trial Balance'!$A$10:$A$400,$A23,'C19 GEG GL Trial Balance'!$D$10:$D$400,"Posting")</f>
        <v/>
      </c>
      <c r="G23" s="28">
        <f>SUMIFS('C19 GEG GL Trial Balance'!$H$10:$H$400,'C19 GEG GL Trial Balance'!$A$10:$A$400,$A23,'C19 GEG GL Trial Balance'!$D$10:$D$400,"Posting")</f>
        <v/>
      </c>
      <c r="H23" s="28">
        <f>SUMIFS('C19 GEG GL Trial Balance'!$I$10:$I$400,'C19 GEG GL Trial Balance'!$A$10:$A$400,$A23,'C19 GEG GL Trial Balance'!$D$10:$D$400,"Posting")</f>
        <v/>
      </c>
      <c r="I23" s="28">
        <f>SUMIFS('C19 GEG GL Trial Balance'!$J$10:$J$400,'C19 GEG GL Trial Balance'!$A$10:$A$400,$A23,'C19 GEG GL Trial Balance'!$D$10:$D$400,"Posting")</f>
        <v/>
      </c>
      <c r="J23" s="28">
        <f>SUMIFS('C19 GEG GL Trial Balance'!$K$10:$K$400,'C19 GEG GL Trial Balance'!$A$10:$A$400,$A23,'C19 GEG GL Trial Balance'!$D$10:$D$400,"Posting")</f>
        <v/>
      </c>
      <c r="K23" s="28">
        <f>SUMIFS('C19 GEG GL Trial Balance'!$L$10:$L$400,'C19 GEG GL Trial Balance'!$A$10:$A$400,$A23,'C19 GEG GL Trial Balance'!$D$10:$D$400,"Posting")</f>
        <v/>
      </c>
      <c r="L23" s="28">
        <f>SUMIFS('C19 GEG GL Trial Balance'!$M$10:$M$400,'C19 GEG GL Trial Balance'!$A$10:$A$400,$A23,'C19 GEG GL Trial Balance'!$D$10:$D$400,"Posting")</f>
        <v/>
      </c>
      <c r="M23" s="28">
        <f>SUMIFS('C19 GEG GL Trial Balance'!$N$10:$N$400,'C19 GEG GL Trial Balance'!$A$10:$A$400,$A23,'C19 GEG GL Trial Balance'!$D$10:$D$400,"Posting")</f>
        <v/>
      </c>
      <c r="N23" s="28">
        <f>SUMIFS('C19 GEG GL Trial Balance'!$O$10:$O$400,'C19 GEG GL Trial Balance'!$A$10:$A$400,$A23,'C19 GEG GL Trial Balance'!$D$10:$D$400,"Posting")</f>
        <v/>
      </c>
      <c r="O23" s="28">
        <f>SUMIFS('C19 GEG GL Trial Balance'!$P$10:$P$400,'C19 GEG GL Trial Balance'!$A$10:$A$400,$A23,'C19 GEG GL Trial Balance'!$D$10:$D$400,"Posting")</f>
        <v/>
      </c>
      <c r="P23" s="71">
        <f>SUM(D23:O23)</f>
        <v/>
      </c>
    </row>
    <row r="24">
      <c r="A24" s="45" t="inlineStr">
        <is>
          <t>5108</t>
        </is>
      </c>
      <c r="B24" s="10" t="inlineStr">
        <is>
          <t xml:space="preserve">   Survei, geologi &amp; grade control</t>
        </is>
      </c>
      <c r="D24" s="28">
        <f>SUMIFS('C19 GEG GL Trial Balance'!$E$10:$E$400,'C19 GEG GL Trial Balance'!$A$10:$A$400,$A24,'C19 GEG GL Trial Balance'!$D$10:$D$400,"Posting")</f>
        <v/>
      </c>
      <c r="E24" s="28">
        <f>SUMIFS('C19 GEG GL Trial Balance'!$F$10:$F$400,'C19 GEG GL Trial Balance'!$A$10:$A$400,$A24,'C19 GEG GL Trial Balance'!$D$10:$D$400,"Posting")</f>
        <v/>
      </c>
      <c r="F24" s="28">
        <f>SUMIFS('C19 GEG GL Trial Balance'!$G$10:$G$400,'C19 GEG GL Trial Balance'!$A$10:$A$400,$A24,'C19 GEG GL Trial Balance'!$D$10:$D$400,"Posting")</f>
        <v/>
      </c>
      <c r="G24" s="28">
        <f>SUMIFS('C19 GEG GL Trial Balance'!$H$10:$H$400,'C19 GEG GL Trial Balance'!$A$10:$A$400,$A24,'C19 GEG GL Trial Balance'!$D$10:$D$400,"Posting")</f>
        <v/>
      </c>
      <c r="H24" s="28">
        <f>SUMIFS('C19 GEG GL Trial Balance'!$I$10:$I$400,'C19 GEG GL Trial Balance'!$A$10:$A$400,$A24,'C19 GEG GL Trial Balance'!$D$10:$D$400,"Posting")</f>
        <v/>
      </c>
      <c r="I24" s="28">
        <f>SUMIFS('C19 GEG GL Trial Balance'!$J$10:$J$400,'C19 GEG GL Trial Balance'!$A$10:$A$400,$A24,'C19 GEG GL Trial Balance'!$D$10:$D$400,"Posting")</f>
        <v/>
      </c>
      <c r="J24" s="28">
        <f>SUMIFS('C19 GEG GL Trial Balance'!$K$10:$K$400,'C19 GEG GL Trial Balance'!$A$10:$A$400,$A24,'C19 GEG GL Trial Balance'!$D$10:$D$400,"Posting")</f>
        <v/>
      </c>
      <c r="K24" s="28">
        <f>SUMIFS('C19 GEG GL Trial Balance'!$L$10:$L$400,'C19 GEG GL Trial Balance'!$A$10:$A$400,$A24,'C19 GEG GL Trial Balance'!$D$10:$D$400,"Posting")</f>
        <v/>
      </c>
      <c r="L24" s="28">
        <f>SUMIFS('C19 GEG GL Trial Balance'!$M$10:$M$400,'C19 GEG GL Trial Balance'!$A$10:$A$400,$A24,'C19 GEG GL Trial Balance'!$D$10:$D$400,"Posting")</f>
        <v/>
      </c>
      <c r="M24" s="28">
        <f>SUMIFS('C19 GEG GL Trial Balance'!$N$10:$N$400,'C19 GEG GL Trial Balance'!$A$10:$A$400,$A24,'C19 GEG GL Trial Balance'!$D$10:$D$400,"Posting")</f>
        <v/>
      </c>
      <c r="N24" s="28">
        <f>SUMIFS('C19 GEG GL Trial Balance'!$O$10:$O$400,'C19 GEG GL Trial Balance'!$A$10:$A$400,$A24,'C19 GEG GL Trial Balance'!$D$10:$D$400,"Posting")</f>
        <v/>
      </c>
      <c r="O24" s="28">
        <f>SUMIFS('C19 GEG GL Trial Balance'!$P$10:$P$400,'C19 GEG GL Trial Balance'!$A$10:$A$400,$A24,'C19 GEG GL Trial Balance'!$D$10:$D$400,"Posting")</f>
        <v/>
      </c>
      <c r="P24" s="71">
        <f>SUM(D24:O24)</f>
        <v/>
      </c>
    </row>
    <row r="25">
      <c r="A25" s="45" t="inlineStr"/>
      <c r="B25" s="20" t="inlineStr">
        <is>
          <t xml:space="preserve">   Subtotal biaya penambangan</t>
        </is>
      </c>
      <c r="C25" s="23" t="n"/>
      <c r="D25" s="22">
        <f>D17+D18+D19+D20+D21+D22+D23+D24</f>
        <v/>
      </c>
      <c r="E25" s="22">
        <f>E17+E18+E19+E20+E21+E22+E23+E24</f>
        <v/>
      </c>
      <c r="F25" s="22">
        <f>F17+F18+F19+F20+F21+F22+F23+F24</f>
        <v/>
      </c>
      <c r="G25" s="22">
        <f>G17+G18+G19+G20+G21+G22+G23+G24</f>
        <v/>
      </c>
      <c r="H25" s="22">
        <f>H17+H18+H19+H20+H21+H22+H23+H24</f>
        <v/>
      </c>
      <c r="I25" s="22">
        <f>I17+I18+I19+I20+I21+I22+I23+I24</f>
        <v/>
      </c>
      <c r="J25" s="22">
        <f>J17+J18+J19+J20+J21+J22+J23+J24</f>
        <v/>
      </c>
      <c r="K25" s="22">
        <f>K17+K18+K19+K20+K21+K22+K23+K24</f>
        <v/>
      </c>
      <c r="L25" s="22">
        <f>L17+L18+L19+L20+L21+L22+L23+L24</f>
        <v/>
      </c>
      <c r="M25" s="22">
        <f>M17+M18+M19+M20+M21+M22+M23+M24</f>
        <v/>
      </c>
      <c r="N25" s="22">
        <f>N17+N18+N19+N20+N21+N22+N23+N24</f>
        <v/>
      </c>
      <c r="O25" s="22">
        <f>O17+O18+O19+O20+O21+O22+O23+O24</f>
        <v/>
      </c>
      <c r="P25" s="22">
        <f>P17+P18+P19+P20+P21+P22+P23+P24</f>
        <v/>
      </c>
    </row>
    <row r="26">
      <c r="B26" s="35" t="inlineStr">
        <is>
          <t>B. Pengolahan &amp; logistik</t>
        </is>
      </c>
    </row>
    <row r="27">
      <c r="A27" s="45" t="inlineStr">
        <is>
          <t>5201</t>
        </is>
      </c>
      <c r="B27" s="10" t="inlineStr">
        <is>
          <t xml:space="preserve">   Crushing &amp; pengolahan (CPP)</t>
        </is>
      </c>
      <c r="D27" s="28">
        <f>SUMIFS('C19 GEG GL Trial Balance'!$E$10:$E$400,'C19 GEG GL Trial Balance'!$A$10:$A$400,$A27,'C19 GEG GL Trial Balance'!$D$10:$D$400,"Posting")</f>
        <v/>
      </c>
      <c r="E27" s="28">
        <f>SUMIFS('C19 GEG GL Trial Balance'!$F$10:$F$400,'C19 GEG GL Trial Balance'!$A$10:$A$400,$A27,'C19 GEG GL Trial Balance'!$D$10:$D$400,"Posting")</f>
        <v/>
      </c>
      <c r="F27" s="28">
        <f>SUMIFS('C19 GEG GL Trial Balance'!$G$10:$G$400,'C19 GEG GL Trial Balance'!$A$10:$A$400,$A27,'C19 GEG GL Trial Balance'!$D$10:$D$400,"Posting")</f>
        <v/>
      </c>
      <c r="G27" s="28">
        <f>SUMIFS('C19 GEG GL Trial Balance'!$H$10:$H$400,'C19 GEG GL Trial Balance'!$A$10:$A$400,$A27,'C19 GEG GL Trial Balance'!$D$10:$D$400,"Posting")</f>
        <v/>
      </c>
      <c r="H27" s="28">
        <f>SUMIFS('C19 GEG GL Trial Balance'!$I$10:$I$400,'C19 GEG GL Trial Balance'!$A$10:$A$400,$A27,'C19 GEG GL Trial Balance'!$D$10:$D$400,"Posting")</f>
        <v/>
      </c>
      <c r="I27" s="28">
        <f>SUMIFS('C19 GEG GL Trial Balance'!$J$10:$J$400,'C19 GEG GL Trial Balance'!$A$10:$A$400,$A27,'C19 GEG GL Trial Balance'!$D$10:$D$400,"Posting")</f>
        <v/>
      </c>
      <c r="J27" s="28">
        <f>SUMIFS('C19 GEG GL Trial Balance'!$K$10:$K$400,'C19 GEG GL Trial Balance'!$A$10:$A$400,$A27,'C19 GEG GL Trial Balance'!$D$10:$D$400,"Posting")</f>
        <v/>
      </c>
      <c r="K27" s="28">
        <f>SUMIFS('C19 GEG GL Trial Balance'!$L$10:$L$400,'C19 GEG GL Trial Balance'!$A$10:$A$400,$A27,'C19 GEG GL Trial Balance'!$D$10:$D$400,"Posting")</f>
        <v/>
      </c>
      <c r="L27" s="28">
        <f>SUMIFS('C19 GEG GL Trial Balance'!$M$10:$M$400,'C19 GEG GL Trial Balance'!$A$10:$A$400,$A27,'C19 GEG GL Trial Balance'!$D$10:$D$400,"Posting")</f>
        <v/>
      </c>
      <c r="M27" s="28">
        <f>SUMIFS('C19 GEG GL Trial Balance'!$N$10:$N$400,'C19 GEG GL Trial Balance'!$A$10:$A$400,$A27,'C19 GEG GL Trial Balance'!$D$10:$D$400,"Posting")</f>
        <v/>
      </c>
      <c r="N27" s="28">
        <f>SUMIFS('C19 GEG GL Trial Balance'!$O$10:$O$400,'C19 GEG GL Trial Balance'!$A$10:$A$400,$A27,'C19 GEG GL Trial Balance'!$D$10:$D$400,"Posting")</f>
        <v/>
      </c>
      <c r="O27" s="28">
        <f>SUMIFS('C19 GEG GL Trial Balance'!$P$10:$P$400,'C19 GEG GL Trial Balance'!$A$10:$A$400,$A27,'C19 GEG GL Trial Balance'!$D$10:$D$400,"Posting")</f>
        <v/>
      </c>
      <c r="P27" s="71">
        <f>SUM(D27:O27)</f>
        <v/>
      </c>
    </row>
    <row r="28">
      <c r="A28" s="45" t="inlineStr">
        <is>
          <t>5202</t>
        </is>
      </c>
      <c r="B28" s="10" t="inlineStr">
        <is>
          <t xml:space="preserve">   Hauling tambang – pelabuhan</t>
        </is>
      </c>
      <c r="D28" s="28">
        <f>SUMIFS('C19 GEG GL Trial Balance'!$E$10:$E$400,'C19 GEG GL Trial Balance'!$A$10:$A$400,$A28,'C19 GEG GL Trial Balance'!$D$10:$D$400,"Posting")</f>
        <v/>
      </c>
      <c r="E28" s="28">
        <f>SUMIFS('C19 GEG GL Trial Balance'!$F$10:$F$400,'C19 GEG GL Trial Balance'!$A$10:$A$400,$A28,'C19 GEG GL Trial Balance'!$D$10:$D$400,"Posting")</f>
        <v/>
      </c>
      <c r="F28" s="28">
        <f>SUMIFS('C19 GEG GL Trial Balance'!$G$10:$G$400,'C19 GEG GL Trial Balance'!$A$10:$A$400,$A28,'C19 GEG GL Trial Balance'!$D$10:$D$400,"Posting")</f>
        <v/>
      </c>
      <c r="G28" s="28">
        <f>SUMIFS('C19 GEG GL Trial Balance'!$H$10:$H$400,'C19 GEG GL Trial Balance'!$A$10:$A$400,$A28,'C19 GEG GL Trial Balance'!$D$10:$D$400,"Posting")</f>
        <v/>
      </c>
      <c r="H28" s="28">
        <f>SUMIFS('C19 GEG GL Trial Balance'!$I$10:$I$400,'C19 GEG GL Trial Balance'!$A$10:$A$400,$A28,'C19 GEG GL Trial Balance'!$D$10:$D$400,"Posting")</f>
        <v/>
      </c>
      <c r="I28" s="28">
        <f>SUMIFS('C19 GEG GL Trial Balance'!$J$10:$J$400,'C19 GEG GL Trial Balance'!$A$10:$A$400,$A28,'C19 GEG GL Trial Balance'!$D$10:$D$400,"Posting")</f>
        <v/>
      </c>
      <c r="J28" s="28">
        <f>SUMIFS('C19 GEG GL Trial Balance'!$K$10:$K$400,'C19 GEG GL Trial Balance'!$A$10:$A$400,$A28,'C19 GEG GL Trial Balance'!$D$10:$D$400,"Posting")</f>
        <v/>
      </c>
      <c r="K28" s="28">
        <f>SUMIFS('C19 GEG GL Trial Balance'!$L$10:$L$400,'C19 GEG GL Trial Balance'!$A$10:$A$400,$A28,'C19 GEG GL Trial Balance'!$D$10:$D$400,"Posting")</f>
        <v/>
      </c>
      <c r="L28" s="28">
        <f>SUMIFS('C19 GEG GL Trial Balance'!$M$10:$M$400,'C19 GEG GL Trial Balance'!$A$10:$A$400,$A28,'C19 GEG GL Trial Balance'!$D$10:$D$400,"Posting")</f>
        <v/>
      </c>
      <c r="M28" s="28">
        <f>SUMIFS('C19 GEG GL Trial Balance'!$N$10:$N$400,'C19 GEG GL Trial Balance'!$A$10:$A$400,$A28,'C19 GEG GL Trial Balance'!$D$10:$D$400,"Posting")</f>
        <v/>
      </c>
      <c r="N28" s="28">
        <f>SUMIFS('C19 GEG GL Trial Balance'!$O$10:$O$400,'C19 GEG GL Trial Balance'!$A$10:$A$400,$A28,'C19 GEG GL Trial Balance'!$D$10:$D$400,"Posting")</f>
        <v/>
      </c>
      <c r="O28" s="28">
        <f>SUMIFS('C19 GEG GL Trial Balance'!$P$10:$P$400,'C19 GEG GL Trial Balance'!$A$10:$A$400,$A28,'C19 GEG GL Trial Balance'!$D$10:$D$400,"Posting")</f>
        <v/>
      </c>
      <c r="P28" s="71">
        <f>SUM(D28:O28)</f>
        <v/>
      </c>
    </row>
    <row r="29">
      <c r="A29" s="45" t="inlineStr">
        <is>
          <t>5203</t>
        </is>
      </c>
      <c r="B29" s="10" t="inlineStr">
        <is>
          <t xml:space="preserve">   Penanganan pelabuhan &amp; stockpile</t>
        </is>
      </c>
      <c r="D29" s="28">
        <f>SUMIFS('C19 GEG GL Trial Balance'!$E$10:$E$400,'C19 GEG GL Trial Balance'!$A$10:$A$400,$A29,'C19 GEG GL Trial Balance'!$D$10:$D$400,"Posting")</f>
        <v/>
      </c>
      <c r="E29" s="28">
        <f>SUMIFS('C19 GEG GL Trial Balance'!$F$10:$F$400,'C19 GEG GL Trial Balance'!$A$10:$A$400,$A29,'C19 GEG GL Trial Balance'!$D$10:$D$400,"Posting")</f>
        <v/>
      </c>
      <c r="F29" s="28">
        <f>SUMIFS('C19 GEG GL Trial Balance'!$G$10:$G$400,'C19 GEG GL Trial Balance'!$A$10:$A$400,$A29,'C19 GEG GL Trial Balance'!$D$10:$D$400,"Posting")</f>
        <v/>
      </c>
      <c r="G29" s="28">
        <f>SUMIFS('C19 GEG GL Trial Balance'!$H$10:$H$400,'C19 GEG GL Trial Balance'!$A$10:$A$400,$A29,'C19 GEG GL Trial Balance'!$D$10:$D$400,"Posting")</f>
        <v/>
      </c>
      <c r="H29" s="28">
        <f>SUMIFS('C19 GEG GL Trial Balance'!$I$10:$I$400,'C19 GEG GL Trial Balance'!$A$10:$A$400,$A29,'C19 GEG GL Trial Balance'!$D$10:$D$400,"Posting")</f>
        <v/>
      </c>
      <c r="I29" s="28">
        <f>SUMIFS('C19 GEG GL Trial Balance'!$J$10:$J$400,'C19 GEG GL Trial Balance'!$A$10:$A$400,$A29,'C19 GEG GL Trial Balance'!$D$10:$D$400,"Posting")</f>
        <v/>
      </c>
      <c r="J29" s="28">
        <f>SUMIFS('C19 GEG GL Trial Balance'!$K$10:$K$400,'C19 GEG GL Trial Balance'!$A$10:$A$400,$A29,'C19 GEG GL Trial Balance'!$D$10:$D$400,"Posting")</f>
        <v/>
      </c>
      <c r="K29" s="28">
        <f>SUMIFS('C19 GEG GL Trial Balance'!$L$10:$L$400,'C19 GEG GL Trial Balance'!$A$10:$A$400,$A29,'C19 GEG GL Trial Balance'!$D$10:$D$400,"Posting")</f>
        <v/>
      </c>
      <c r="L29" s="28">
        <f>SUMIFS('C19 GEG GL Trial Balance'!$M$10:$M$400,'C19 GEG GL Trial Balance'!$A$10:$A$400,$A29,'C19 GEG GL Trial Balance'!$D$10:$D$400,"Posting")</f>
        <v/>
      </c>
      <c r="M29" s="28">
        <f>SUMIFS('C19 GEG GL Trial Balance'!$N$10:$N$400,'C19 GEG GL Trial Balance'!$A$10:$A$400,$A29,'C19 GEG GL Trial Balance'!$D$10:$D$400,"Posting")</f>
        <v/>
      </c>
      <c r="N29" s="28">
        <f>SUMIFS('C19 GEG GL Trial Balance'!$O$10:$O$400,'C19 GEG GL Trial Balance'!$A$10:$A$400,$A29,'C19 GEG GL Trial Balance'!$D$10:$D$400,"Posting")</f>
        <v/>
      </c>
      <c r="O29" s="28">
        <f>SUMIFS('C19 GEG GL Trial Balance'!$P$10:$P$400,'C19 GEG GL Trial Balance'!$A$10:$A$400,$A29,'C19 GEG GL Trial Balance'!$D$10:$D$400,"Posting")</f>
        <v/>
      </c>
      <c r="P29" s="71">
        <f>SUM(D29:O29)</f>
        <v/>
      </c>
    </row>
    <row r="30">
      <c r="A30" s="45" t="inlineStr">
        <is>
          <t>5204</t>
        </is>
      </c>
      <c r="B30" s="10" t="inlineStr">
        <is>
          <t xml:space="preserve">   Tongkang &amp; transshipment (barging)</t>
        </is>
      </c>
      <c r="D30" s="28">
        <f>SUMIFS('C19 GEG GL Trial Balance'!$E$10:$E$400,'C19 GEG GL Trial Balance'!$A$10:$A$400,$A30,'C19 GEG GL Trial Balance'!$D$10:$D$400,"Posting")</f>
        <v/>
      </c>
      <c r="E30" s="28">
        <f>SUMIFS('C19 GEG GL Trial Balance'!$F$10:$F$400,'C19 GEG GL Trial Balance'!$A$10:$A$400,$A30,'C19 GEG GL Trial Balance'!$D$10:$D$400,"Posting")</f>
        <v/>
      </c>
      <c r="F30" s="28">
        <f>SUMIFS('C19 GEG GL Trial Balance'!$G$10:$G$400,'C19 GEG GL Trial Balance'!$A$10:$A$400,$A30,'C19 GEG GL Trial Balance'!$D$10:$D$400,"Posting")</f>
        <v/>
      </c>
      <c r="G30" s="28">
        <f>SUMIFS('C19 GEG GL Trial Balance'!$H$10:$H$400,'C19 GEG GL Trial Balance'!$A$10:$A$400,$A30,'C19 GEG GL Trial Balance'!$D$10:$D$400,"Posting")</f>
        <v/>
      </c>
      <c r="H30" s="28">
        <f>SUMIFS('C19 GEG GL Trial Balance'!$I$10:$I$400,'C19 GEG GL Trial Balance'!$A$10:$A$400,$A30,'C19 GEG GL Trial Balance'!$D$10:$D$400,"Posting")</f>
        <v/>
      </c>
      <c r="I30" s="28">
        <f>SUMIFS('C19 GEG GL Trial Balance'!$J$10:$J$400,'C19 GEG GL Trial Balance'!$A$10:$A$400,$A30,'C19 GEG GL Trial Balance'!$D$10:$D$400,"Posting")</f>
        <v/>
      </c>
      <c r="J30" s="28">
        <f>SUMIFS('C19 GEG GL Trial Balance'!$K$10:$K$400,'C19 GEG GL Trial Balance'!$A$10:$A$400,$A30,'C19 GEG GL Trial Balance'!$D$10:$D$400,"Posting")</f>
        <v/>
      </c>
      <c r="K30" s="28">
        <f>SUMIFS('C19 GEG GL Trial Balance'!$L$10:$L$400,'C19 GEG GL Trial Balance'!$A$10:$A$400,$A30,'C19 GEG GL Trial Balance'!$D$10:$D$400,"Posting")</f>
        <v/>
      </c>
      <c r="L30" s="28">
        <f>SUMIFS('C19 GEG GL Trial Balance'!$M$10:$M$400,'C19 GEG GL Trial Balance'!$A$10:$A$400,$A30,'C19 GEG GL Trial Balance'!$D$10:$D$400,"Posting")</f>
        <v/>
      </c>
      <c r="M30" s="28">
        <f>SUMIFS('C19 GEG GL Trial Balance'!$N$10:$N$400,'C19 GEG GL Trial Balance'!$A$10:$A$400,$A30,'C19 GEG GL Trial Balance'!$D$10:$D$400,"Posting")</f>
        <v/>
      </c>
      <c r="N30" s="28">
        <f>SUMIFS('C19 GEG GL Trial Balance'!$O$10:$O$400,'C19 GEG GL Trial Balance'!$A$10:$A$400,$A30,'C19 GEG GL Trial Balance'!$D$10:$D$400,"Posting")</f>
        <v/>
      </c>
      <c r="O30" s="28">
        <f>SUMIFS('C19 GEG GL Trial Balance'!$P$10:$P$400,'C19 GEG GL Trial Balance'!$A$10:$A$400,$A30,'C19 GEG GL Trial Balance'!$D$10:$D$400,"Posting")</f>
        <v/>
      </c>
      <c r="P30" s="71">
        <f>SUM(D30:O30)</f>
        <v/>
      </c>
    </row>
    <row r="31">
      <c r="A31" s="45" t="inlineStr"/>
      <c r="B31" s="20" t="inlineStr">
        <is>
          <t xml:space="preserve">   Subtotal pengolahan &amp; logistik</t>
        </is>
      </c>
      <c r="C31" s="23" t="n"/>
      <c r="D31" s="22">
        <f>D27+D28+D29+D30</f>
        <v/>
      </c>
      <c r="E31" s="22">
        <f>E27+E28+E29+E30</f>
        <v/>
      </c>
      <c r="F31" s="22">
        <f>F27+F28+F29+F30</f>
        <v/>
      </c>
      <c r="G31" s="22">
        <f>G27+G28+G29+G30</f>
        <v/>
      </c>
      <c r="H31" s="22">
        <f>H27+H28+H29+H30</f>
        <v/>
      </c>
      <c r="I31" s="22">
        <f>I27+I28+I29+I30</f>
        <v/>
      </c>
      <c r="J31" s="22">
        <f>J27+J28+J29+J30</f>
        <v/>
      </c>
      <c r="K31" s="22">
        <f>K27+K28+K29+K30</f>
        <v/>
      </c>
      <c r="L31" s="22">
        <f>L27+L28+L29+L30</f>
        <v/>
      </c>
      <c r="M31" s="22">
        <f>M27+M28+M29+M30</f>
        <v/>
      </c>
      <c r="N31" s="22">
        <f>N27+N28+N29+N30</f>
        <v/>
      </c>
      <c r="O31" s="22">
        <f>O27+O28+O29+O30</f>
        <v/>
      </c>
      <c r="P31" s="22">
        <f>P27+P28+P29+P30</f>
        <v/>
      </c>
    </row>
    <row r="32">
      <c r="B32" s="35" t="inlineStr">
        <is>
          <t>C. Royalti</t>
        </is>
      </c>
    </row>
    <row r="33">
      <c r="A33" s="45" t="inlineStr">
        <is>
          <t>5301</t>
        </is>
      </c>
      <c r="B33" s="10" t="inlineStr">
        <is>
          <t xml:space="preserve">   Royalti / PNBP (DHPB)</t>
        </is>
      </c>
      <c r="D33" s="28">
        <f>SUMIFS('C19 GEG GL Trial Balance'!$E$10:$E$400,'C19 GEG GL Trial Balance'!$A$10:$A$400,$A33,'C19 GEG GL Trial Balance'!$D$10:$D$400,"Posting")</f>
        <v/>
      </c>
      <c r="E33" s="28">
        <f>SUMIFS('C19 GEG GL Trial Balance'!$F$10:$F$400,'C19 GEG GL Trial Balance'!$A$10:$A$400,$A33,'C19 GEG GL Trial Balance'!$D$10:$D$400,"Posting")</f>
        <v/>
      </c>
      <c r="F33" s="28">
        <f>SUMIFS('C19 GEG GL Trial Balance'!$G$10:$G$400,'C19 GEG GL Trial Balance'!$A$10:$A$400,$A33,'C19 GEG GL Trial Balance'!$D$10:$D$400,"Posting")</f>
        <v/>
      </c>
      <c r="G33" s="28">
        <f>SUMIFS('C19 GEG GL Trial Balance'!$H$10:$H$400,'C19 GEG GL Trial Balance'!$A$10:$A$400,$A33,'C19 GEG GL Trial Balance'!$D$10:$D$400,"Posting")</f>
        <v/>
      </c>
      <c r="H33" s="28">
        <f>SUMIFS('C19 GEG GL Trial Balance'!$I$10:$I$400,'C19 GEG GL Trial Balance'!$A$10:$A$400,$A33,'C19 GEG GL Trial Balance'!$D$10:$D$400,"Posting")</f>
        <v/>
      </c>
      <c r="I33" s="28">
        <f>SUMIFS('C19 GEG GL Trial Balance'!$J$10:$J$400,'C19 GEG GL Trial Balance'!$A$10:$A$400,$A33,'C19 GEG GL Trial Balance'!$D$10:$D$400,"Posting")</f>
        <v/>
      </c>
      <c r="J33" s="28">
        <f>SUMIFS('C19 GEG GL Trial Balance'!$K$10:$K$400,'C19 GEG GL Trial Balance'!$A$10:$A$400,$A33,'C19 GEG GL Trial Balance'!$D$10:$D$400,"Posting")</f>
        <v/>
      </c>
      <c r="K33" s="28">
        <f>SUMIFS('C19 GEG GL Trial Balance'!$L$10:$L$400,'C19 GEG GL Trial Balance'!$A$10:$A$400,$A33,'C19 GEG GL Trial Balance'!$D$10:$D$400,"Posting")</f>
        <v/>
      </c>
      <c r="L33" s="28">
        <f>SUMIFS('C19 GEG GL Trial Balance'!$M$10:$M$400,'C19 GEG GL Trial Balance'!$A$10:$A$400,$A33,'C19 GEG GL Trial Balance'!$D$10:$D$400,"Posting")</f>
        <v/>
      </c>
      <c r="M33" s="28">
        <f>SUMIFS('C19 GEG GL Trial Balance'!$N$10:$N$400,'C19 GEG GL Trial Balance'!$A$10:$A$400,$A33,'C19 GEG GL Trial Balance'!$D$10:$D$400,"Posting")</f>
        <v/>
      </c>
      <c r="N33" s="28">
        <f>SUMIFS('C19 GEG GL Trial Balance'!$O$10:$O$400,'C19 GEG GL Trial Balance'!$A$10:$A$400,$A33,'C19 GEG GL Trial Balance'!$D$10:$D$400,"Posting")</f>
        <v/>
      </c>
      <c r="O33" s="28">
        <f>SUMIFS('C19 GEG GL Trial Balance'!$P$10:$P$400,'C19 GEG GL Trial Balance'!$A$10:$A$400,$A33,'C19 GEG GL Trial Balance'!$D$10:$D$400,"Posting")</f>
        <v/>
      </c>
      <c r="P33" s="71">
        <f>SUM(D33:O33)</f>
        <v/>
      </c>
    </row>
    <row r="34">
      <c r="B34" s="35" t="inlineStr">
        <is>
          <t>D. Overhead site</t>
        </is>
      </c>
    </row>
    <row r="35">
      <c r="A35" s="45" t="inlineStr">
        <is>
          <t>5401</t>
        </is>
      </c>
      <c r="B35" s="10" t="inlineStr">
        <is>
          <t xml:space="preserve">   Gaji &amp; tunjangan karyawan site</t>
        </is>
      </c>
      <c r="D35" s="28">
        <f>SUMIFS('C19 GEG GL Trial Balance'!$E$10:$E$400,'C19 GEG GL Trial Balance'!$A$10:$A$400,$A35,'C19 GEG GL Trial Balance'!$D$10:$D$400,"Posting")</f>
        <v/>
      </c>
      <c r="E35" s="28">
        <f>SUMIFS('C19 GEG GL Trial Balance'!$F$10:$F$400,'C19 GEG GL Trial Balance'!$A$10:$A$400,$A35,'C19 GEG GL Trial Balance'!$D$10:$D$400,"Posting")</f>
        <v/>
      </c>
      <c r="F35" s="28">
        <f>SUMIFS('C19 GEG GL Trial Balance'!$G$10:$G$400,'C19 GEG GL Trial Balance'!$A$10:$A$400,$A35,'C19 GEG GL Trial Balance'!$D$10:$D$400,"Posting")</f>
        <v/>
      </c>
      <c r="G35" s="28">
        <f>SUMIFS('C19 GEG GL Trial Balance'!$H$10:$H$400,'C19 GEG GL Trial Balance'!$A$10:$A$400,$A35,'C19 GEG GL Trial Balance'!$D$10:$D$400,"Posting")</f>
        <v/>
      </c>
      <c r="H35" s="28">
        <f>SUMIFS('C19 GEG GL Trial Balance'!$I$10:$I$400,'C19 GEG GL Trial Balance'!$A$10:$A$400,$A35,'C19 GEG GL Trial Balance'!$D$10:$D$400,"Posting")</f>
        <v/>
      </c>
      <c r="I35" s="28">
        <f>SUMIFS('C19 GEG GL Trial Balance'!$J$10:$J$400,'C19 GEG GL Trial Balance'!$A$10:$A$400,$A35,'C19 GEG GL Trial Balance'!$D$10:$D$400,"Posting")</f>
        <v/>
      </c>
      <c r="J35" s="28">
        <f>SUMIFS('C19 GEG GL Trial Balance'!$K$10:$K$400,'C19 GEG GL Trial Balance'!$A$10:$A$400,$A35,'C19 GEG GL Trial Balance'!$D$10:$D$400,"Posting")</f>
        <v/>
      </c>
      <c r="K35" s="28">
        <f>SUMIFS('C19 GEG GL Trial Balance'!$L$10:$L$400,'C19 GEG GL Trial Balance'!$A$10:$A$400,$A35,'C19 GEG GL Trial Balance'!$D$10:$D$400,"Posting")</f>
        <v/>
      </c>
      <c r="L35" s="28">
        <f>SUMIFS('C19 GEG GL Trial Balance'!$M$10:$M$400,'C19 GEG GL Trial Balance'!$A$10:$A$400,$A35,'C19 GEG GL Trial Balance'!$D$10:$D$400,"Posting")</f>
        <v/>
      </c>
      <c r="M35" s="28">
        <f>SUMIFS('C19 GEG GL Trial Balance'!$N$10:$N$400,'C19 GEG GL Trial Balance'!$A$10:$A$400,$A35,'C19 GEG GL Trial Balance'!$D$10:$D$400,"Posting")</f>
        <v/>
      </c>
      <c r="N35" s="28">
        <f>SUMIFS('C19 GEG GL Trial Balance'!$O$10:$O$400,'C19 GEG GL Trial Balance'!$A$10:$A$400,$A35,'C19 GEG GL Trial Balance'!$D$10:$D$400,"Posting")</f>
        <v/>
      </c>
      <c r="O35" s="28">
        <f>SUMIFS('C19 GEG GL Trial Balance'!$P$10:$P$400,'C19 GEG GL Trial Balance'!$A$10:$A$400,$A35,'C19 GEG GL Trial Balance'!$D$10:$D$400,"Posting")</f>
        <v/>
      </c>
      <c r="P35" s="71">
        <f>SUM(D35:O35)</f>
        <v/>
      </c>
    </row>
    <row r="36">
      <c r="A36" s="45" t="inlineStr">
        <is>
          <t>5402</t>
        </is>
      </c>
      <c r="B36" s="10" t="inlineStr">
        <is>
          <t xml:space="preserve">   Camp, mess &amp; katering</t>
        </is>
      </c>
      <c r="D36" s="28">
        <f>SUMIFS('C19 GEG GL Trial Balance'!$E$10:$E$400,'C19 GEG GL Trial Balance'!$A$10:$A$400,$A36,'C19 GEG GL Trial Balance'!$D$10:$D$400,"Posting")</f>
        <v/>
      </c>
      <c r="E36" s="28">
        <f>SUMIFS('C19 GEG GL Trial Balance'!$F$10:$F$400,'C19 GEG GL Trial Balance'!$A$10:$A$400,$A36,'C19 GEG GL Trial Balance'!$D$10:$D$400,"Posting")</f>
        <v/>
      </c>
      <c r="F36" s="28">
        <f>SUMIFS('C19 GEG GL Trial Balance'!$G$10:$G$400,'C19 GEG GL Trial Balance'!$A$10:$A$400,$A36,'C19 GEG GL Trial Balance'!$D$10:$D$400,"Posting")</f>
        <v/>
      </c>
      <c r="G36" s="28">
        <f>SUMIFS('C19 GEG GL Trial Balance'!$H$10:$H$400,'C19 GEG GL Trial Balance'!$A$10:$A$400,$A36,'C19 GEG GL Trial Balance'!$D$10:$D$400,"Posting")</f>
        <v/>
      </c>
      <c r="H36" s="28">
        <f>SUMIFS('C19 GEG GL Trial Balance'!$I$10:$I$400,'C19 GEG GL Trial Balance'!$A$10:$A$400,$A36,'C19 GEG GL Trial Balance'!$D$10:$D$400,"Posting")</f>
        <v/>
      </c>
      <c r="I36" s="28">
        <f>SUMIFS('C19 GEG GL Trial Balance'!$J$10:$J$400,'C19 GEG GL Trial Balance'!$A$10:$A$400,$A36,'C19 GEG GL Trial Balance'!$D$10:$D$400,"Posting")</f>
        <v/>
      </c>
      <c r="J36" s="28">
        <f>SUMIFS('C19 GEG GL Trial Balance'!$K$10:$K$400,'C19 GEG GL Trial Balance'!$A$10:$A$400,$A36,'C19 GEG GL Trial Balance'!$D$10:$D$400,"Posting")</f>
        <v/>
      </c>
      <c r="K36" s="28">
        <f>SUMIFS('C19 GEG GL Trial Balance'!$L$10:$L$400,'C19 GEG GL Trial Balance'!$A$10:$A$400,$A36,'C19 GEG GL Trial Balance'!$D$10:$D$400,"Posting")</f>
        <v/>
      </c>
      <c r="L36" s="28">
        <f>SUMIFS('C19 GEG GL Trial Balance'!$M$10:$M$400,'C19 GEG GL Trial Balance'!$A$10:$A$400,$A36,'C19 GEG GL Trial Balance'!$D$10:$D$400,"Posting")</f>
        <v/>
      </c>
      <c r="M36" s="28">
        <f>SUMIFS('C19 GEG GL Trial Balance'!$N$10:$N$400,'C19 GEG GL Trial Balance'!$A$10:$A$400,$A36,'C19 GEG GL Trial Balance'!$D$10:$D$400,"Posting")</f>
        <v/>
      </c>
      <c r="N36" s="28">
        <f>SUMIFS('C19 GEG GL Trial Balance'!$O$10:$O$400,'C19 GEG GL Trial Balance'!$A$10:$A$400,$A36,'C19 GEG GL Trial Balance'!$D$10:$D$400,"Posting")</f>
        <v/>
      </c>
      <c r="O36" s="28">
        <f>SUMIFS('C19 GEG GL Trial Balance'!$P$10:$P$400,'C19 GEG GL Trial Balance'!$A$10:$A$400,$A36,'C19 GEG GL Trial Balance'!$D$10:$D$400,"Posting")</f>
        <v/>
      </c>
      <c r="P36" s="71">
        <f>SUM(D36:O36)</f>
        <v/>
      </c>
    </row>
    <row r="37">
      <c r="A37" s="45" t="inlineStr">
        <is>
          <t>5403</t>
        </is>
      </c>
      <c r="B37" s="10" t="inlineStr">
        <is>
          <t xml:space="preserve">   K3 / HSE</t>
        </is>
      </c>
      <c r="D37" s="28">
        <f>SUMIFS('C19 GEG GL Trial Balance'!$E$10:$E$400,'C19 GEG GL Trial Balance'!$A$10:$A$400,$A37,'C19 GEG GL Trial Balance'!$D$10:$D$400,"Posting")</f>
        <v/>
      </c>
      <c r="E37" s="28">
        <f>SUMIFS('C19 GEG GL Trial Balance'!$F$10:$F$400,'C19 GEG GL Trial Balance'!$A$10:$A$400,$A37,'C19 GEG GL Trial Balance'!$D$10:$D$400,"Posting")</f>
        <v/>
      </c>
      <c r="F37" s="28">
        <f>SUMIFS('C19 GEG GL Trial Balance'!$G$10:$G$400,'C19 GEG GL Trial Balance'!$A$10:$A$400,$A37,'C19 GEG GL Trial Balance'!$D$10:$D$400,"Posting")</f>
        <v/>
      </c>
      <c r="G37" s="28">
        <f>SUMIFS('C19 GEG GL Trial Balance'!$H$10:$H$400,'C19 GEG GL Trial Balance'!$A$10:$A$400,$A37,'C19 GEG GL Trial Balance'!$D$10:$D$400,"Posting")</f>
        <v/>
      </c>
      <c r="H37" s="28">
        <f>SUMIFS('C19 GEG GL Trial Balance'!$I$10:$I$400,'C19 GEG GL Trial Balance'!$A$10:$A$400,$A37,'C19 GEG GL Trial Balance'!$D$10:$D$400,"Posting")</f>
        <v/>
      </c>
      <c r="I37" s="28">
        <f>SUMIFS('C19 GEG GL Trial Balance'!$J$10:$J$400,'C19 GEG GL Trial Balance'!$A$10:$A$400,$A37,'C19 GEG GL Trial Balance'!$D$10:$D$400,"Posting")</f>
        <v/>
      </c>
      <c r="J37" s="28">
        <f>SUMIFS('C19 GEG GL Trial Balance'!$K$10:$K$400,'C19 GEG GL Trial Balance'!$A$10:$A$400,$A37,'C19 GEG GL Trial Balance'!$D$10:$D$400,"Posting")</f>
        <v/>
      </c>
      <c r="K37" s="28">
        <f>SUMIFS('C19 GEG GL Trial Balance'!$L$10:$L$400,'C19 GEG GL Trial Balance'!$A$10:$A$400,$A37,'C19 GEG GL Trial Balance'!$D$10:$D$400,"Posting")</f>
        <v/>
      </c>
      <c r="L37" s="28">
        <f>SUMIFS('C19 GEG GL Trial Balance'!$M$10:$M$400,'C19 GEG GL Trial Balance'!$A$10:$A$400,$A37,'C19 GEG GL Trial Balance'!$D$10:$D$400,"Posting")</f>
        <v/>
      </c>
      <c r="M37" s="28">
        <f>SUMIFS('C19 GEG GL Trial Balance'!$N$10:$N$400,'C19 GEG GL Trial Balance'!$A$10:$A$400,$A37,'C19 GEG GL Trial Balance'!$D$10:$D$400,"Posting")</f>
        <v/>
      </c>
      <c r="N37" s="28">
        <f>SUMIFS('C19 GEG GL Trial Balance'!$O$10:$O$400,'C19 GEG GL Trial Balance'!$A$10:$A$400,$A37,'C19 GEG GL Trial Balance'!$D$10:$D$400,"Posting")</f>
        <v/>
      </c>
      <c r="O37" s="28">
        <f>SUMIFS('C19 GEG GL Trial Balance'!$P$10:$P$400,'C19 GEG GL Trial Balance'!$A$10:$A$400,$A37,'C19 GEG GL Trial Balance'!$D$10:$D$400,"Posting")</f>
        <v/>
      </c>
      <c r="P37" s="71">
        <f>SUM(D37:O37)</f>
        <v/>
      </c>
    </row>
    <row r="38">
      <c r="A38" s="45" t="inlineStr">
        <is>
          <t>5404</t>
        </is>
      </c>
      <c r="B38" s="10" t="inlineStr">
        <is>
          <t xml:space="preserve">   Lingkungan &amp; reklamasi (provisi)</t>
        </is>
      </c>
      <c r="D38" s="28">
        <f>SUMIFS('C19 GEG GL Trial Balance'!$E$10:$E$400,'C19 GEG GL Trial Balance'!$A$10:$A$400,$A38,'C19 GEG GL Trial Balance'!$D$10:$D$400,"Posting")</f>
        <v/>
      </c>
      <c r="E38" s="28">
        <f>SUMIFS('C19 GEG GL Trial Balance'!$F$10:$F$400,'C19 GEG GL Trial Balance'!$A$10:$A$400,$A38,'C19 GEG GL Trial Balance'!$D$10:$D$400,"Posting")</f>
        <v/>
      </c>
      <c r="F38" s="28">
        <f>SUMIFS('C19 GEG GL Trial Balance'!$G$10:$G$400,'C19 GEG GL Trial Balance'!$A$10:$A$400,$A38,'C19 GEG GL Trial Balance'!$D$10:$D$400,"Posting")</f>
        <v/>
      </c>
      <c r="G38" s="28">
        <f>SUMIFS('C19 GEG GL Trial Balance'!$H$10:$H$400,'C19 GEG GL Trial Balance'!$A$10:$A$400,$A38,'C19 GEG GL Trial Balance'!$D$10:$D$400,"Posting")</f>
        <v/>
      </c>
      <c r="H38" s="28">
        <f>SUMIFS('C19 GEG GL Trial Balance'!$I$10:$I$400,'C19 GEG GL Trial Balance'!$A$10:$A$400,$A38,'C19 GEG GL Trial Balance'!$D$10:$D$400,"Posting")</f>
        <v/>
      </c>
      <c r="I38" s="28">
        <f>SUMIFS('C19 GEG GL Trial Balance'!$J$10:$J$400,'C19 GEG GL Trial Balance'!$A$10:$A$400,$A38,'C19 GEG GL Trial Balance'!$D$10:$D$400,"Posting")</f>
        <v/>
      </c>
      <c r="J38" s="28">
        <f>SUMIFS('C19 GEG GL Trial Balance'!$K$10:$K$400,'C19 GEG GL Trial Balance'!$A$10:$A$400,$A38,'C19 GEG GL Trial Balance'!$D$10:$D$400,"Posting")</f>
        <v/>
      </c>
      <c r="K38" s="28">
        <f>SUMIFS('C19 GEG GL Trial Balance'!$L$10:$L$400,'C19 GEG GL Trial Balance'!$A$10:$A$400,$A38,'C19 GEG GL Trial Balance'!$D$10:$D$400,"Posting")</f>
        <v/>
      </c>
      <c r="L38" s="28">
        <f>SUMIFS('C19 GEG GL Trial Balance'!$M$10:$M$400,'C19 GEG GL Trial Balance'!$A$10:$A$400,$A38,'C19 GEG GL Trial Balance'!$D$10:$D$400,"Posting")</f>
        <v/>
      </c>
      <c r="M38" s="28">
        <f>SUMIFS('C19 GEG GL Trial Balance'!$N$10:$N$400,'C19 GEG GL Trial Balance'!$A$10:$A$400,$A38,'C19 GEG GL Trial Balance'!$D$10:$D$400,"Posting")</f>
        <v/>
      </c>
      <c r="N38" s="28">
        <f>SUMIFS('C19 GEG GL Trial Balance'!$O$10:$O$400,'C19 GEG GL Trial Balance'!$A$10:$A$400,$A38,'C19 GEG GL Trial Balance'!$D$10:$D$400,"Posting")</f>
        <v/>
      </c>
      <c r="O38" s="28">
        <f>SUMIFS('C19 GEG GL Trial Balance'!$P$10:$P$400,'C19 GEG GL Trial Balance'!$A$10:$A$400,$A38,'C19 GEG GL Trial Balance'!$D$10:$D$400,"Posting")</f>
        <v/>
      </c>
      <c r="P38" s="71">
        <f>SUM(D38:O38)</f>
        <v/>
      </c>
    </row>
    <row r="39">
      <c r="A39" s="45" t="inlineStr">
        <is>
          <t>5405</t>
        </is>
      </c>
      <c r="B39" s="10" t="inlineStr">
        <is>
          <t xml:space="preserve">   PPM / CSR</t>
        </is>
      </c>
      <c r="D39" s="28">
        <f>SUMIFS('C19 GEG GL Trial Balance'!$E$10:$E$400,'C19 GEG GL Trial Balance'!$A$10:$A$400,$A39,'C19 GEG GL Trial Balance'!$D$10:$D$400,"Posting")</f>
        <v/>
      </c>
      <c r="E39" s="28">
        <f>SUMIFS('C19 GEG GL Trial Balance'!$F$10:$F$400,'C19 GEG GL Trial Balance'!$A$10:$A$400,$A39,'C19 GEG GL Trial Balance'!$D$10:$D$400,"Posting")</f>
        <v/>
      </c>
      <c r="F39" s="28">
        <f>SUMIFS('C19 GEG GL Trial Balance'!$G$10:$G$400,'C19 GEG GL Trial Balance'!$A$10:$A$400,$A39,'C19 GEG GL Trial Balance'!$D$10:$D$400,"Posting")</f>
        <v/>
      </c>
      <c r="G39" s="28">
        <f>SUMIFS('C19 GEG GL Trial Balance'!$H$10:$H$400,'C19 GEG GL Trial Balance'!$A$10:$A$400,$A39,'C19 GEG GL Trial Balance'!$D$10:$D$400,"Posting")</f>
        <v/>
      </c>
      <c r="H39" s="28">
        <f>SUMIFS('C19 GEG GL Trial Balance'!$I$10:$I$400,'C19 GEG GL Trial Balance'!$A$10:$A$400,$A39,'C19 GEG GL Trial Balance'!$D$10:$D$400,"Posting")</f>
        <v/>
      </c>
      <c r="I39" s="28">
        <f>SUMIFS('C19 GEG GL Trial Balance'!$J$10:$J$400,'C19 GEG GL Trial Balance'!$A$10:$A$400,$A39,'C19 GEG GL Trial Balance'!$D$10:$D$400,"Posting")</f>
        <v/>
      </c>
      <c r="J39" s="28">
        <f>SUMIFS('C19 GEG GL Trial Balance'!$K$10:$K$400,'C19 GEG GL Trial Balance'!$A$10:$A$400,$A39,'C19 GEG GL Trial Balance'!$D$10:$D$400,"Posting")</f>
        <v/>
      </c>
      <c r="K39" s="28">
        <f>SUMIFS('C19 GEG GL Trial Balance'!$L$10:$L$400,'C19 GEG GL Trial Balance'!$A$10:$A$400,$A39,'C19 GEG GL Trial Balance'!$D$10:$D$400,"Posting")</f>
        <v/>
      </c>
      <c r="L39" s="28">
        <f>SUMIFS('C19 GEG GL Trial Balance'!$M$10:$M$400,'C19 GEG GL Trial Balance'!$A$10:$A$400,$A39,'C19 GEG GL Trial Balance'!$D$10:$D$400,"Posting")</f>
        <v/>
      </c>
      <c r="M39" s="28">
        <f>SUMIFS('C19 GEG GL Trial Balance'!$N$10:$N$400,'C19 GEG GL Trial Balance'!$A$10:$A$400,$A39,'C19 GEG GL Trial Balance'!$D$10:$D$400,"Posting")</f>
        <v/>
      </c>
      <c r="N39" s="28">
        <f>SUMIFS('C19 GEG GL Trial Balance'!$O$10:$O$400,'C19 GEG GL Trial Balance'!$A$10:$A$400,$A39,'C19 GEG GL Trial Balance'!$D$10:$D$400,"Posting")</f>
        <v/>
      </c>
      <c r="O39" s="28">
        <f>SUMIFS('C19 GEG GL Trial Balance'!$P$10:$P$400,'C19 GEG GL Trial Balance'!$A$10:$A$400,$A39,'C19 GEG GL Trial Balance'!$D$10:$D$400,"Posting")</f>
        <v/>
      </c>
      <c r="P39" s="71">
        <f>SUM(D39:O39)</f>
        <v/>
      </c>
    </row>
    <row r="40">
      <c r="A40" s="45" t="inlineStr">
        <is>
          <t>5406</t>
        </is>
      </c>
      <c r="B40" s="10" t="inlineStr">
        <is>
          <t xml:space="preserve">   Iuran tetap &amp; kompensasi lahan</t>
        </is>
      </c>
      <c r="D40" s="28">
        <f>SUMIFS('C19 GEG GL Trial Balance'!$E$10:$E$400,'C19 GEG GL Trial Balance'!$A$10:$A$400,$A40,'C19 GEG GL Trial Balance'!$D$10:$D$400,"Posting")</f>
        <v/>
      </c>
      <c r="E40" s="28">
        <f>SUMIFS('C19 GEG GL Trial Balance'!$F$10:$F$400,'C19 GEG GL Trial Balance'!$A$10:$A$400,$A40,'C19 GEG GL Trial Balance'!$D$10:$D$400,"Posting")</f>
        <v/>
      </c>
      <c r="F40" s="28">
        <f>SUMIFS('C19 GEG GL Trial Balance'!$G$10:$G$400,'C19 GEG GL Trial Balance'!$A$10:$A$400,$A40,'C19 GEG GL Trial Balance'!$D$10:$D$400,"Posting")</f>
        <v/>
      </c>
      <c r="G40" s="28">
        <f>SUMIFS('C19 GEG GL Trial Balance'!$H$10:$H$400,'C19 GEG GL Trial Balance'!$A$10:$A$400,$A40,'C19 GEG GL Trial Balance'!$D$10:$D$400,"Posting")</f>
        <v/>
      </c>
      <c r="H40" s="28">
        <f>SUMIFS('C19 GEG GL Trial Balance'!$I$10:$I$400,'C19 GEG GL Trial Balance'!$A$10:$A$400,$A40,'C19 GEG GL Trial Balance'!$D$10:$D$400,"Posting")</f>
        <v/>
      </c>
      <c r="I40" s="28">
        <f>SUMIFS('C19 GEG GL Trial Balance'!$J$10:$J$400,'C19 GEG GL Trial Balance'!$A$10:$A$400,$A40,'C19 GEG GL Trial Balance'!$D$10:$D$400,"Posting")</f>
        <v/>
      </c>
      <c r="J40" s="28">
        <f>SUMIFS('C19 GEG GL Trial Balance'!$K$10:$K$400,'C19 GEG GL Trial Balance'!$A$10:$A$400,$A40,'C19 GEG GL Trial Balance'!$D$10:$D$400,"Posting")</f>
        <v/>
      </c>
      <c r="K40" s="28">
        <f>SUMIFS('C19 GEG GL Trial Balance'!$L$10:$L$400,'C19 GEG GL Trial Balance'!$A$10:$A$400,$A40,'C19 GEG GL Trial Balance'!$D$10:$D$400,"Posting")</f>
        <v/>
      </c>
      <c r="L40" s="28">
        <f>SUMIFS('C19 GEG GL Trial Balance'!$M$10:$M$400,'C19 GEG GL Trial Balance'!$A$10:$A$400,$A40,'C19 GEG GL Trial Balance'!$D$10:$D$400,"Posting")</f>
        <v/>
      </c>
      <c r="M40" s="28">
        <f>SUMIFS('C19 GEG GL Trial Balance'!$N$10:$N$400,'C19 GEG GL Trial Balance'!$A$10:$A$400,$A40,'C19 GEG GL Trial Balance'!$D$10:$D$400,"Posting")</f>
        <v/>
      </c>
      <c r="N40" s="28">
        <f>SUMIFS('C19 GEG GL Trial Balance'!$O$10:$O$400,'C19 GEG GL Trial Balance'!$A$10:$A$400,$A40,'C19 GEG GL Trial Balance'!$D$10:$D$400,"Posting")</f>
        <v/>
      </c>
      <c r="O40" s="28">
        <f>SUMIFS('C19 GEG GL Trial Balance'!$P$10:$P$400,'C19 GEG GL Trial Balance'!$A$10:$A$400,$A40,'C19 GEG GL Trial Balance'!$D$10:$D$400,"Posting")</f>
        <v/>
      </c>
      <c r="P40" s="71">
        <f>SUM(D40:O40)</f>
        <v/>
      </c>
    </row>
    <row r="41">
      <c r="A41" s="45" t="inlineStr"/>
      <c r="B41" s="20" t="inlineStr">
        <is>
          <t xml:space="preserve">   Subtotal overhead site</t>
        </is>
      </c>
      <c r="C41" s="23" t="n"/>
      <c r="D41" s="22">
        <f>D35+D36+D37+D38+D39+D40</f>
        <v/>
      </c>
      <c r="E41" s="22">
        <f>E35+E36+E37+E38+E39+E40</f>
        <v/>
      </c>
      <c r="F41" s="22">
        <f>F35+F36+F37+F38+F39+F40</f>
        <v/>
      </c>
      <c r="G41" s="22">
        <f>G35+G36+G37+G38+G39+G40</f>
        <v/>
      </c>
      <c r="H41" s="22">
        <f>H35+H36+H37+H38+H39+H40</f>
        <v/>
      </c>
      <c r="I41" s="22">
        <f>I35+I36+I37+I38+I39+I40</f>
        <v/>
      </c>
      <c r="J41" s="22">
        <f>J35+J36+J37+J38+J39+J40</f>
        <v/>
      </c>
      <c r="K41" s="22">
        <f>K35+K36+K37+K38+K39+K40</f>
        <v/>
      </c>
      <c r="L41" s="22">
        <f>L35+L36+L37+L38+L39+L40</f>
        <v/>
      </c>
      <c r="M41" s="22">
        <f>M35+M36+M37+M38+M39+M40</f>
        <v/>
      </c>
      <c r="N41" s="22">
        <f>N35+N36+N37+N38+N39+N40</f>
        <v/>
      </c>
      <c r="O41" s="22">
        <f>O35+O36+O37+O38+O39+O40</f>
        <v/>
      </c>
      <c r="P41" s="22">
        <f>P35+P36+P37+P38+P39+P40</f>
        <v/>
      </c>
    </row>
    <row r="42">
      <c r="B42" s="35" t="inlineStr">
        <is>
          <t>E. Penyusutan &amp; amortisasi</t>
        </is>
      </c>
    </row>
    <row r="43">
      <c r="A43" s="45" t="inlineStr">
        <is>
          <t>5501</t>
        </is>
      </c>
      <c r="B43" s="10" t="inlineStr">
        <is>
          <t xml:space="preserve">   Penyusutan aset tetap</t>
        </is>
      </c>
      <c r="D43" s="28">
        <f>SUMIFS('C19 GEG GL Trial Balance'!$E$10:$E$400,'C19 GEG GL Trial Balance'!$A$10:$A$400,$A43,'C19 GEG GL Trial Balance'!$D$10:$D$400,"Posting")</f>
        <v/>
      </c>
      <c r="E43" s="28">
        <f>SUMIFS('C19 GEG GL Trial Balance'!$F$10:$F$400,'C19 GEG GL Trial Balance'!$A$10:$A$400,$A43,'C19 GEG GL Trial Balance'!$D$10:$D$400,"Posting")</f>
        <v/>
      </c>
      <c r="F43" s="28">
        <f>SUMIFS('C19 GEG GL Trial Balance'!$G$10:$G$400,'C19 GEG GL Trial Balance'!$A$10:$A$400,$A43,'C19 GEG GL Trial Balance'!$D$10:$D$400,"Posting")</f>
        <v/>
      </c>
      <c r="G43" s="28">
        <f>SUMIFS('C19 GEG GL Trial Balance'!$H$10:$H$400,'C19 GEG GL Trial Balance'!$A$10:$A$400,$A43,'C19 GEG GL Trial Balance'!$D$10:$D$400,"Posting")</f>
        <v/>
      </c>
      <c r="H43" s="28">
        <f>SUMIFS('C19 GEG GL Trial Balance'!$I$10:$I$400,'C19 GEG GL Trial Balance'!$A$10:$A$400,$A43,'C19 GEG GL Trial Balance'!$D$10:$D$400,"Posting")</f>
        <v/>
      </c>
      <c r="I43" s="28">
        <f>SUMIFS('C19 GEG GL Trial Balance'!$J$10:$J$400,'C19 GEG GL Trial Balance'!$A$10:$A$400,$A43,'C19 GEG GL Trial Balance'!$D$10:$D$400,"Posting")</f>
        <v/>
      </c>
      <c r="J43" s="28">
        <f>SUMIFS('C19 GEG GL Trial Balance'!$K$10:$K$400,'C19 GEG GL Trial Balance'!$A$10:$A$400,$A43,'C19 GEG GL Trial Balance'!$D$10:$D$400,"Posting")</f>
        <v/>
      </c>
      <c r="K43" s="28">
        <f>SUMIFS('C19 GEG GL Trial Balance'!$L$10:$L$400,'C19 GEG GL Trial Balance'!$A$10:$A$400,$A43,'C19 GEG GL Trial Balance'!$D$10:$D$400,"Posting")</f>
        <v/>
      </c>
      <c r="L43" s="28">
        <f>SUMIFS('C19 GEG GL Trial Balance'!$M$10:$M$400,'C19 GEG GL Trial Balance'!$A$10:$A$400,$A43,'C19 GEG GL Trial Balance'!$D$10:$D$400,"Posting")</f>
        <v/>
      </c>
      <c r="M43" s="28">
        <f>SUMIFS('C19 GEG GL Trial Balance'!$N$10:$N$400,'C19 GEG GL Trial Balance'!$A$10:$A$400,$A43,'C19 GEG GL Trial Balance'!$D$10:$D$400,"Posting")</f>
        <v/>
      </c>
      <c r="N43" s="28">
        <f>SUMIFS('C19 GEG GL Trial Balance'!$O$10:$O$400,'C19 GEG GL Trial Balance'!$A$10:$A$400,$A43,'C19 GEG GL Trial Balance'!$D$10:$D$400,"Posting")</f>
        <v/>
      </c>
      <c r="O43" s="28">
        <f>SUMIFS('C19 GEG GL Trial Balance'!$P$10:$P$400,'C19 GEG GL Trial Balance'!$A$10:$A$400,$A43,'C19 GEG GL Trial Balance'!$D$10:$D$400,"Posting")</f>
        <v/>
      </c>
      <c r="P43" s="71">
        <f>SUM(D43:O43)</f>
        <v/>
      </c>
    </row>
    <row r="44">
      <c r="A44" s="45" t="inlineStr">
        <is>
          <t>5502</t>
        </is>
      </c>
      <c r="B44" s="10" t="inlineStr">
        <is>
          <t xml:space="preserve">   Amortisasi properti pertambangan</t>
        </is>
      </c>
      <c r="D44" s="28">
        <f>SUMIFS('C19 GEG GL Trial Balance'!$E$10:$E$400,'C19 GEG GL Trial Balance'!$A$10:$A$400,$A44,'C19 GEG GL Trial Balance'!$D$10:$D$400,"Posting")</f>
        <v/>
      </c>
      <c r="E44" s="28">
        <f>SUMIFS('C19 GEG GL Trial Balance'!$F$10:$F$400,'C19 GEG GL Trial Balance'!$A$10:$A$400,$A44,'C19 GEG GL Trial Balance'!$D$10:$D$400,"Posting")</f>
        <v/>
      </c>
      <c r="F44" s="28">
        <f>SUMIFS('C19 GEG GL Trial Balance'!$G$10:$G$400,'C19 GEG GL Trial Balance'!$A$10:$A$400,$A44,'C19 GEG GL Trial Balance'!$D$10:$D$400,"Posting")</f>
        <v/>
      </c>
      <c r="G44" s="28">
        <f>SUMIFS('C19 GEG GL Trial Balance'!$H$10:$H$400,'C19 GEG GL Trial Balance'!$A$10:$A$400,$A44,'C19 GEG GL Trial Balance'!$D$10:$D$400,"Posting")</f>
        <v/>
      </c>
      <c r="H44" s="28">
        <f>SUMIFS('C19 GEG GL Trial Balance'!$I$10:$I$400,'C19 GEG GL Trial Balance'!$A$10:$A$400,$A44,'C19 GEG GL Trial Balance'!$D$10:$D$400,"Posting")</f>
        <v/>
      </c>
      <c r="I44" s="28">
        <f>SUMIFS('C19 GEG GL Trial Balance'!$J$10:$J$400,'C19 GEG GL Trial Balance'!$A$10:$A$400,$A44,'C19 GEG GL Trial Balance'!$D$10:$D$400,"Posting")</f>
        <v/>
      </c>
      <c r="J44" s="28">
        <f>SUMIFS('C19 GEG GL Trial Balance'!$K$10:$K$400,'C19 GEG GL Trial Balance'!$A$10:$A$400,$A44,'C19 GEG GL Trial Balance'!$D$10:$D$400,"Posting")</f>
        <v/>
      </c>
      <c r="K44" s="28">
        <f>SUMIFS('C19 GEG GL Trial Balance'!$L$10:$L$400,'C19 GEG GL Trial Balance'!$A$10:$A$400,$A44,'C19 GEG GL Trial Balance'!$D$10:$D$400,"Posting")</f>
        <v/>
      </c>
      <c r="L44" s="28">
        <f>SUMIFS('C19 GEG GL Trial Balance'!$M$10:$M$400,'C19 GEG GL Trial Balance'!$A$10:$A$400,$A44,'C19 GEG GL Trial Balance'!$D$10:$D$400,"Posting")</f>
        <v/>
      </c>
      <c r="M44" s="28">
        <f>SUMIFS('C19 GEG GL Trial Balance'!$N$10:$N$400,'C19 GEG GL Trial Balance'!$A$10:$A$400,$A44,'C19 GEG GL Trial Balance'!$D$10:$D$400,"Posting")</f>
        <v/>
      </c>
      <c r="N44" s="28">
        <f>SUMIFS('C19 GEG GL Trial Balance'!$O$10:$O$400,'C19 GEG GL Trial Balance'!$A$10:$A$400,$A44,'C19 GEG GL Trial Balance'!$D$10:$D$400,"Posting")</f>
        <v/>
      </c>
      <c r="O44" s="28">
        <f>SUMIFS('C19 GEG GL Trial Balance'!$P$10:$P$400,'C19 GEG GL Trial Balance'!$A$10:$A$400,$A44,'C19 GEG GL Trial Balance'!$D$10:$D$400,"Posting")</f>
        <v/>
      </c>
      <c r="P44" s="71">
        <f>SUM(D44:O44)</f>
        <v/>
      </c>
    </row>
    <row r="45">
      <c r="A45" s="45" t="inlineStr">
        <is>
          <t>5503</t>
        </is>
      </c>
      <c r="B45" s="10" t="inlineStr">
        <is>
          <t xml:space="preserve">   Amortisasi biaya pengupasan tangguhan</t>
        </is>
      </c>
      <c r="D45" s="28">
        <f>SUMIFS('C19 GEG GL Trial Balance'!$E$10:$E$400,'C19 GEG GL Trial Balance'!$A$10:$A$400,$A45,'C19 GEG GL Trial Balance'!$D$10:$D$400,"Posting")</f>
        <v/>
      </c>
      <c r="E45" s="28">
        <f>SUMIFS('C19 GEG GL Trial Balance'!$F$10:$F$400,'C19 GEG GL Trial Balance'!$A$10:$A$400,$A45,'C19 GEG GL Trial Balance'!$D$10:$D$400,"Posting")</f>
        <v/>
      </c>
      <c r="F45" s="28">
        <f>SUMIFS('C19 GEG GL Trial Balance'!$G$10:$G$400,'C19 GEG GL Trial Balance'!$A$10:$A$400,$A45,'C19 GEG GL Trial Balance'!$D$10:$D$400,"Posting")</f>
        <v/>
      </c>
      <c r="G45" s="28">
        <f>SUMIFS('C19 GEG GL Trial Balance'!$H$10:$H$400,'C19 GEG GL Trial Balance'!$A$10:$A$400,$A45,'C19 GEG GL Trial Balance'!$D$10:$D$400,"Posting")</f>
        <v/>
      </c>
      <c r="H45" s="28">
        <f>SUMIFS('C19 GEG GL Trial Balance'!$I$10:$I$400,'C19 GEG GL Trial Balance'!$A$10:$A$400,$A45,'C19 GEG GL Trial Balance'!$D$10:$D$400,"Posting")</f>
        <v/>
      </c>
      <c r="I45" s="28">
        <f>SUMIFS('C19 GEG GL Trial Balance'!$J$10:$J$400,'C19 GEG GL Trial Balance'!$A$10:$A$400,$A45,'C19 GEG GL Trial Balance'!$D$10:$D$400,"Posting")</f>
        <v/>
      </c>
      <c r="J45" s="28">
        <f>SUMIFS('C19 GEG GL Trial Balance'!$K$10:$K$400,'C19 GEG GL Trial Balance'!$A$10:$A$400,$A45,'C19 GEG GL Trial Balance'!$D$10:$D$400,"Posting")</f>
        <v/>
      </c>
      <c r="K45" s="28">
        <f>SUMIFS('C19 GEG GL Trial Balance'!$L$10:$L$400,'C19 GEG GL Trial Balance'!$A$10:$A$400,$A45,'C19 GEG GL Trial Balance'!$D$10:$D$400,"Posting")</f>
        <v/>
      </c>
      <c r="L45" s="28">
        <f>SUMIFS('C19 GEG GL Trial Balance'!$M$10:$M$400,'C19 GEG GL Trial Balance'!$A$10:$A$400,$A45,'C19 GEG GL Trial Balance'!$D$10:$D$400,"Posting")</f>
        <v/>
      </c>
      <c r="M45" s="28">
        <f>SUMIFS('C19 GEG GL Trial Balance'!$N$10:$N$400,'C19 GEG GL Trial Balance'!$A$10:$A$400,$A45,'C19 GEG GL Trial Balance'!$D$10:$D$400,"Posting")</f>
        <v/>
      </c>
      <c r="N45" s="28">
        <f>SUMIFS('C19 GEG GL Trial Balance'!$O$10:$O$400,'C19 GEG GL Trial Balance'!$A$10:$A$400,$A45,'C19 GEG GL Trial Balance'!$D$10:$D$400,"Posting")</f>
        <v/>
      </c>
      <c r="O45" s="28">
        <f>SUMIFS('C19 GEG GL Trial Balance'!$P$10:$P$400,'C19 GEG GL Trial Balance'!$A$10:$A$400,$A45,'C19 GEG GL Trial Balance'!$D$10:$D$400,"Posting")</f>
        <v/>
      </c>
      <c r="P45" s="71">
        <f>SUM(D45:O45)</f>
        <v/>
      </c>
    </row>
    <row r="46">
      <c r="A46" s="45" t="inlineStr"/>
      <c r="B46" s="20" t="inlineStr">
        <is>
          <t xml:space="preserve">   Subtotal penyusutan &amp; amortisasi</t>
        </is>
      </c>
      <c r="C46" s="23" t="n"/>
      <c r="D46" s="22">
        <f>D43+D44+D45</f>
        <v/>
      </c>
      <c r="E46" s="22">
        <f>E43+E44+E45</f>
        <v/>
      </c>
      <c r="F46" s="22">
        <f>F43+F44+F45</f>
        <v/>
      </c>
      <c r="G46" s="22">
        <f>G43+G44+G45</f>
        <v/>
      </c>
      <c r="H46" s="22">
        <f>H43+H44+H45</f>
        <v/>
      </c>
      <c r="I46" s="22">
        <f>I43+I44+I45</f>
        <v/>
      </c>
      <c r="J46" s="22">
        <f>J43+J44+J45</f>
        <v/>
      </c>
      <c r="K46" s="22">
        <f>K43+K44+K45</f>
        <v/>
      </c>
      <c r="L46" s="22">
        <f>L43+L44+L45</f>
        <v/>
      </c>
      <c r="M46" s="22">
        <f>M43+M44+M45</f>
        <v/>
      </c>
      <c r="N46" s="22">
        <f>N43+N44+N45</f>
        <v/>
      </c>
      <c r="O46" s="22">
        <f>O43+O44+O45</f>
        <v/>
      </c>
      <c r="P46" s="22">
        <f>P43+P44+P45</f>
        <v/>
      </c>
    </row>
    <row r="47">
      <c r="A47" s="45" t="inlineStr"/>
      <c r="B47" s="20" t="inlineStr">
        <is>
          <t xml:space="preserve">   Total biaya produksi</t>
        </is>
      </c>
      <c r="C47" s="23" t="n"/>
      <c r="D47" s="22">
        <f>D25+D31+D33+D41+D46</f>
        <v/>
      </c>
      <c r="E47" s="22">
        <f>E25+E31+E33+E41+E46</f>
        <v/>
      </c>
      <c r="F47" s="22">
        <f>F25+F31+F33+F41+F46</f>
        <v/>
      </c>
      <c r="G47" s="22">
        <f>G25+G31+G33+G41+G46</f>
        <v/>
      </c>
      <c r="H47" s="22">
        <f>H25+H31+H33+H41+H46</f>
        <v/>
      </c>
      <c r="I47" s="22">
        <f>I25+I31+I33+I41+I46</f>
        <v/>
      </c>
      <c r="J47" s="22">
        <f>J25+J31+J33+J41+J46</f>
        <v/>
      </c>
      <c r="K47" s="22">
        <f>K25+K31+K33+K41+K46</f>
        <v/>
      </c>
      <c r="L47" s="22">
        <f>L25+L31+L33+L41+L46</f>
        <v/>
      </c>
      <c r="M47" s="22">
        <f>M25+M31+M33+M41+M46</f>
        <v/>
      </c>
      <c r="N47" s="22">
        <f>N25+N31+N33+N41+N46</f>
        <v/>
      </c>
      <c r="O47" s="22">
        <f>O25+O31+O33+O41+O46</f>
        <v/>
      </c>
      <c r="P47" s="22">
        <f>P25+P31+P33+P41+P46</f>
        <v/>
      </c>
    </row>
    <row r="48">
      <c r="A48" s="45" t="inlineStr">
        <is>
          <t>5601</t>
        </is>
      </c>
      <c r="B48" s="10" t="inlineStr">
        <is>
          <t xml:space="preserve">   Perubahan persediaan batubara (awal – akhir)</t>
        </is>
      </c>
      <c r="D48" s="28">
        <f>SUMIFS('C19 GEG GL Trial Balance'!$E$10:$E$400,'C19 GEG GL Trial Balance'!$A$10:$A$400,$A48,'C19 GEG GL Trial Balance'!$D$10:$D$400,"Posting")</f>
        <v/>
      </c>
      <c r="E48" s="28">
        <f>SUMIFS('C19 GEG GL Trial Balance'!$F$10:$F$400,'C19 GEG GL Trial Balance'!$A$10:$A$400,$A48,'C19 GEG GL Trial Balance'!$D$10:$D$400,"Posting")</f>
        <v/>
      </c>
      <c r="F48" s="28">
        <f>SUMIFS('C19 GEG GL Trial Balance'!$G$10:$G$400,'C19 GEG GL Trial Balance'!$A$10:$A$400,$A48,'C19 GEG GL Trial Balance'!$D$10:$D$400,"Posting")</f>
        <v/>
      </c>
      <c r="G48" s="28">
        <f>SUMIFS('C19 GEG GL Trial Balance'!$H$10:$H$400,'C19 GEG GL Trial Balance'!$A$10:$A$400,$A48,'C19 GEG GL Trial Balance'!$D$10:$D$400,"Posting")</f>
        <v/>
      </c>
      <c r="H48" s="28">
        <f>SUMIFS('C19 GEG GL Trial Balance'!$I$10:$I$400,'C19 GEG GL Trial Balance'!$A$10:$A$400,$A48,'C19 GEG GL Trial Balance'!$D$10:$D$400,"Posting")</f>
        <v/>
      </c>
      <c r="I48" s="28">
        <f>SUMIFS('C19 GEG GL Trial Balance'!$J$10:$J$400,'C19 GEG GL Trial Balance'!$A$10:$A$400,$A48,'C19 GEG GL Trial Balance'!$D$10:$D$400,"Posting")</f>
        <v/>
      </c>
      <c r="J48" s="28">
        <f>SUMIFS('C19 GEG GL Trial Balance'!$K$10:$K$400,'C19 GEG GL Trial Balance'!$A$10:$A$400,$A48,'C19 GEG GL Trial Balance'!$D$10:$D$400,"Posting")</f>
        <v/>
      </c>
      <c r="K48" s="28">
        <f>SUMIFS('C19 GEG GL Trial Balance'!$L$10:$L$400,'C19 GEG GL Trial Balance'!$A$10:$A$400,$A48,'C19 GEG GL Trial Balance'!$D$10:$D$400,"Posting")</f>
        <v/>
      </c>
      <c r="L48" s="28">
        <f>SUMIFS('C19 GEG GL Trial Balance'!$M$10:$M$400,'C19 GEG GL Trial Balance'!$A$10:$A$400,$A48,'C19 GEG GL Trial Balance'!$D$10:$D$400,"Posting")</f>
        <v/>
      </c>
      <c r="M48" s="28">
        <f>SUMIFS('C19 GEG GL Trial Balance'!$N$10:$N$400,'C19 GEG GL Trial Balance'!$A$10:$A$400,$A48,'C19 GEG GL Trial Balance'!$D$10:$D$400,"Posting")</f>
        <v/>
      </c>
      <c r="N48" s="28">
        <f>SUMIFS('C19 GEG GL Trial Balance'!$O$10:$O$400,'C19 GEG GL Trial Balance'!$A$10:$A$400,$A48,'C19 GEG GL Trial Balance'!$D$10:$D$400,"Posting")</f>
        <v/>
      </c>
      <c r="O48" s="28">
        <f>SUMIFS('C19 GEG GL Trial Balance'!$P$10:$P$400,'C19 GEG GL Trial Balance'!$A$10:$A$400,$A48,'C19 GEG GL Trial Balance'!$D$10:$D$400,"Posting")</f>
        <v/>
      </c>
      <c r="P48" s="71">
        <f>SUM(D48:O48)</f>
        <v/>
      </c>
    </row>
    <row r="49">
      <c r="A49" s="82" t="inlineStr"/>
      <c r="B49" s="31" t="inlineStr">
        <is>
          <t>BEBAN POKOK PENDAPATAN</t>
        </is>
      </c>
      <c r="C49" s="32" t="n"/>
      <c r="D49" s="33">
        <f>D47+D48</f>
        <v/>
      </c>
      <c r="E49" s="33">
        <f>E47+E48</f>
        <v/>
      </c>
      <c r="F49" s="33">
        <f>F47+F48</f>
        <v/>
      </c>
      <c r="G49" s="33">
        <f>G47+G48</f>
        <v/>
      </c>
      <c r="H49" s="33">
        <f>H47+H48</f>
        <v/>
      </c>
      <c r="I49" s="33">
        <f>I47+I48</f>
        <v/>
      </c>
      <c r="J49" s="33">
        <f>J47+J48</f>
        <v/>
      </c>
      <c r="K49" s="33">
        <f>K47+K48</f>
        <v/>
      </c>
      <c r="L49" s="33">
        <f>L47+L48</f>
        <v/>
      </c>
      <c r="M49" s="33">
        <f>M47+M48</f>
        <v/>
      </c>
      <c r="N49" s="33">
        <f>N47+N48</f>
        <v/>
      </c>
      <c r="O49" s="33">
        <f>O47+O48</f>
        <v/>
      </c>
      <c r="P49" s="33">
        <f>P47+P48</f>
        <v/>
      </c>
    </row>
    <row r="50">
      <c r="A50" s="82" t="inlineStr"/>
      <c r="B50" s="31" t="inlineStr">
        <is>
          <t>LABA KOTOR</t>
        </is>
      </c>
      <c r="C50" s="32" t="n"/>
      <c r="D50" s="33">
        <f>D14-D49</f>
        <v/>
      </c>
      <c r="E50" s="33">
        <f>E14-E49</f>
        <v/>
      </c>
      <c r="F50" s="33">
        <f>F14-F49</f>
        <v/>
      </c>
      <c r="G50" s="33">
        <f>G14-G49</f>
        <v/>
      </c>
      <c r="H50" s="33">
        <f>H14-H49</f>
        <v/>
      </c>
      <c r="I50" s="33">
        <f>I14-I49</f>
        <v/>
      </c>
      <c r="J50" s="33">
        <f>J14-J49</f>
        <v/>
      </c>
      <c r="K50" s="33">
        <f>K14-K49</f>
        <v/>
      </c>
      <c r="L50" s="33">
        <f>L14-L49</f>
        <v/>
      </c>
      <c r="M50" s="33">
        <f>M14-M49</f>
        <v/>
      </c>
      <c r="N50" s="33">
        <f>N14-N49</f>
        <v/>
      </c>
      <c r="O50" s="33">
        <f>O14-O49</f>
        <v/>
      </c>
      <c r="P50" s="33">
        <f>P14-P49</f>
        <v/>
      </c>
    </row>
    <row r="51">
      <c r="A51" s="45" t="inlineStr"/>
      <c r="B51" s="37" t="inlineStr">
        <is>
          <t xml:space="preserve">   Marjin laba kotor</t>
        </is>
      </c>
      <c r="D51" s="29">
        <f>IFERROR(D50/D14,0)</f>
        <v/>
      </c>
      <c r="E51" s="29">
        <f>IFERROR(E50/E14,0)</f>
        <v/>
      </c>
      <c r="F51" s="29">
        <f>IFERROR(F50/F14,0)</f>
        <v/>
      </c>
      <c r="G51" s="29">
        <f>IFERROR(G50/G14,0)</f>
        <v/>
      </c>
      <c r="H51" s="29">
        <f>IFERROR(H50/H14,0)</f>
        <v/>
      </c>
      <c r="I51" s="29">
        <f>IFERROR(I50/I14,0)</f>
        <v/>
      </c>
      <c r="J51" s="29">
        <f>IFERROR(J50/J14,0)</f>
        <v/>
      </c>
      <c r="K51" s="29">
        <f>IFERROR(K50/K14,0)</f>
        <v/>
      </c>
      <c r="L51" s="29">
        <f>IFERROR(L50/L14,0)</f>
        <v/>
      </c>
      <c r="M51" s="29">
        <f>IFERROR(M50/M14,0)</f>
        <v/>
      </c>
      <c r="N51" s="29">
        <f>IFERROR(N50/N14,0)</f>
        <v/>
      </c>
      <c r="O51" s="29">
        <f>IFERROR(O50/O14,0)</f>
        <v/>
      </c>
      <c r="P51" s="29">
        <f>IFERROR(P50/P14,0)</f>
        <v/>
      </c>
    </row>
    <row r="52">
      <c r="A52" s="4" t="inlineStr">
        <is>
          <t>BEBAN USAHA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B53" s="35" t="inlineStr">
        <is>
          <t>Beban penjualan</t>
        </is>
      </c>
    </row>
    <row r="54">
      <c r="A54" s="45" t="inlineStr">
        <is>
          <t>6101</t>
        </is>
      </c>
      <c r="B54" s="10" t="inlineStr">
        <is>
          <t xml:space="preserve">   Pengapalan laut (penjualan CIF)</t>
        </is>
      </c>
      <c r="D54" s="28">
        <f>SUMIFS('C19 GEG GL Trial Balance'!$E$10:$E$400,'C19 GEG GL Trial Balance'!$A$10:$A$400,$A54,'C19 GEG GL Trial Balance'!$D$10:$D$400,"Posting")</f>
        <v/>
      </c>
      <c r="E54" s="28">
        <f>SUMIFS('C19 GEG GL Trial Balance'!$F$10:$F$400,'C19 GEG GL Trial Balance'!$A$10:$A$400,$A54,'C19 GEG GL Trial Balance'!$D$10:$D$400,"Posting")</f>
        <v/>
      </c>
      <c r="F54" s="28">
        <f>SUMIFS('C19 GEG GL Trial Balance'!$G$10:$G$400,'C19 GEG GL Trial Balance'!$A$10:$A$400,$A54,'C19 GEG GL Trial Balance'!$D$10:$D$400,"Posting")</f>
        <v/>
      </c>
      <c r="G54" s="28">
        <f>SUMIFS('C19 GEG GL Trial Balance'!$H$10:$H$400,'C19 GEG GL Trial Balance'!$A$10:$A$400,$A54,'C19 GEG GL Trial Balance'!$D$10:$D$400,"Posting")</f>
        <v/>
      </c>
      <c r="H54" s="28">
        <f>SUMIFS('C19 GEG GL Trial Balance'!$I$10:$I$400,'C19 GEG GL Trial Balance'!$A$10:$A$400,$A54,'C19 GEG GL Trial Balance'!$D$10:$D$400,"Posting")</f>
        <v/>
      </c>
      <c r="I54" s="28">
        <f>SUMIFS('C19 GEG GL Trial Balance'!$J$10:$J$400,'C19 GEG GL Trial Balance'!$A$10:$A$400,$A54,'C19 GEG GL Trial Balance'!$D$10:$D$400,"Posting")</f>
        <v/>
      </c>
      <c r="J54" s="28">
        <f>SUMIFS('C19 GEG GL Trial Balance'!$K$10:$K$400,'C19 GEG GL Trial Balance'!$A$10:$A$400,$A54,'C19 GEG GL Trial Balance'!$D$10:$D$400,"Posting")</f>
        <v/>
      </c>
      <c r="K54" s="28">
        <f>SUMIFS('C19 GEG GL Trial Balance'!$L$10:$L$400,'C19 GEG GL Trial Balance'!$A$10:$A$400,$A54,'C19 GEG GL Trial Balance'!$D$10:$D$400,"Posting")</f>
        <v/>
      </c>
      <c r="L54" s="28">
        <f>SUMIFS('C19 GEG GL Trial Balance'!$M$10:$M$400,'C19 GEG GL Trial Balance'!$A$10:$A$400,$A54,'C19 GEG GL Trial Balance'!$D$10:$D$400,"Posting")</f>
        <v/>
      </c>
      <c r="M54" s="28">
        <f>SUMIFS('C19 GEG GL Trial Balance'!$N$10:$N$400,'C19 GEG GL Trial Balance'!$A$10:$A$400,$A54,'C19 GEG GL Trial Balance'!$D$10:$D$400,"Posting")</f>
        <v/>
      </c>
      <c r="N54" s="28">
        <f>SUMIFS('C19 GEG GL Trial Balance'!$O$10:$O$400,'C19 GEG GL Trial Balance'!$A$10:$A$400,$A54,'C19 GEG GL Trial Balance'!$D$10:$D$400,"Posting")</f>
        <v/>
      </c>
      <c r="O54" s="28">
        <f>SUMIFS('C19 GEG GL Trial Balance'!$P$10:$P$400,'C19 GEG GL Trial Balance'!$A$10:$A$400,$A54,'C19 GEG GL Trial Balance'!$D$10:$D$400,"Posting")</f>
        <v/>
      </c>
      <c r="P54" s="71">
        <f>SUM(D54:O54)</f>
        <v/>
      </c>
    </row>
    <row r="55">
      <c r="A55" s="45" t="inlineStr">
        <is>
          <t>6102</t>
        </is>
      </c>
      <c r="B55" s="10" t="inlineStr">
        <is>
          <t xml:space="preserve">   Komisi agen penjualan</t>
        </is>
      </c>
      <c r="D55" s="28">
        <f>SUMIFS('C19 GEG GL Trial Balance'!$E$10:$E$400,'C19 GEG GL Trial Balance'!$A$10:$A$400,$A55,'C19 GEG GL Trial Balance'!$D$10:$D$400,"Posting")</f>
        <v/>
      </c>
      <c r="E55" s="28">
        <f>SUMIFS('C19 GEG GL Trial Balance'!$F$10:$F$400,'C19 GEG GL Trial Balance'!$A$10:$A$400,$A55,'C19 GEG GL Trial Balance'!$D$10:$D$400,"Posting")</f>
        <v/>
      </c>
      <c r="F55" s="28">
        <f>SUMIFS('C19 GEG GL Trial Balance'!$G$10:$G$400,'C19 GEG GL Trial Balance'!$A$10:$A$400,$A55,'C19 GEG GL Trial Balance'!$D$10:$D$400,"Posting")</f>
        <v/>
      </c>
      <c r="G55" s="28">
        <f>SUMIFS('C19 GEG GL Trial Balance'!$H$10:$H$400,'C19 GEG GL Trial Balance'!$A$10:$A$400,$A55,'C19 GEG GL Trial Balance'!$D$10:$D$400,"Posting")</f>
        <v/>
      </c>
      <c r="H55" s="28">
        <f>SUMIFS('C19 GEG GL Trial Balance'!$I$10:$I$400,'C19 GEG GL Trial Balance'!$A$10:$A$400,$A55,'C19 GEG GL Trial Balance'!$D$10:$D$400,"Posting")</f>
        <v/>
      </c>
      <c r="I55" s="28">
        <f>SUMIFS('C19 GEG GL Trial Balance'!$J$10:$J$400,'C19 GEG GL Trial Balance'!$A$10:$A$400,$A55,'C19 GEG GL Trial Balance'!$D$10:$D$400,"Posting")</f>
        <v/>
      </c>
      <c r="J55" s="28">
        <f>SUMIFS('C19 GEG GL Trial Balance'!$K$10:$K$400,'C19 GEG GL Trial Balance'!$A$10:$A$400,$A55,'C19 GEG GL Trial Balance'!$D$10:$D$400,"Posting")</f>
        <v/>
      </c>
      <c r="K55" s="28">
        <f>SUMIFS('C19 GEG GL Trial Balance'!$L$10:$L$400,'C19 GEG GL Trial Balance'!$A$10:$A$400,$A55,'C19 GEG GL Trial Balance'!$D$10:$D$400,"Posting")</f>
        <v/>
      </c>
      <c r="L55" s="28">
        <f>SUMIFS('C19 GEG GL Trial Balance'!$M$10:$M$400,'C19 GEG GL Trial Balance'!$A$10:$A$400,$A55,'C19 GEG GL Trial Balance'!$D$10:$D$400,"Posting")</f>
        <v/>
      </c>
      <c r="M55" s="28">
        <f>SUMIFS('C19 GEG GL Trial Balance'!$N$10:$N$400,'C19 GEG GL Trial Balance'!$A$10:$A$400,$A55,'C19 GEG GL Trial Balance'!$D$10:$D$400,"Posting")</f>
        <v/>
      </c>
      <c r="N55" s="28">
        <f>SUMIFS('C19 GEG GL Trial Balance'!$O$10:$O$400,'C19 GEG GL Trial Balance'!$A$10:$A$400,$A55,'C19 GEG GL Trial Balance'!$D$10:$D$400,"Posting")</f>
        <v/>
      </c>
      <c r="O55" s="28">
        <f>SUMIFS('C19 GEG GL Trial Balance'!$P$10:$P$400,'C19 GEG GL Trial Balance'!$A$10:$A$400,$A55,'C19 GEG GL Trial Balance'!$D$10:$D$400,"Posting")</f>
        <v/>
      </c>
      <c r="P55" s="71">
        <f>SUM(D55:O55)</f>
        <v/>
      </c>
    </row>
    <row r="56">
      <c r="A56" s="45" t="inlineStr">
        <is>
          <t>6103</t>
        </is>
      </c>
      <c r="B56" s="10" t="inlineStr">
        <is>
          <t xml:space="preserve">   Surveyor independen &amp; analisa kualitas</t>
        </is>
      </c>
      <c r="D56" s="28">
        <f>SUMIFS('C19 GEG GL Trial Balance'!$E$10:$E$400,'C19 GEG GL Trial Balance'!$A$10:$A$400,$A56,'C19 GEG GL Trial Balance'!$D$10:$D$400,"Posting")</f>
        <v/>
      </c>
      <c r="E56" s="28">
        <f>SUMIFS('C19 GEG GL Trial Balance'!$F$10:$F$400,'C19 GEG GL Trial Balance'!$A$10:$A$400,$A56,'C19 GEG GL Trial Balance'!$D$10:$D$400,"Posting")</f>
        <v/>
      </c>
      <c r="F56" s="28">
        <f>SUMIFS('C19 GEG GL Trial Balance'!$G$10:$G$400,'C19 GEG GL Trial Balance'!$A$10:$A$400,$A56,'C19 GEG GL Trial Balance'!$D$10:$D$400,"Posting")</f>
        <v/>
      </c>
      <c r="G56" s="28">
        <f>SUMIFS('C19 GEG GL Trial Balance'!$H$10:$H$400,'C19 GEG GL Trial Balance'!$A$10:$A$400,$A56,'C19 GEG GL Trial Balance'!$D$10:$D$400,"Posting")</f>
        <v/>
      </c>
      <c r="H56" s="28">
        <f>SUMIFS('C19 GEG GL Trial Balance'!$I$10:$I$400,'C19 GEG GL Trial Balance'!$A$10:$A$400,$A56,'C19 GEG GL Trial Balance'!$D$10:$D$400,"Posting")</f>
        <v/>
      </c>
      <c r="I56" s="28">
        <f>SUMIFS('C19 GEG GL Trial Balance'!$J$10:$J$400,'C19 GEG GL Trial Balance'!$A$10:$A$400,$A56,'C19 GEG GL Trial Balance'!$D$10:$D$400,"Posting")</f>
        <v/>
      </c>
      <c r="J56" s="28">
        <f>SUMIFS('C19 GEG GL Trial Balance'!$K$10:$K$400,'C19 GEG GL Trial Balance'!$A$10:$A$400,$A56,'C19 GEG GL Trial Balance'!$D$10:$D$400,"Posting")</f>
        <v/>
      </c>
      <c r="K56" s="28">
        <f>SUMIFS('C19 GEG GL Trial Balance'!$L$10:$L$400,'C19 GEG GL Trial Balance'!$A$10:$A$400,$A56,'C19 GEG GL Trial Balance'!$D$10:$D$400,"Posting")</f>
        <v/>
      </c>
      <c r="L56" s="28">
        <f>SUMIFS('C19 GEG GL Trial Balance'!$M$10:$M$400,'C19 GEG GL Trial Balance'!$A$10:$A$400,$A56,'C19 GEG GL Trial Balance'!$D$10:$D$400,"Posting")</f>
        <v/>
      </c>
      <c r="M56" s="28">
        <f>SUMIFS('C19 GEG GL Trial Balance'!$N$10:$N$400,'C19 GEG GL Trial Balance'!$A$10:$A$400,$A56,'C19 GEG GL Trial Balance'!$D$10:$D$400,"Posting")</f>
        <v/>
      </c>
      <c r="N56" s="28">
        <f>SUMIFS('C19 GEG GL Trial Balance'!$O$10:$O$400,'C19 GEG GL Trial Balance'!$A$10:$A$400,$A56,'C19 GEG GL Trial Balance'!$D$10:$D$400,"Posting")</f>
        <v/>
      </c>
      <c r="O56" s="28">
        <f>SUMIFS('C19 GEG GL Trial Balance'!$P$10:$P$400,'C19 GEG GL Trial Balance'!$A$10:$A$400,$A56,'C19 GEG GL Trial Balance'!$D$10:$D$400,"Posting")</f>
        <v/>
      </c>
      <c r="P56" s="71">
        <f>SUM(D56:O56)</f>
        <v/>
      </c>
    </row>
    <row r="57">
      <c r="A57" s="45" t="inlineStr">
        <is>
          <t>6104</t>
        </is>
      </c>
      <c r="B57" s="10" t="inlineStr">
        <is>
          <t xml:space="preserve">   Demurrage</t>
        </is>
      </c>
      <c r="D57" s="28">
        <f>SUMIFS('C19 GEG GL Trial Balance'!$E$10:$E$400,'C19 GEG GL Trial Balance'!$A$10:$A$400,$A57,'C19 GEG GL Trial Balance'!$D$10:$D$400,"Posting")</f>
        <v/>
      </c>
      <c r="E57" s="28">
        <f>SUMIFS('C19 GEG GL Trial Balance'!$F$10:$F$400,'C19 GEG GL Trial Balance'!$A$10:$A$400,$A57,'C19 GEG GL Trial Balance'!$D$10:$D$400,"Posting")</f>
        <v/>
      </c>
      <c r="F57" s="28">
        <f>SUMIFS('C19 GEG GL Trial Balance'!$G$10:$G$400,'C19 GEG GL Trial Balance'!$A$10:$A$400,$A57,'C19 GEG GL Trial Balance'!$D$10:$D$400,"Posting")</f>
        <v/>
      </c>
      <c r="G57" s="28">
        <f>SUMIFS('C19 GEG GL Trial Balance'!$H$10:$H$400,'C19 GEG GL Trial Balance'!$A$10:$A$400,$A57,'C19 GEG GL Trial Balance'!$D$10:$D$400,"Posting")</f>
        <v/>
      </c>
      <c r="H57" s="28">
        <f>SUMIFS('C19 GEG GL Trial Balance'!$I$10:$I$400,'C19 GEG GL Trial Balance'!$A$10:$A$400,$A57,'C19 GEG GL Trial Balance'!$D$10:$D$400,"Posting")</f>
        <v/>
      </c>
      <c r="I57" s="28">
        <f>SUMIFS('C19 GEG GL Trial Balance'!$J$10:$J$400,'C19 GEG GL Trial Balance'!$A$10:$A$400,$A57,'C19 GEG GL Trial Balance'!$D$10:$D$400,"Posting")</f>
        <v/>
      </c>
      <c r="J57" s="28">
        <f>SUMIFS('C19 GEG GL Trial Balance'!$K$10:$K$400,'C19 GEG GL Trial Balance'!$A$10:$A$400,$A57,'C19 GEG GL Trial Balance'!$D$10:$D$400,"Posting")</f>
        <v/>
      </c>
      <c r="K57" s="28">
        <f>SUMIFS('C19 GEG GL Trial Balance'!$L$10:$L$400,'C19 GEG GL Trial Balance'!$A$10:$A$400,$A57,'C19 GEG GL Trial Balance'!$D$10:$D$400,"Posting")</f>
        <v/>
      </c>
      <c r="L57" s="28">
        <f>SUMIFS('C19 GEG GL Trial Balance'!$M$10:$M$400,'C19 GEG GL Trial Balance'!$A$10:$A$400,$A57,'C19 GEG GL Trial Balance'!$D$10:$D$400,"Posting")</f>
        <v/>
      </c>
      <c r="M57" s="28">
        <f>SUMIFS('C19 GEG GL Trial Balance'!$N$10:$N$400,'C19 GEG GL Trial Balance'!$A$10:$A$400,$A57,'C19 GEG GL Trial Balance'!$D$10:$D$400,"Posting")</f>
        <v/>
      </c>
      <c r="N57" s="28">
        <f>SUMIFS('C19 GEG GL Trial Balance'!$O$10:$O$400,'C19 GEG GL Trial Balance'!$A$10:$A$400,$A57,'C19 GEG GL Trial Balance'!$D$10:$D$400,"Posting")</f>
        <v/>
      </c>
      <c r="O57" s="28">
        <f>SUMIFS('C19 GEG GL Trial Balance'!$P$10:$P$400,'C19 GEG GL Trial Balance'!$A$10:$A$400,$A57,'C19 GEG GL Trial Balance'!$D$10:$D$400,"Posting")</f>
        <v/>
      </c>
      <c r="P57" s="71">
        <f>SUM(D57:O57)</f>
        <v/>
      </c>
    </row>
    <row r="58">
      <c r="A58" s="45" t="inlineStr">
        <is>
          <t>6105</t>
        </is>
      </c>
      <c r="B58" s="10" t="inlineStr">
        <is>
          <t xml:space="preserve">   Dokumen ekspor &amp; pungutan</t>
        </is>
      </c>
      <c r="D58" s="28">
        <f>SUMIFS('C19 GEG GL Trial Balance'!$E$10:$E$400,'C19 GEG GL Trial Balance'!$A$10:$A$400,$A58,'C19 GEG GL Trial Balance'!$D$10:$D$400,"Posting")</f>
        <v/>
      </c>
      <c r="E58" s="28">
        <f>SUMIFS('C19 GEG GL Trial Balance'!$F$10:$F$400,'C19 GEG GL Trial Balance'!$A$10:$A$400,$A58,'C19 GEG GL Trial Balance'!$D$10:$D$400,"Posting")</f>
        <v/>
      </c>
      <c r="F58" s="28">
        <f>SUMIFS('C19 GEG GL Trial Balance'!$G$10:$G$400,'C19 GEG GL Trial Balance'!$A$10:$A$400,$A58,'C19 GEG GL Trial Balance'!$D$10:$D$400,"Posting")</f>
        <v/>
      </c>
      <c r="G58" s="28">
        <f>SUMIFS('C19 GEG GL Trial Balance'!$H$10:$H$400,'C19 GEG GL Trial Balance'!$A$10:$A$400,$A58,'C19 GEG GL Trial Balance'!$D$10:$D$400,"Posting")</f>
        <v/>
      </c>
      <c r="H58" s="28">
        <f>SUMIFS('C19 GEG GL Trial Balance'!$I$10:$I$400,'C19 GEG GL Trial Balance'!$A$10:$A$400,$A58,'C19 GEG GL Trial Balance'!$D$10:$D$400,"Posting")</f>
        <v/>
      </c>
      <c r="I58" s="28">
        <f>SUMIFS('C19 GEG GL Trial Balance'!$J$10:$J$400,'C19 GEG GL Trial Balance'!$A$10:$A$400,$A58,'C19 GEG GL Trial Balance'!$D$10:$D$400,"Posting")</f>
        <v/>
      </c>
      <c r="J58" s="28">
        <f>SUMIFS('C19 GEG GL Trial Balance'!$K$10:$K$400,'C19 GEG GL Trial Balance'!$A$10:$A$400,$A58,'C19 GEG GL Trial Balance'!$D$10:$D$400,"Posting")</f>
        <v/>
      </c>
      <c r="K58" s="28">
        <f>SUMIFS('C19 GEG GL Trial Balance'!$L$10:$L$400,'C19 GEG GL Trial Balance'!$A$10:$A$400,$A58,'C19 GEG GL Trial Balance'!$D$10:$D$400,"Posting")</f>
        <v/>
      </c>
      <c r="L58" s="28">
        <f>SUMIFS('C19 GEG GL Trial Balance'!$M$10:$M$400,'C19 GEG GL Trial Balance'!$A$10:$A$400,$A58,'C19 GEG GL Trial Balance'!$D$10:$D$400,"Posting")</f>
        <v/>
      </c>
      <c r="M58" s="28">
        <f>SUMIFS('C19 GEG GL Trial Balance'!$N$10:$N$400,'C19 GEG GL Trial Balance'!$A$10:$A$400,$A58,'C19 GEG GL Trial Balance'!$D$10:$D$400,"Posting")</f>
        <v/>
      </c>
      <c r="N58" s="28">
        <f>SUMIFS('C19 GEG GL Trial Balance'!$O$10:$O$400,'C19 GEG GL Trial Balance'!$A$10:$A$400,$A58,'C19 GEG GL Trial Balance'!$D$10:$D$400,"Posting")</f>
        <v/>
      </c>
      <c r="O58" s="28">
        <f>SUMIFS('C19 GEG GL Trial Balance'!$P$10:$P$400,'C19 GEG GL Trial Balance'!$A$10:$A$400,$A58,'C19 GEG GL Trial Balance'!$D$10:$D$400,"Posting")</f>
        <v/>
      </c>
      <c r="P58" s="71">
        <f>SUM(D58:O58)</f>
        <v/>
      </c>
    </row>
    <row r="59">
      <c r="A59" s="45" t="inlineStr">
        <is>
          <t>6106</t>
        </is>
      </c>
      <c r="B59" s="10" t="inlineStr">
        <is>
          <t xml:space="preserve">   Pemasaran &amp; promosi</t>
        </is>
      </c>
      <c r="D59" s="28">
        <f>SUMIFS('C19 GEG GL Trial Balance'!$E$10:$E$400,'C19 GEG GL Trial Balance'!$A$10:$A$400,$A59,'C19 GEG GL Trial Balance'!$D$10:$D$400,"Posting")</f>
        <v/>
      </c>
      <c r="E59" s="28">
        <f>SUMIFS('C19 GEG GL Trial Balance'!$F$10:$F$400,'C19 GEG GL Trial Balance'!$A$10:$A$400,$A59,'C19 GEG GL Trial Balance'!$D$10:$D$400,"Posting")</f>
        <v/>
      </c>
      <c r="F59" s="28">
        <f>SUMIFS('C19 GEG GL Trial Balance'!$G$10:$G$400,'C19 GEG GL Trial Balance'!$A$10:$A$400,$A59,'C19 GEG GL Trial Balance'!$D$10:$D$400,"Posting")</f>
        <v/>
      </c>
      <c r="G59" s="28">
        <f>SUMIFS('C19 GEG GL Trial Balance'!$H$10:$H$400,'C19 GEG GL Trial Balance'!$A$10:$A$400,$A59,'C19 GEG GL Trial Balance'!$D$10:$D$400,"Posting")</f>
        <v/>
      </c>
      <c r="H59" s="28">
        <f>SUMIFS('C19 GEG GL Trial Balance'!$I$10:$I$400,'C19 GEG GL Trial Balance'!$A$10:$A$400,$A59,'C19 GEG GL Trial Balance'!$D$10:$D$400,"Posting")</f>
        <v/>
      </c>
      <c r="I59" s="28">
        <f>SUMIFS('C19 GEG GL Trial Balance'!$J$10:$J$400,'C19 GEG GL Trial Balance'!$A$10:$A$400,$A59,'C19 GEG GL Trial Balance'!$D$10:$D$400,"Posting")</f>
        <v/>
      </c>
      <c r="J59" s="28">
        <f>SUMIFS('C19 GEG GL Trial Balance'!$K$10:$K$400,'C19 GEG GL Trial Balance'!$A$10:$A$400,$A59,'C19 GEG GL Trial Balance'!$D$10:$D$400,"Posting")</f>
        <v/>
      </c>
      <c r="K59" s="28">
        <f>SUMIFS('C19 GEG GL Trial Balance'!$L$10:$L$400,'C19 GEG GL Trial Balance'!$A$10:$A$400,$A59,'C19 GEG GL Trial Balance'!$D$10:$D$400,"Posting")</f>
        <v/>
      </c>
      <c r="L59" s="28">
        <f>SUMIFS('C19 GEG GL Trial Balance'!$M$10:$M$400,'C19 GEG GL Trial Balance'!$A$10:$A$400,$A59,'C19 GEG GL Trial Balance'!$D$10:$D$400,"Posting")</f>
        <v/>
      </c>
      <c r="M59" s="28">
        <f>SUMIFS('C19 GEG GL Trial Balance'!$N$10:$N$400,'C19 GEG GL Trial Balance'!$A$10:$A$400,$A59,'C19 GEG GL Trial Balance'!$D$10:$D$400,"Posting")</f>
        <v/>
      </c>
      <c r="N59" s="28">
        <f>SUMIFS('C19 GEG GL Trial Balance'!$O$10:$O$400,'C19 GEG GL Trial Balance'!$A$10:$A$400,$A59,'C19 GEG GL Trial Balance'!$D$10:$D$400,"Posting")</f>
        <v/>
      </c>
      <c r="O59" s="28">
        <f>SUMIFS('C19 GEG GL Trial Balance'!$P$10:$P$400,'C19 GEG GL Trial Balance'!$A$10:$A$400,$A59,'C19 GEG GL Trial Balance'!$D$10:$D$400,"Posting")</f>
        <v/>
      </c>
      <c r="P59" s="71">
        <f>SUM(D59:O59)</f>
        <v/>
      </c>
    </row>
    <row r="60">
      <c r="A60" s="45" t="inlineStr"/>
      <c r="B60" s="20" t="inlineStr">
        <is>
          <t xml:space="preserve">   Subtotal beban penjualan</t>
        </is>
      </c>
      <c r="C60" s="23" t="n"/>
      <c r="D60" s="22">
        <f>D54+D55+D56+D57+D58+D59</f>
        <v/>
      </c>
      <c r="E60" s="22">
        <f>E54+E55+E56+E57+E58+E59</f>
        <v/>
      </c>
      <c r="F60" s="22">
        <f>F54+F55+F56+F57+F58+F59</f>
        <v/>
      </c>
      <c r="G60" s="22">
        <f>G54+G55+G56+G57+G58+G59</f>
        <v/>
      </c>
      <c r="H60" s="22">
        <f>H54+H55+H56+H57+H58+H59</f>
        <v/>
      </c>
      <c r="I60" s="22">
        <f>I54+I55+I56+I57+I58+I59</f>
        <v/>
      </c>
      <c r="J60" s="22">
        <f>J54+J55+J56+J57+J58+J59</f>
        <v/>
      </c>
      <c r="K60" s="22">
        <f>K54+K55+K56+K57+K58+K59</f>
        <v/>
      </c>
      <c r="L60" s="22">
        <f>L54+L55+L56+L57+L58+L59</f>
        <v/>
      </c>
      <c r="M60" s="22">
        <f>M54+M55+M56+M57+M58+M59</f>
        <v/>
      </c>
      <c r="N60" s="22">
        <f>N54+N55+N56+N57+N58+N59</f>
        <v/>
      </c>
      <c r="O60" s="22">
        <f>O54+O55+O56+O57+O58+O59</f>
        <v/>
      </c>
      <c r="P60" s="22">
        <f>P54+P55+P56+P57+P58+P59</f>
        <v/>
      </c>
    </row>
    <row r="61">
      <c r="B61" s="35" t="inlineStr">
        <is>
          <t>Beban umum &amp; administrasi</t>
        </is>
      </c>
    </row>
    <row r="62">
      <c r="A62" s="45" t="inlineStr">
        <is>
          <t>6201</t>
        </is>
      </c>
      <c r="B62" s="10" t="inlineStr">
        <is>
          <t xml:space="preserve">   Gaji &amp; tunjangan kantor pusat</t>
        </is>
      </c>
      <c r="D62" s="28">
        <f>SUMIFS('C19 GEG GL Trial Balance'!$E$10:$E$400,'C19 GEG GL Trial Balance'!$A$10:$A$400,$A62,'C19 GEG GL Trial Balance'!$D$10:$D$400,"Posting")</f>
        <v/>
      </c>
      <c r="E62" s="28">
        <f>SUMIFS('C19 GEG GL Trial Balance'!$F$10:$F$400,'C19 GEG GL Trial Balance'!$A$10:$A$400,$A62,'C19 GEG GL Trial Balance'!$D$10:$D$400,"Posting")</f>
        <v/>
      </c>
      <c r="F62" s="28">
        <f>SUMIFS('C19 GEG GL Trial Balance'!$G$10:$G$400,'C19 GEG GL Trial Balance'!$A$10:$A$400,$A62,'C19 GEG GL Trial Balance'!$D$10:$D$400,"Posting")</f>
        <v/>
      </c>
      <c r="G62" s="28">
        <f>SUMIFS('C19 GEG GL Trial Balance'!$H$10:$H$400,'C19 GEG GL Trial Balance'!$A$10:$A$400,$A62,'C19 GEG GL Trial Balance'!$D$10:$D$400,"Posting")</f>
        <v/>
      </c>
      <c r="H62" s="28">
        <f>SUMIFS('C19 GEG GL Trial Balance'!$I$10:$I$400,'C19 GEG GL Trial Balance'!$A$10:$A$400,$A62,'C19 GEG GL Trial Balance'!$D$10:$D$400,"Posting")</f>
        <v/>
      </c>
      <c r="I62" s="28">
        <f>SUMIFS('C19 GEG GL Trial Balance'!$J$10:$J$400,'C19 GEG GL Trial Balance'!$A$10:$A$400,$A62,'C19 GEG GL Trial Balance'!$D$10:$D$400,"Posting")</f>
        <v/>
      </c>
      <c r="J62" s="28">
        <f>SUMIFS('C19 GEG GL Trial Balance'!$K$10:$K$400,'C19 GEG GL Trial Balance'!$A$10:$A$400,$A62,'C19 GEG GL Trial Balance'!$D$10:$D$400,"Posting")</f>
        <v/>
      </c>
      <c r="K62" s="28">
        <f>SUMIFS('C19 GEG GL Trial Balance'!$L$10:$L$400,'C19 GEG GL Trial Balance'!$A$10:$A$400,$A62,'C19 GEG GL Trial Balance'!$D$10:$D$400,"Posting")</f>
        <v/>
      </c>
      <c r="L62" s="28">
        <f>SUMIFS('C19 GEG GL Trial Balance'!$M$10:$M$400,'C19 GEG GL Trial Balance'!$A$10:$A$400,$A62,'C19 GEG GL Trial Balance'!$D$10:$D$400,"Posting")</f>
        <v/>
      </c>
      <c r="M62" s="28">
        <f>SUMIFS('C19 GEG GL Trial Balance'!$N$10:$N$400,'C19 GEG GL Trial Balance'!$A$10:$A$400,$A62,'C19 GEG GL Trial Balance'!$D$10:$D$400,"Posting")</f>
        <v/>
      </c>
      <c r="N62" s="28">
        <f>SUMIFS('C19 GEG GL Trial Balance'!$O$10:$O$400,'C19 GEG GL Trial Balance'!$A$10:$A$400,$A62,'C19 GEG GL Trial Balance'!$D$10:$D$400,"Posting")</f>
        <v/>
      </c>
      <c r="O62" s="28">
        <f>SUMIFS('C19 GEG GL Trial Balance'!$P$10:$P$400,'C19 GEG GL Trial Balance'!$A$10:$A$400,$A62,'C19 GEG GL Trial Balance'!$D$10:$D$400,"Posting")</f>
        <v/>
      </c>
      <c r="P62" s="71">
        <f>SUM(D62:O62)</f>
        <v/>
      </c>
    </row>
    <row r="63">
      <c r="A63" s="45" t="inlineStr">
        <is>
          <t>6202</t>
        </is>
      </c>
      <c r="B63" s="10" t="inlineStr">
        <is>
          <t xml:space="preserve">   Jasa profesional</t>
        </is>
      </c>
      <c r="D63" s="28">
        <f>SUMIFS('C19 GEG GL Trial Balance'!$E$10:$E$400,'C19 GEG GL Trial Balance'!$A$10:$A$400,$A63,'C19 GEG GL Trial Balance'!$D$10:$D$400,"Posting")</f>
        <v/>
      </c>
      <c r="E63" s="28">
        <f>SUMIFS('C19 GEG GL Trial Balance'!$F$10:$F$400,'C19 GEG GL Trial Balance'!$A$10:$A$400,$A63,'C19 GEG GL Trial Balance'!$D$10:$D$400,"Posting")</f>
        <v/>
      </c>
      <c r="F63" s="28">
        <f>SUMIFS('C19 GEG GL Trial Balance'!$G$10:$G$400,'C19 GEG GL Trial Balance'!$A$10:$A$400,$A63,'C19 GEG GL Trial Balance'!$D$10:$D$400,"Posting")</f>
        <v/>
      </c>
      <c r="G63" s="28">
        <f>SUMIFS('C19 GEG GL Trial Balance'!$H$10:$H$400,'C19 GEG GL Trial Balance'!$A$10:$A$400,$A63,'C19 GEG GL Trial Balance'!$D$10:$D$400,"Posting")</f>
        <v/>
      </c>
      <c r="H63" s="28">
        <f>SUMIFS('C19 GEG GL Trial Balance'!$I$10:$I$400,'C19 GEG GL Trial Balance'!$A$10:$A$400,$A63,'C19 GEG GL Trial Balance'!$D$10:$D$400,"Posting")</f>
        <v/>
      </c>
      <c r="I63" s="28">
        <f>SUMIFS('C19 GEG GL Trial Balance'!$J$10:$J$400,'C19 GEG GL Trial Balance'!$A$10:$A$400,$A63,'C19 GEG GL Trial Balance'!$D$10:$D$400,"Posting")</f>
        <v/>
      </c>
      <c r="J63" s="28">
        <f>SUMIFS('C19 GEG GL Trial Balance'!$K$10:$K$400,'C19 GEG GL Trial Balance'!$A$10:$A$400,$A63,'C19 GEG GL Trial Balance'!$D$10:$D$400,"Posting")</f>
        <v/>
      </c>
      <c r="K63" s="28">
        <f>SUMIFS('C19 GEG GL Trial Balance'!$L$10:$L$400,'C19 GEG GL Trial Balance'!$A$10:$A$400,$A63,'C19 GEG GL Trial Balance'!$D$10:$D$400,"Posting")</f>
        <v/>
      </c>
      <c r="L63" s="28">
        <f>SUMIFS('C19 GEG GL Trial Balance'!$M$10:$M$400,'C19 GEG GL Trial Balance'!$A$10:$A$400,$A63,'C19 GEG GL Trial Balance'!$D$10:$D$400,"Posting")</f>
        <v/>
      </c>
      <c r="M63" s="28">
        <f>SUMIFS('C19 GEG GL Trial Balance'!$N$10:$N$400,'C19 GEG GL Trial Balance'!$A$10:$A$400,$A63,'C19 GEG GL Trial Balance'!$D$10:$D$400,"Posting")</f>
        <v/>
      </c>
      <c r="N63" s="28">
        <f>SUMIFS('C19 GEG GL Trial Balance'!$O$10:$O$400,'C19 GEG GL Trial Balance'!$A$10:$A$400,$A63,'C19 GEG GL Trial Balance'!$D$10:$D$400,"Posting")</f>
        <v/>
      </c>
      <c r="O63" s="28">
        <f>SUMIFS('C19 GEG GL Trial Balance'!$P$10:$P$400,'C19 GEG GL Trial Balance'!$A$10:$A$400,$A63,'C19 GEG GL Trial Balance'!$D$10:$D$400,"Posting")</f>
        <v/>
      </c>
      <c r="P63" s="71">
        <f>SUM(D63:O63)</f>
        <v/>
      </c>
    </row>
    <row r="64">
      <c r="A64" s="45" t="inlineStr">
        <is>
          <t>6203</t>
        </is>
      </c>
      <c r="B64" s="10" t="inlineStr">
        <is>
          <t xml:space="preserve">   Sewa kantor</t>
        </is>
      </c>
      <c r="D64" s="28">
        <f>SUMIFS('C19 GEG GL Trial Balance'!$E$10:$E$400,'C19 GEG GL Trial Balance'!$A$10:$A$400,$A64,'C19 GEG GL Trial Balance'!$D$10:$D$400,"Posting")</f>
        <v/>
      </c>
      <c r="E64" s="28">
        <f>SUMIFS('C19 GEG GL Trial Balance'!$F$10:$F$400,'C19 GEG GL Trial Balance'!$A$10:$A$400,$A64,'C19 GEG GL Trial Balance'!$D$10:$D$400,"Posting")</f>
        <v/>
      </c>
      <c r="F64" s="28">
        <f>SUMIFS('C19 GEG GL Trial Balance'!$G$10:$G$400,'C19 GEG GL Trial Balance'!$A$10:$A$400,$A64,'C19 GEG GL Trial Balance'!$D$10:$D$400,"Posting")</f>
        <v/>
      </c>
      <c r="G64" s="28">
        <f>SUMIFS('C19 GEG GL Trial Balance'!$H$10:$H$400,'C19 GEG GL Trial Balance'!$A$10:$A$400,$A64,'C19 GEG GL Trial Balance'!$D$10:$D$400,"Posting")</f>
        <v/>
      </c>
      <c r="H64" s="28">
        <f>SUMIFS('C19 GEG GL Trial Balance'!$I$10:$I$400,'C19 GEG GL Trial Balance'!$A$10:$A$400,$A64,'C19 GEG GL Trial Balance'!$D$10:$D$400,"Posting")</f>
        <v/>
      </c>
      <c r="I64" s="28">
        <f>SUMIFS('C19 GEG GL Trial Balance'!$J$10:$J$400,'C19 GEG GL Trial Balance'!$A$10:$A$400,$A64,'C19 GEG GL Trial Balance'!$D$10:$D$400,"Posting")</f>
        <v/>
      </c>
      <c r="J64" s="28">
        <f>SUMIFS('C19 GEG GL Trial Balance'!$K$10:$K$400,'C19 GEG GL Trial Balance'!$A$10:$A$400,$A64,'C19 GEG GL Trial Balance'!$D$10:$D$400,"Posting")</f>
        <v/>
      </c>
      <c r="K64" s="28">
        <f>SUMIFS('C19 GEG GL Trial Balance'!$L$10:$L$400,'C19 GEG GL Trial Balance'!$A$10:$A$400,$A64,'C19 GEG GL Trial Balance'!$D$10:$D$400,"Posting")</f>
        <v/>
      </c>
      <c r="L64" s="28">
        <f>SUMIFS('C19 GEG GL Trial Balance'!$M$10:$M$400,'C19 GEG GL Trial Balance'!$A$10:$A$400,$A64,'C19 GEG GL Trial Balance'!$D$10:$D$400,"Posting")</f>
        <v/>
      </c>
      <c r="M64" s="28">
        <f>SUMIFS('C19 GEG GL Trial Balance'!$N$10:$N$400,'C19 GEG GL Trial Balance'!$A$10:$A$400,$A64,'C19 GEG GL Trial Balance'!$D$10:$D$400,"Posting")</f>
        <v/>
      </c>
      <c r="N64" s="28">
        <f>SUMIFS('C19 GEG GL Trial Balance'!$O$10:$O$400,'C19 GEG GL Trial Balance'!$A$10:$A$400,$A64,'C19 GEG GL Trial Balance'!$D$10:$D$400,"Posting")</f>
        <v/>
      </c>
      <c r="O64" s="28">
        <f>SUMIFS('C19 GEG GL Trial Balance'!$P$10:$P$400,'C19 GEG GL Trial Balance'!$A$10:$A$400,$A64,'C19 GEG GL Trial Balance'!$D$10:$D$400,"Posting")</f>
        <v/>
      </c>
      <c r="P64" s="71">
        <f>SUM(D64:O64)</f>
        <v/>
      </c>
    </row>
    <row r="65">
      <c r="A65" s="45" t="inlineStr">
        <is>
          <t>6204</t>
        </is>
      </c>
      <c r="B65" s="10" t="inlineStr">
        <is>
          <t xml:space="preserve">   Perjalanan dinas</t>
        </is>
      </c>
      <c r="D65" s="28">
        <f>SUMIFS('C19 GEG GL Trial Balance'!$E$10:$E$400,'C19 GEG GL Trial Balance'!$A$10:$A$400,$A65,'C19 GEG GL Trial Balance'!$D$10:$D$400,"Posting")</f>
        <v/>
      </c>
      <c r="E65" s="28">
        <f>SUMIFS('C19 GEG GL Trial Balance'!$F$10:$F$400,'C19 GEG GL Trial Balance'!$A$10:$A$400,$A65,'C19 GEG GL Trial Balance'!$D$10:$D$400,"Posting")</f>
        <v/>
      </c>
      <c r="F65" s="28">
        <f>SUMIFS('C19 GEG GL Trial Balance'!$G$10:$G$400,'C19 GEG GL Trial Balance'!$A$10:$A$400,$A65,'C19 GEG GL Trial Balance'!$D$10:$D$400,"Posting")</f>
        <v/>
      </c>
      <c r="G65" s="28">
        <f>SUMIFS('C19 GEG GL Trial Balance'!$H$10:$H$400,'C19 GEG GL Trial Balance'!$A$10:$A$400,$A65,'C19 GEG GL Trial Balance'!$D$10:$D$400,"Posting")</f>
        <v/>
      </c>
      <c r="H65" s="28">
        <f>SUMIFS('C19 GEG GL Trial Balance'!$I$10:$I$400,'C19 GEG GL Trial Balance'!$A$10:$A$400,$A65,'C19 GEG GL Trial Balance'!$D$10:$D$400,"Posting")</f>
        <v/>
      </c>
      <c r="I65" s="28">
        <f>SUMIFS('C19 GEG GL Trial Balance'!$J$10:$J$400,'C19 GEG GL Trial Balance'!$A$10:$A$400,$A65,'C19 GEG GL Trial Balance'!$D$10:$D$400,"Posting")</f>
        <v/>
      </c>
      <c r="J65" s="28">
        <f>SUMIFS('C19 GEG GL Trial Balance'!$K$10:$K$400,'C19 GEG GL Trial Balance'!$A$10:$A$400,$A65,'C19 GEG GL Trial Balance'!$D$10:$D$400,"Posting")</f>
        <v/>
      </c>
      <c r="K65" s="28">
        <f>SUMIFS('C19 GEG GL Trial Balance'!$L$10:$L$400,'C19 GEG GL Trial Balance'!$A$10:$A$400,$A65,'C19 GEG GL Trial Balance'!$D$10:$D$400,"Posting")</f>
        <v/>
      </c>
      <c r="L65" s="28">
        <f>SUMIFS('C19 GEG GL Trial Balance'!$M$10:$M$400,'C19 GEG GL Trial Balance'!$A$10:$A$400,$A65,'C19 GEG GL Trial Balance'!$D$10:$D$400,"Posting")</f>
        <v/>
      </c>
      <c r="M65" s="28">
        <f>SUMIFS('C19 GEG GL Trial Balance'!$N$10:$N$400,'C19 GEG GL Trial Balance'!$A$10:$A$400,$A65,'C19 GEG GL Trial Balance'!$D$10:$D$400,"Posting")</f>
        <v/>
      </c>
      <c r="N65" s="28">
        <f>SUMIFS('C19 GEG GL Trial Balance'!$O$10:$O$400,'C19 GEG GL Trial Balance'!$A$10:$A$400,$A65,'C19 GEG GL Trial Balance'!$D$10:$D$400,"Posting")</f>
        <v/>
      </c>
      <c r="O65" s="28">
        <f>SUMIFS('C19 GEG GL Trial Balance'!$P$10:$P$400,'C19 GEG GL Trial Balance'!$A$10:$A$400,$A65,'C19 GEG GL Trial Balance'!$D$10:$D$400,"Posting")</f>
        <v/>
      </c>
      <c r="P65" s="71">
        <f>SUM(D65:O65)</f>
        <v/>
      </c>
    </row>
    <row r="66">
      <c r="A66" s="45" t="inlineStr">
        <is>
          <t>6205</t>
        </is>
      </c>
      <c r="B66" s="10" t="inlineStr">
        <is>
          <t xml:space="preserve">   Asuransi</t>
        </is>
      </c>
      <c r="D66" s="28">
        <f>SUMIFS('C19 GEG GL Trial Balance'!$E$10:$E$400,'C19 GEG GL Trial Balance'!$A$10:$A$400,$A66,'C19 GEG GL Trial Balance'!$D$10:$D$400,"Posting")</f>
        <v/>
      </c>
      <c r="E66" s="28">
        <f>SUMIFS('C19 GEG GL Trial Balance'!$F$10:$F$400,'C19 GEG GL Trial Balance'!$A$10:$A$400,$A66,'C19 GEG GL Trial Balance'!$D$10:$D$400,"Posting")</f>
        <v/>
      </c>
      <c r="F66" s="28">
        <f>SUMIFS('C19 GEG GL Trial Balance'!$G$10:$G$400,'C19 GEG GL Trial Balance'!$A$10:$A$400,$A66,'C19 GEG GL Trial Balance'!$D$10:$D$400,"Posting")</f>
        <v/>
      </c>
      <c r="G66" s="28">
        <f>SUMIFS('C19 GEG GL Trial Balance'!$H$10:$H$400,'C19 GEG GL Trial Balance'!$A$10:$A$400,$A66,'C19 GEG GL Trial Balance'!$D$10:$D$400,"Posting")</f>
        <v/>
      </c>
      <c r="H66" s="28">
        <f>SUMIFS('C19 GEG GL Trial Balance'!$I$10:$I$400,'C19 GEG GL Trial Balance'!$A$10:$A$400,$A66,'C19 GEG GL Trial Balance'!$D$10:$D$400,"Posting")</f>
        <v/>
      </c>
      <c r="I66" s="28">
        <f>SUMIFS('C19 GEG GL Trial Balance'!$J$10:$J$400,'C19 GEG GL Trial Balance'!$A$10:$A$400,$A66,'C19 GEG GL Trial Balance'!$D$10:$D$400,"Posting")</f>
        <v/>
      </c>
      <c r="J66" s="28">
        <f>SUMIFS('C19 GEG GL Trial Balance'!$K$10:$K$400,'C19 GEG GL Trial Balance'!$A$10:$A$400,$A66,'C19 GEG GL Trial Balance'!$D$10:$D$400,"Posting")</f>
        <v/>
      </c>
      <c r="K66" s="28">
        <f>SUMIFS('C19 GEG GL Trial Balance'!$L$10:$L$400,'C19 GEG GL Trial Balance'!$A$10:$A$400,$A66,'C19 GEG GL Trial Balance'!$D$10:$D$400,"Posting")</f>
        <v/>
      </c>
      <c r="L66" s="28">
        <f>SUMIFS('C19 GEG GL Trial Balance'!$M$10:$M$400,'C19 GEG GL Trial Balance'!$A$10:$A$400,$A66,'C19 GEG GL Trial Balance'!$D$10:$D$400,"Posting")</f>
        <v/>
      </c>
      <c r="M66" s="28">
        <f>SUMIFS('C19 GEG GL Trial Balance'!$N$10:$N$400,'C19 GEG GL Trial Balance'!$A$10:$A$400,$A66,'C19 GEG GL Trial Balance'!$D$10:$D$400,"Posting")</f>
        <v/>
      </c>
      <c r="N66" s="28">
        <f>SUMIFS('C19 GEG GL Trial Balance'!$O$10:$O$400,'C19 GEG GL Trial Balance'!$A$10:$A$400,$A66,'C19 GEG GL Trial Balance'!$D$10:$D$400,"Posting")</f>
        <v/>
      </c>
      <c r="O66" s="28">
        <f>SUMIFS('C19 GEG GL Trial Balance'!$P$10:$P$400,'C19 GEG GL Trial Balance'!$A$10:$A$400,$A66,'C19 GEG GL Trial Balance'!$D$10:$D$400,"Posting")</f>
        <v/>
      </c>
      <c r="P66" s="71">
        <f>SUM(D66:O66)</f>
        <v/>
      </c>
    </row>
    <row r="67">
      <c r="A67" s="45" t="inlineStr">
        <is>
          <t>6206</t>
        </is>
      </c>
      <c r="B67" s="10" t="inlineStr">
        <is>
          <t xml:space="preserve">   Pajak, perizinan &amp; iuran</t>
        </is>
      </c>
      <c r="D67" s="28">
        <f>SUMIFS('C19 GEG GL Trial Balance'!$E$10:$E$400,'C19 GEG GL Trial Balance'!$A$10:$A$400,$A67,'C19 GEG GL Trial Balance'!$D$10:$D$400,"Posting")</f>
        <v/>
      </c>
      <c r="E67" s="28">
        <f>SUMIFS('C19 GEG GL Trial Balance'!$F$10:$F$400,'C19 GEG GL Trial Balance'!$A$10:$A$400,$A67,'C19 GEG GL Trial Balance'!$D$10:$D$400,"Posting")</f>
        <v/>
      </c>
      <c r="F67" s="28">
        <f>SUMIFS('C19 GEG GL Trial Balance'!$G$10:$G$400,'C19 GEG GL Trial Balance'!$A$10:$A$400,$A67,'C19 GEG GL Trial Balance'!$D$10:$D$400,"Posting")</f>
        <v/>
      </c>
      <c r="G67" s="28">
        <f>SUMIFS('C19 GEG GL Trial Balance'!$H$10:$H$400,'C19 GEG GL Trial Balance'!$A$10:$A$400,$A67,'C19 GEG GL Trial Balance'!$D$10:$D$400,"Posting")</f>
        <v/>
      </c>
      <c r="H67" s="28">
        <f>SUMIFS('C19 GEG GL Trial Balance'!$I$10:$I$400,'C19 GEG GL Trial Balance'!$A$10:$A$400,$A67,'C19 GEG GL Trial Balance'!$D$10:$D$400,"Posting")</f>
        <v/>
      </c>
      <c r="I67" s="28">
        <f>SUMIFS('C19 GEG GL Trial Balance'!$J$10:$J$400,'C19 GEG GL Trial Balance'!$A$10:$A$400,$A67,'C19 GEG GL Trial Balance'!$D$10:$D$400,"Posting")</f>
        <v/>
      </c>
      <c r="J67" s="28">
        <f>SUMIFS('C19 GEG GL Trial Balance'!$K$10:$K$400,'C19 GEG GL Trial Balance'!$A$10:$A$400,$A67,'C19 GEG GL Trial Balance'!$D$10:$D$400,"Posting")</f>
        <v/>
      </c>
      <c r="K67" s="28">
        <f>SUMIFS('C19 GEG GL Trial Balance'!$L$10:$L$400,'C19 GEG GL Trial Balance'!$A$10:$A$400,$A67,'C19 GEG GL Trial Balance'!$D$10:$D$400,"Posting")</f>
        <v/>
      </c>
      <c r="L67" s="28">
        <f>SUMIFS('C19 GEG GL Trial Balance'!$M$10:$M$400,'C19 GEG GL Trial Balance'!$A$10:$A$400,$A67,'C19 GEG GL Trial Balance'!$D$10:$D$400,"Posting")</f>
        <v/>
      </c>
      <c r="M67" s="28">
        <f>SUMIFS('C19 GEG GL Trial Balance'!$N$10:$N$400,'C19 GEG GL Trial Balance'!$A$10:$A$400,$A67,'C19 GEG GL Trial Balance'!$D$10:$D$400,"Posting")</f>
        <v/>
      </c>
      <c r="N67" s="28">
        <f>SUMIFS('C19 GEG GL Trial Balance'!$O$10:$O$400,'C19 GEG GL Trial Balance'!$A$10:$A$400,$A67,'C19 GEG GL Trial Balance'!$D$10:$D$400,"Posting")</f>
        <v/>
      </c>
      <c r="O67" s="28">
        <f>SUMIFS('C19 GEG GL Trial Balance'!$P$10:$P$400,'C19 GEG GL Trial Balance'!$A$10:$A$400,$A67,'C19 GEG GL Trial Balance'!$D$10:$D$400,"Posting")</f>
        <v/>
      </c>
      <c r="P67" s="71">
        <f>SUM(D67:O67)</f>
        <v/>
      </c>
    </row>
    <row r="68">
      <c r="A68" s="45" t="inlineStr">
        <is>
          <t>6207</t>
        </is>
      </c>
      <c r="B68" s="10" t="inlineStr">
        <is>
          <t xml:space="preserve">   Teknologi informasi &amp; komunikasi</t>
        </is>
      </c>
      <c r="D68" s="28">
        <f>SUMIFS('C19 GEG GL Trial Balance'!$E$10:$E$400,'C19 GEG GL Trial Balance'!$A$10:$A$400,$A68,'C19 GEG GL Trial Balance'!$D$10:$D$400,"Posting")</f>
        <v/>
      </c>
      <c r="E68" s="28">
        <f>SUMIFS('C19 GEG GL Trial Balance'!$F$10:$F$400,'C19 GEG GL Trial Balance'!$A$10:$A$400,$A68,'C19 GEG GL Trial Balance'!$D$10:$D$400,"Posting")</f>
        <v/>
      </c>
      <c r="F68" s="28">
        <f>SUMIFS('C19 GEG GL Trial Balance'!$G$10:$G$400,'C19 GEG GL Trial Balance'!$A$10:$A$400,$A68,'C19 GEG GL Trial Balance'!$D$10:$D$400,"Posting")</f>
        <v/>
      </c>
      <c r="G68" s="28">
        <f>SUMIFS('C19 GEG GL Trial Balance'!$H$10:$H$400,'C19 GEG GL Trial Balance'!$A$10:$A$400,$A68,'C19 GEG GL Trial Balance'!$D$10:$D$400,"Posting")</f>
        <v/>
      </c>
      <c r="H68" s="28">
        <f>SUMIFS('C19 GEG GL Trial Balance'!$I$10:$I$400,'C19 GEG GL Trial Balance'!$A$10:$A$400,$A68,'C19 GEG GL Trial Balance'!$D$10:$D$400,"Posting")</f>
        <v/>
      </c>
      <c r="I68" s="28">
        <f>SUMIFS('C19 GEG GL Trial Balance'!$J$10:$J$400,'C19 GEG GL Trial Balance'!$A$10:$A$400,$A68,'C19 GEG GL Trial Balance'!$D$10:$D$400,"Posting")</f>
        <v/>
      </c>
      <c r="J68" s="28">
        <f>SUMIFS('C19 GEG GL Trial Balance'!$K$10:$K$400,'C19 GEG GL Trial Balance'!$A$10:$A$400,$A68,'C19 GEG GL Trial Balance'!$D$10:$D$400,"Posting")</f>
        <v/>
      </c>
      <c r="K68" s="28">
        <f>SUMIFS('C19 GEG GL Trial Balance'!$L$10:$L$400,'C19 GEG GL Trial Balance'!$A$10:$A$400,$A68,'C19 GEG GL Trial Balance'!$D$10:$D$400,"Posting")</f>
        <v/>
      </c>
      <c r="L68" s="28">
        <f>SUMIFS('C19 GEG GL Trial Balance'!$M$10:$M$400,'C19 GEG GL Trial Balance'!$A$10:$A$400,$A68,'C19 GEG GL Trial Balance'!$D$10:$D$400,"Posting")</f>
        <v/>
      </c>
      <c r="M68" s="28">
        <f>SUMIFS('C19 GEG GL Trial Balance'!$N$10:$N$400,'C19 GEG GL Trial Balance'!$A$10:$A$400,$A68,'C19 GEG GL Trial Balance'!$D$10:$D$400,"Posting")</f>
        <v/>
      </c>
      <c r="N68" s="28">
        <f>SUMIFS('C19 GEG GL Trial Balance'!$O$10:$O$400,'C19 GEG GL Trial Balance'!$A$10:$A$400,$A68,'C19 GEG GL Trial Balance'!$D$10:$D$400,"Posting")</f>
        <v/>
      </c>
      <c r="O68" s="28">
        <f>SUMIFS('C19 GEG GL Trial Balance'!$P$10:$P$400,'C19 GEG GL Trial Balance'!$A$10:$A$400,$A68,'C19 GEG GL Trial Balance'!$D$10:$D$400,"Posting")</f>
        <v/>
      </c>
      <c r="P68" s="71">
        <f>SUM(D68:O68)</f>
        <v/>
      </c>
    </row>
    <row r="69">
      <c r="A69" s="45" t="inlineStr">
        <is>
          <t>6208</t>
        </is>
      </c>
      <c r="B69" s="10" t="inlineStr">
        <is>
          <t xml:space="preserve">   Penyusutan aset kantor</t>
        </is>
      </c>
      <c r="D69" s="28">
        <f>SUMIFS('C19 GEG GL Trial Balance'!$E$10:$E$400,'C19 GEG GL Trial Balance'!$A$10:$A$400,$A69,'C19 GEG GL Trial Balance'!$D$10:$D$400,"Posting")</f>
        <v/>
      </c>
      <c r="E69" s="28">
        <f>SUMIFS('C19 GEG GL Trial Balance'!$F$10:$F$400,'C19 GEG GL Trial Balance'!$A$10:$A$400,$A69,'C19 GEG GL Trial Balance'!$D$10:$D$400,"Posting")</f>
        <v/>
      </c>
      <c r="F69" s="28">
        <f>SUMIFS('C19 GEG GL Trial Balance'!$G$10:$G$400,'C19 GEG GL Trial Balance'!$A$10:$A$400,$A69,'C19 GEG GL Trial Balance'!$D$10:$D$400,"Posting")</f>
        <v/>
      </c>
      <c r="G69" s="28">
        <f>SUMIFS('C19 GEG GL Trial Balance'!$H$10:$H$400,'C19 GEG GL Trial Balance'!$A$10:$A$400,$A69,'C19 GEG GL Trial Balance'!$D$10:$D$400,"Posting")</f>
        <v/>
      </c>
      <c r="H69" s="28">
        <f>SUMIFS('C19 GEG GL Trial Balance'!$I$10:$I$400,'C19 GEG GL Trial Balance'!$A$10:$A$400,$A69,'C19 GEG GL Trial Balance'!$D$10:$D$400,"Posting")</f>
        <v/>
      </c>
      <c r="I69" s="28">
        <f>SUMIFS('C19 GEG GL Trial Balance'!$J$10:$J$400,'C19 GEG GL Trial Balance'!$A$10:$A$400,$A69,'C19 GEG GL Trial Balance'!$D$10:$D$400,"Posting")</f>
        <v/>
      </c>
      <c r="J69" s="28">
        <f>SUMIFS('C19 GEG GL Trial Balance'!$K$10:$K$400,'C19 GEG GL Trial Balance'!$A$10:$A$400,$A69,'C19 GEG GL Trial Balance'!$D$10:$D$400,"Posting")</f>
        <v/>
      </c>
      <c r="K69" s="28">
        <f>SUMIFS('C19 GEG GL Trial Balance'!$L$10:$L$400,'C19 GEG GL Trial Balance'!$A$10:$A$400,$A69,'C19 GEG GL Trial Balance'!$D$10:$D$400,"Posting")</f>
        <v/>
      </c>
      <c r="L69" s="28">
        <f>SUMIFS('C19 GEG GL Trial Balance'!$M$10:$M$400,'C19 GEG GL Trial Balance'!$A$10:$A$400,$A69,'C19 GEG GL Trial Balance'!$D$10:$D$400,"Posting")</f>
        <v/>
      </c>
      <c r="M69" s="28">
        <f>SUMIFS('C19 GEG GL Trial Balance'!$N$10:$N$400,'C19 GEG GL Trial Balance'!$A$10:$A$400,$A69,'C19 GEG GL Trial Balance'!$D$10:$D$400,"Posting")</f>
        <v/>
      </c>
      <c r="N69" s="28">
        <f>SUMIFS('C19 GEG GL Trial Balance'!$O$10:$O$400,'C19 GEG GL Trial Balance'!$A$10:$A$400,$A69,'C19 GEG GL Trial Balance'!$D$10:$D$400,"Posting")</f>
        <v/>
      </c>
      <c r="O69" s="28">
        <f>SUMIFS('C19 GEG GL Trial Balance'!$P$10:$P$400,'C19 GEG GL Trial Balance'!$A$10:$A$400,$A69,'C19 GEG GL Trial Balance'!$D$10:$D$400,"Posting")</f>
        <v/>
      </c>
      <c r="P69" s="71">
        <f>SUM(D69:O69)</f>
        <v/>
      </c>
    </row>
    <row r="70">
      <c r="A70" s="45" t="inlineStr">
        <is>
          <t>6209</t>
        </is>
      </c>
      <c r="B70" s="10" t="inlineStr">
        <is>
          <t xml:space="preserve">   Beban umum lainnya</t>
        </is>
      </c>
      <c r="D70" s="28">
        <f>SUMIFS('C19 GEG GL Trial Balance'!$E$10:$E$400,'C19 GEG GL Trial Balance'!$A$10:$A$400,$A70,'C19 GEG GL Trial Balance'!$D$10:$D$400,"Posting")</f>
        <v/>
      </c>
      <c r="E70" s="28">
        <f>SUMIFS('C19 GEG GL Trial Balance'!$F$10:$F$400,'C19 GEG GL Trial Balance'!$A$10:$A$400,$A70,'C19 GEG GL Trial Balance'!$D$10:$D$400,"Posting")</f>
        <v/>
      </c>
      <c r="F70" s="28">
        <f>SUMIFS('C19 GEG GL Trial Balance'!$G$10:$G$400,'C19 GEG GL Trial Balance'!$A$10:$A$400,$A70,'C19 GEG GL Trial Balance'!$D$10:$D$400,"Posting")</f>
        <v/>
      </c>
      <c r="G70" s="28">
        <f>SUMIFS('C19 GEG GL Trial Balance'!$H$10:$H$400,'C19 GEG GL Trial Balance'!$A$10:$A$400,$A70,'C19 GEG GL Trial Balance'!$D$10:$D$400,"Posting")</f>
        <v/>
      </c>
      <c r="H70" s="28">
        <f>SUMIFS('C19 GEG GL Trial Balance'!$I$10:$I$400,'C19 GEG GL Trial Balance'!$A$10:$A$400,$A70,'C19 GEG GL Trial Balance'!$D$10:$D$400,"Posting")</f>
        <v/>
      </c>
      <c r="I70" s="28">
        <f>SUMIFS('C19 GEG GL Trial Balance'!$J$10:$J$400,'C19 GEG GL Trial Balance'!$A$10:$A$400,$A70,'C19 GEG GL Trial Balance'!$D$10:$D$400,"Posting")</f>
        <v/>
      </c>
      <c r="J70" s="28">
        <f>SUMIFS('C19 GEG GL Trial Balance'!$K$10:$K$400,'C19 GEG GL Trial Balance'!$A$10:$A$400,$A70,'C19 GEG GL Trial Balance'!$D$10:$D$400,"Posting")</f>
        <v/>
      </c>
      <c r="K70" s="28">
        <f>SUMIFS('C19 GEG GL Trial Balance'!$L$10:$L$400,'C19 GEG GL Trial Balance'!$A$10:$A$400,$A70,'C19 GEG GL Trial Balance'!$D$10:$D$400,"Posting")</f>
        <v/>
      </c>
      <c r="L70" s="28">
        <f>SUMIFS('C19 GEG GL Trial Balance'!$M$10:$M$400,'C19 GEG GL Trial Balance'!$A$10:$A$400,$A70,'C19 GEG GL Trial Balance'!$D$10:$D$400,"Posting")</f>
        <v/>
      </c>
      <c r="M70" s="28">
        <f>SUMIFS('C19 GEG GL Trial Balance'!$N$10:$N$400,'C19 GEG GL Trial Balance'!$A$10:$A$400,$A70,'C19 GEG GL Trial Balance'!$D$10:$D$400,"Posting")</f>
        <v/>
      </c>
      <c r="N70" s="28">
        <f>SUMIFS('C19 GEG GL Trial Balance'!$O$10:$O$400,'C19 GEG GL Trial Balance'!$A$10:$A$400,$A70,'C19 GEG GL Trial Balance'!$D$10:$D$400,"Posting")</f>
        <v/>
      </c>
      <c r="O70" s="28">
        <f>SUMIFS('C19 GEG GL Trial Balance'!$P$10:$P$400,'C19 GEG GL Trial Balance'!$A$10:$A$400,$A70,'C19 GEG GL Trial Balance'!$D$10:$D$400,"Posting")</f>
        <v/>
      </c>
      <c r="P70" s="71">
        <f>SUM(D70:O70)</f>
        <v/>
      </c>
    </row>
    <row r="71">
      <c r="A71" s="45" t="inlineStr"/>
      <c r="B71" s="20" t="inlineStr">
        <is>
          <t xml:space="preserve">   Subtotal beban umum &amp; administrasi</t>
        </is>
      </c>
      <c r="C71" s="23" t="n"/>
      <c r="D71" s="22">
        <f>D62+D63+D64+D65+D66+D67+D68+D69+D70</f>
        <v/>
      </c>
      <c r="E71" s="22">
        <f>E62+E63+E64+E65+E66+E67+E68+E69+E70</f>
        <v/>
      </c>
      <c r="F71" s="22">
        <f>F62+F63+F64+F65+F66+F67+F68+F69+F70</f>
        <v/>
      </c>
      <c r="G71" s="22">
        <f>G62+G63+G64+G65+G66+G67+G68+G69+G70</f>
        <v/>
      </c>
      <c r="H71" s="22">
        <f>H62+H63+H64+H65+H66+H67+H68+H69+H70</f>
        <v/>
      </c>
      <c r="I71" s="22">
        <f>I62+I63+I64+I65+I66+I67+I68+I69+I70</f>
        <v/>
      </c>
      <c r="J71" s="22">
        <f>J62+J63+J64+J65+J66+J67+J68+J69+J70</f>
        <v/>
      </c>
      <c r="K71" s="22">
        <f>K62+K63+K64+K65+K66+K67+K68+K69+K70</f>
        <v/>
      </c>
      <c r="L71" s="22">
        <f>L62+L63+L64+L65+L66+L67+L68+L69+L70</f>
        <v/>
      </c>
      <c r="M71" s="22">
        <f>M62+M63+M64+M65+M66+M67+M68+M69+M70</f>
        <v/>
      </c>
      <c r="N71" s="22">
        <f>N62+N63+N64+N65+N66+N67+N68+N69+N70</f>
        <v/>
      </c>
      <c r="O71" s="22">
        <f>O62+O63+O64+O65+O66+O67+O68+O69+O70</f>
        <v/>
      </c>
      <c r="P71" s="22">
        <f>P62+P63+P64+P65+P66+P67+P68+P69+P70</f>
        <v/>
      </c>
    </row>
    <row r="72">
      <c r="A72" s="82" t="inlineStr"/>
      <c r="B72" s="31" t="inlineStr">
        <is>
          <t>TOTAL BEBAN USAHA</t>
        </is>
      </c>
      <c r="C72" s="32" t="n"/>
      <c r="D72" s="33">
        <f>D60+D71</f>
        <v/>
      </c>
      <c r="E72" s="33">
        <f>E60+E71</f>
        <v/>
      </c>
      <c r="F72" s="33">
        <f>F60+F71</f>
        <v/>
      </c>
      <c r="G72" s="33">
        <f>G60+G71</f>
        <v/>
      </c>
      <c r="H72" s="33">
        <f>H60+H71</f>
        <v/>
      </c>
      <c r="I72" s="33">
        <f>I60+I71</f>
        <v/>
      </c>
      <c r="J72" s="33">
        <f>J60+J71</f>
        <v/>
      </c>
      <c r="K72" s="33">
        <f>K60+K71</f>
        <v/>
      </c>
      <c r="L72" s="33">
        <f>L60+L71</f>
        <v/>
      </c>
      <c r="M72" s="33">
        <f>M60+M71</f>
        <v/>
      </c>
      <c r="N72" s="33">
        <f>N60+N71</f>
        <v/>
      </c>
      <c r="O72" s="33">
        <f>O60+O71</f>
        <v/>
      </c>
      <c r="P72" s="33">
        <f>P60+P71</f>
        <v/>
      </c>
    </row>
    <row r="73">
      <c r="A73" s="82" t="inlineStr"/>
      <c r="B73" s="31" t="inlineStr">
        <is>
          <t>LABA USAHA</t>
        </is>
      </c>
      <c r="C73" s="32" t="n"/>
      <c r="D73" s="33">
        <f>D50-D72</f>
        <v/>
      </c>
      <c r="E73" s="33">
        <f>E50-E72</f>
        <v/>
      </c>
      <c r="F73" s="33">
        <f>F50-F72</f>
        <v/>
      </c>
      <c r="G73" s="33">
        <f>G50-G72</f>
        <v/>
      </c>
      <c r="H73" s="33">
        <f>H50-H72</f>
        <v/>
      </c>
      <c r="I73" s="33">
        <f>I50-I72</f>
        <v/>
      </c>
      <c r="J73" s="33">
        <f>J50-J72</f>
        <v/>
      </c>
      <c r="K73" s="33">
        <f>K50-K72</f>
        <v/>
      </c>
      <c r="L73" s="33">
        <f>L50-L72</f>
        <v/>
      </c>
      <c r="M73" s="33">
        <f>M50-M72</f>
        <v/>
      </c>
      <c r="N73" s="33">
        <f>N50-N72</f>
        <v/>
      </c>
      <c r="O73" s="33">
        <f>O50-O72</f>
        <v/>
      </c>
      <c r="P73" s="33">
        <f>P50-P72</f>
        <v/>
      </c>
    </row>
    <row r="74">
      <c r="A74" s="45" t="inlineStr"/>
      <c r="B74" s="37" t="inlineStr">
        <is>
          <t xml:space="preserve">   Marjin laba usaha</t>
        </is>
      </c>
      <c r="D74" s="29">
        <f>IFERROR(D73/D14,0)</f>
        <v/>
      </c>
      <c r="E74" s="29">
        <f>IFERROR(E73/E14,0)</f>
        <v/>
      </c>
      <c r="F74" s="29">
        <f>IFERROR(F73/F14,0)</f>
        <v/>
      </c>
      <c r="G74" s="29">
        <f>IFERROR(G73/G14,0)</f>
        <v/>
      </c>
      <c r="H74" s="29">
        <f>IFERROR(H73/H14,0)</f>
        <v/>
      </c>
      <c r="I74" s="29">
        <f>IFERROR(I73/I14,0)</f>
        <v/>
      </c>
      <c r="J74" s="29">
        <f>IFERROR(J73/J14,0)</f>
        <v/>
      </c>
      <c r="K74" s="29">
        <f>IFERROR(K73/K14,0)</f>
        <v/>
      </c>
      <c r="L74" s="29">
        <f>IFERROR(L73/L14,0)</f>
        <v/>
      </c>
      <c r="M74" s="29">
        <f>IFERROR(M73/M14,0)</f>
        <v/>
      </c>
      <c r="N74" s="29">
        <f>IFERROR(N73/N14,0)</f>
        <v/>
      </c>
      <c r="O74" s="29">
        <f>IFERROR(O73/O14,0)</f>
        <v/>
      </c>
      <c r="P74" s="29">
        <f>IFERROR(P73/P14,0)</f>
        <v/>
      </c>
    </row>
    <row r="75">
      <c r="A75" s="4" t="inlineStr">
        <is>
          <t>PENDAPATAN (BEBAN) LAIN-LAIN</t>
        </is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</row>
    <row r="76">
      <c r="A76" s="45" t="inlineStr">
        <is>
          <t>7101</t>
        </is>
      </c>
      <c r="B76" s="10" t="inlineStr">
        <is>
          <t xml:space="preserve">   Pendapatan bunga</t>
        </is>
      </c>
      <c r="D76" s="28">
        <f>SUMIFS('C19 GEG GL Trial Balance'!$E$10:$E$400,'C19 GEG GL Trial Balance'!$A$10:$A$400,$A76,'C19 GEG GL Trial Balance'!$D$10:$D$400,"Posting")</f>
        <v/>
      </c>
      <c r="E76" s="28">
        <f>SUMIFS('C19 GEG GL Trial Balance'!$F$10:$F$400,'C19 GEG GL Trial Balance'!$A$10:$A$400,$A76,'C19 GEG GL Trial Balance'!$D$10:$D$400,"Posting")</f>
        <v/>
      </c>
      <c r="F76" s="28">
        <f>SUMIFS('C19 GEG GL Trial Balance'!$G$10:$G$400,'C19 GEG GL Trial Balance'!$A$10:$A$400,$A76,'C19 GEG GL Trial Balance'!$D$10:$D$400,"Posting")</f>
        <v/>
      </c>
      <c r="G76" s="28">
        <f>SUMIFS('C19 GEG GL Trial Balance'!$H$10:$H$400,'C19 GEG GL Trial Balance'!$A$10:$A$400,$A76,'C19 GEG GL Trial Balance'!$D$10:$D$400,"Posting")</f>
        <v/>
      </c>
      <c r="H76" s="28">
        <f>SUMIFS('C19 GEG GL Trial Balance'!$I$10:$I$400,'C19 GEG GL Trial Balance'!$A$10:$A$400,$A76,'C19 GEG GL Trial Balance'!$D$10:$D$400,"Posting")</f>
        <v/>
      </c>
      <c r="I76" s="28">
        <f>SUMIFS('C19 GEG GL Trial Balance'!$J$10:$J$400,'C19 GEG GL Trial Balance'!$A$10:$A$400,$A76,'C19 GEG GL Trial Balance'!$D$10:$D$400,"Posting")</f>
        <v/>
      </c>
      <c r="J76" s="28">
        <f>SUMIFS('C19 GEG GL Trial Balance'!$K$10:$K$400,'C19 GEG GL Trial Balance'!$A$10:$A$400,$A76,'C19 GEG GL Trial Balance'!$D$10:$D$400,"Posting")</f>
        <v/>
      </c>
      <c r="K76" s="28">
        <f>SUMIFS('C19 GEG GL Trial Balance'!$L$10:$L$400,'C19 GEG GL Trial Balance'!$A$10:$A$400,$A76,'C19 GEG GL Trial Balance'!$D$10:$D$400,"Posting")</f>
        <v/>
      </c>
      <c r="L76" s="28">
        <f>SUMIFS('C19 GEG GL Trial Balance'!$M$10:$M$400,'C19 GEG GL Trial Balance'!$A$10:$A$400,$A76,'C19 GEG GL Trial Balance'!$D$10:$D$400,"Posting")</f>
        <v/>
      </c>
      <c r="M76" s="28">
        <f>SUMIFS('C19 GEG GL Trial Balance'!$N$10:$N$400,'C19 GEG GL Trial Balance'!$A$10:$A$400,$A76,'C19 GEG GL Trial Balance'!$D$10:$D$400,"Posting")</f>
        <v/>
      </c>
      <c r="N76" s="28">
        <f>SUMIFS('C19 GEG GL Trial Balance'!$O$10:$O$400,'C19 GEG GL Trial Balance'!$A$10:$A$400,$A76,'C19 GEG GL Trial Balance'!$D$10:$D$400,"Posting")</f>
        <v/>
      </c>
      <c r="O76" s="28">
        <f>SUMIFS('C19 GEG GL Trial Balance'!$P$10:$P$400,'C19 GEG GL Trial Balance'!$A$10:$A$400,$A76,'C19 GEG GL Trial Balance'!$D$10:$D$400,"Posting")</f>
        <v/>
      </c>
      <c r="P76" s="71">
        <f>SUM(D76:O76)</f>
        <v/>
      </c>
    </row>
    <row r="77">
      <c r="A77" s="45" t="inlineStr">
        <is>
          <t>7201</t>
        </is>
      </c>
      <c r="B77" s="10" t="inlineStr">
        <is>
          <t xml:space="preserve">   Beban keuangan (isi negatif)</t>
        </is>
      </c>
      <c r="D77" s="28">
        <f>SUMIFS('C19 GEG GL Trial Balance'!$E$10:$E$400,'C19 GEG GL Trial Balance'!$A$10:$A$400,$A77,'C19 GEG GL Trial Balance'!$D$10:$D$400,"Posting")</f>
        <v/>
      </c>
      <c r="E77" s="28">
        <f>SUMIFS('C19 GEG GL Trial Balance'!$F$10:$F$400,'C19 GEG GL Trial Balance'!$A$10:$A$400,$A77,'C19 GEG GL Trial Balance'!$D$10:$D$400,"Posting")</f>
        <v/>
      </c>
      <c r="F77" s="28">
        <f>SUMIFS('C19 GEG GL Trial Balance'!$G$10:$G$400,'C19 GEG GL Trial Balance'!$A$10:$A$400,$A77,'C19 GEG GL Trial Balance'!$D$10:$D$400,"Posting")</f>
        <v/>
      </c>
      <c r="G77" s="28">
        <f>SUMIFS('C19 GEG GL Trial Balance'!$H$10:$H$400,'C19 GEG GL Trial Balance'!$A$10:$A$400,$A77,'C19 GEG GL Trial Balance'!$D$10:$D$400,"Posting")</f>
        <v/>
      </c>
      <c r="H77" s="28">
        <f>SUMIFS('C19 GEG GL Trial Balance'!$I$10:$I$400,'C19 GEG GL Trial Balance'!$A$10:$A$400,$A77,'C19 GEG GL Trial Balance'!$D$10:$D$400,"Posting")</f>
        <v/>
      </c>
      <c r="I77" s="28">
        <f>SUMIFS('C19 GEG GL Trial Balance'!$J$10:$J$400,'C19 GEG GL Trial Balance'!$A$10:$A$400,$A77,'C19 GEG GL Trial Balance'!$D$10:$D$400,"Posting")</f>
        <v/>
      </c>
      <c r="J77" s="28">
        <f>SUMIFS('C19 GEG GL Trial Balance'!$K$10:$K$400,'C19 GEG GL Trial Balance'!$A$10:$A$400,$A77,'C19 GEG GL Trial Balance'!$D$10:$D$400,"Posting")</f>
        <v/>
      </c>
      <c r="K77" s="28">
        <f>SUMIFS('C19 GEG GL Trial Balance'!$L$10:$L$400,'C19 GEG GL Trial Balance'!$A$10:$A$400,$A77,'C19 GEG GL Trial Balance'!$D$10:$D$400,"Posting")</f>
        <v/>
      </c>
      <c r="L77" s="28">
        <f>SUMIFS('C19 GEG GL Trial Balance'!$M$10:$M$400,'C19 GEG GL Trial Balance'!$A$10:$A$400,$A77,'C19 GEG GL Trial Balance'!$D$10:$D$400,"Posting")</f>
        <v/>
      </c>
      <c r="M77" s="28">
        <f>SUMIFS('C19 GEG GL Trial Balance'!$N$10:$N$400,'C19 GEG GL Trial Balance'!$A$10:$A$400,$A77,'C19 GEG GL Trial Balance'!$D$10:$D$400,"Posting")</f>
        <v/>
      </c>
      <c r="N77" s="28">
        <f>SUMIFS('C19 GEG GL Trial Balance'!$O$10:$O$400,'C19 GEG GL Trial Balance'!$A$10:$A$400,$A77,'C19 GEG GL Trial Balance'!$D$10:$D$400,"Posting")</f>
        <v/>
      </c>
      <c r="O77" s="28">
        <f>SUMIFS('C19 GEG GL Trial Balance'!$P$10:$P$400,'C19 GEG GL Trial Balance'!$A$10:$A$400,$A77,'C19 GEG GL Trial Balance'!$D$10:$D$400,"Posting")</f>
        <v/>
      </c>
      <c r="P77" s="71">
        <f>SUM(D77:O77)</f>
        <v/>
      </c>
    </row>
    <row r="78">
      <c r="A78" s="45" t="inlineStr">
        <is>
          <t>7301</t>
        </is>
      </c>
      <c r="B78" s="10" t="inlineStr">
        <is>
          <t xml:space="preserve">   Laba (rugi) selisih kurs</t>
        </is>
      </c>
      <c r="D78" s="28">
        <f>SUMIFS('C19 GEG GL Trial Balance'!$E$10:$E$400,'C19 GEG GL Trial Balance'!$A$10:$A$400,$A78,'C19 GEG GL Trial Balance'!$D$10:$D$400,"Posting")</f>
        <v/>
      </c>
      <c r="E78" s="28">
        <f>SUMIFS('C19 GEG GL Trial Balance'!$F$10:$F$400,'C19 GEG GL Trial Balance'!$A$10:$A$400,$A78,'C19 GEG GL Trial Balance'!$D$10:$D$400,"Posting")</f>
        <v/>
      </c>
      <c r="F78" s="28">
        <f>SUMIFS('C19 GEG GL Trial Balance'!$G$10:$G$400,'C19 GEG GL Trial Balance'!$A$10:$A$400,$A78,'C19 GEG GL Trial Balance'!$D$10:$D$400,"Posting")</f>
        <v/>
      </c>
      <c r="G78" s="28">
        <f>SUMIFS('C19 GEG GL Trial Balance'!$H$10:$H$400,'C19 GEG GL Trial Balance'!$A$10:$A$400,$A78,'C19 GEG GL Trial Balance'!$D$10:$D$400,"Posting")</f>
        <v/>
      </c>
      <c r="H78" s="28">
        <f>SUMIFS('C19 GEG GL Trial Balance'!$I$10:$I$400,'C19 GEG GL Trial Balance'!$A$10:$A$400,$A78,'C19 GEG GL Trial Balance'!$D$10:$D$400,"Posting")</f>
        <v/>
      </c>
      <c r="I78" s="28">
        <f>SUMIFS('C19 GEG GL Trial Balance'!$J$10:$J$400,'C19 GEG GL Trial Balance'!$A$10:$A$400,$A78,'C19 GEG GL Trial Balance'!$D$10:$D$400,"Posting")</f>
        <v/>
      </c>
      <c r="J78" s="28">
        <f>SUMIFS('C19 GEG GL Trial Balance'!$K$10:$K$400,'C19 GEG GL Trial Balance'!$A$10:$A$400,$A78,'C19 GEG GL Trial Balance'!$D$10:$D$400,"Posting")</f>
        <v/>
      </c>
      <c r="K78" s="28">
        <f>SUMIFS('C19 GEG GL Trial Balance'!$L$10:$L$400,'C19 GEG GL Trial Balance'!$A$10:$A$400,$A78,'C19 GEG GL Trial Balance'!$D$10:$D$400,"Posting")</f>
        <v/>
      </c>
      <c r="L78" s="28">
        <f>SUMIFS('C19 GEG GL Trial Balance'!$M$10:$M$400,'C19 GEG GL Trial Balance'!$A$10:$A$400,$A78,'C19 GEG GL Trial Balance'!$D$10:$D$400,"Posting")</f>
        <v/>
      </c>
      <c r="M78" s="28">
        <f>SUMIFS('C19 GEG GL Trial Balance'!$N$10:$N$400,'C19 GEG GL Trial Balance'!$A$10:$A$400,$A78,'C19 GEG GL Trial Balance'!$D$10:$D$400,"Posting")</f>
        <v/>
      </c>
      <c r="N78" s="28">
        <f>SUMIFS('C19 GEG GL Trial Balance'!$O$10:$O$400,'C19 GEG GL Trial Balance'!$A$10:$A$400,$A78,'C19 GEG GL Trial Balance'!$D$10:$D$400,"Posting")</f>
        <v/>
      </c>
      <c r="O78" s="28">
        <f>SUMIFS('C19 GEG GL Trial Balance'!$P$10:$P$400,'C19 GEG GL Trial Balance'!$A$10:$A$400,$A78,'C19 GEG GL Trial Balance'!$D$10:$D$400,"Posting")</f>
        <v/>
      </c>
      <c r="P78" s="71">
        <f>SUM(D78:O78)</f>
        <v/>
      </c>
    </row>
    <row r="79">
      <c r="A79" s="45" t="inlineStr">
        <is>
          <t>7401</t>
        </is>
      </c>
      <c r="B79" s="10" t="inlineStr">
        <is>
          <t xml:space="preserve">   Lain-lain – neto</t>
        </is>
      </c>
      <c r="D79" s="28">
        <f>SUMIFS('C19 GEG GL Trial Balance'!$E$10:$E$400,'C19 GEG GL Trial Balance'!$A$10:$A$400,$A79,'C19 GEG GL Trial Balance'!$D$10:$D$400,"Posting")</f>
        <v/>
      </c>
      <c r="E79" s="28">
        <f>SUMIFS('C19 GEG GL Trial Balance'!$F$10:$F$400,'C19 GEG GL Trial Balance'!$A$10:$A$400,$A79,'C19 GEG GL Trial Balance'!$D$10:$D$400,"Posting")</f>
        <v/>
      </c>
      <c r="F79" s="28">
        <f>SUMIFS('C19 GEG GL Trial Balance'!$G$10:$G$400,'C19 GEG GL Trial Balance'!$A$10:$A$400,$A79,'C19 GEG GL Trial Balance'!$D$10:$D$400,"Posting")</f>
        <v/>
      </c>
      <c r="G79" s="28">
        <f>SUMIFS('C19 GEG GL Trial Balance'!$H$10:$H$400,'C19 GEG GL Trial Balance'!$A$10:$A$400,$A79,'C19 GEG GL Trial Balance'!$D$10:$D$400,"Posting")</f>
        <v/>
      </c>
      <c r="H79" s="28">
        <f>SUMIFS('C19 GEG GL Trial Balance'!$I$10:$I$400,'C19 GEG GL Trial Balance'!$A$10:$A$400,$A79,'C19 GEG GL Trial Balance'!$D$10:$D$400,"Posting")</f>
        <v/>
      </c>
      <c r="I79" s="28">
        <f>SUMIFS('C19 GEG GL Trial Balance'!$J$10:$J$400,'C19 GEG GL Trial Balance'!$A$10:$A$400,$A79,'C19 GEG GL Trial Balance'!$D$10:$D$400,"Posting")</f>
        <v/>
      </c>
      <c r="J79" s="28">
        <f>SUMIFS('C19 GEG GL Trial Balance'!$K$10:$K$400,'C19 GEG GL Trial Balance'!$A$10:$A$400,$A79,'C19 GEG GL Trial Balance'!$D$10:$D$400,"Posting")</f>
        <v/>
      </c>
      <c r="K79" s="28">
        <f>SUMIFS('C19 GEG GL Trial Balance'!$L$10:$L$400,'C19 GEG GL Trial Balance'!$A$10:$A$400,$A79,'C19 GEG GL Trial Balance'!$D$10:$D$400,"Posting")</f>
        <v/>
      </c>
      <c r="L79" s="28">
        <f>SUMIFS('C19 GEG GL Trial Balance'!$M$10:$M$400,'C19 GEG GL Trial Balance'!$A$10:$A$400,$A79,'C19 GEG GL Trial Balance'!$D$10:$D$400,"Posting")</f>
        <v/>
      </c>
      <c r="M79" s="28">
        <f>SUMIFS('C19 GEG GL Trial Balance'!$N$10:$N$400,'C19 GEG GL Trial Balance'!$A$10:$A$400,$A79,'C19 GEG GL Trial Balance'!$D$10:$D$400,"Posting")</f>
        <v/>
      </c>
      <c r="N79" s="28">
        <f>SUMIFS('C19 GEG GL Trial Balance'!$O$10:$O$400,'C19 GEG GL Trial Balance'!$A$10:$A$400,$A79,'C19 GEG GL Trial Balance'!$D$10:$D$400,"Posting")</f>
        <v/>
      </c>
      <c r="O79" s="28">
        <f>SUMIFS('C19 GEG GL Trial Balance'!$P$10:$P$400,'C19 GEG GL Trial Balance'!$A$10:$A$400,$A79,'C19 GEG GL Trial Balance'!$D$10:$D$400,"Posting")</f>
        <v/>
      </c>
      <c r="P79" s="71">
        <f>SUM(D79:O79)</f>
        <v/>
      </c>
    </row>
    <row r="80">
      <c r="A80" s="45" t="inlineStr"/>
      <c r="B80" s="20" t="inlineStr">
        <is>
          <t xml:space="preserve">   Jumlah pendapatan (beban) lain-lain</t>
        </is>
      </c>
      <c r="C80" s="23" t="n"/>
      <c r="D80" s="22">
        <f>D76+D77+D78+D79</f>
        <v/>
      </c>
      <c r="E80" s="22">
        <f>E76+E77+E78+E79</f>
        <v/>
      </c>
      <c r="F80" s="22">
        <f>F76+F77+F78+F79</f>
        <v/>
      </c>
      <c r="G80" s="22">
        <f>G76+G77+G78+G79</f>
        <v/>
      </c>
      <c r="H80" s="22">
        <f>H76+H77+H78+H79</f>
        <v/>
      </c>
      <c r="I80" s="22">
        <f>I76+I77+I78+I79</f>
        <v/>
      </c>
      <c r="J80" s="22">
        <f>J76+J77+J78+J79</f>
        <v/>
      </c>
      <c r="K80" s="22">
        <f>K76+K77+K78+K79</f>
        <v/>
      </c>
      <c r="L80" s="22">
        <f>L76+L77+L78+L79</f>
        <v/>
      </c>
      <c r="M80" s="22">
        <f>M76+M77+M78+M79</f>
        <v/>
      </c>
      <c r="N80" s="22">
        <f>N76+N77+N78+N79</f>
        <v/>
      </c>
      <c r="O80" s="22">
        <f>O76+O77+O78+O79</f>
        <v/>
      </c>
      <c r="P80" s="22">
        <f>P76+P77+P78+P79</f>
        <v/>
      </c>
    </row>
    <row r="81">
      <c r="A81" s="82" t="inlineStr"/>
      <c r="B81" s="31" t="inlineStr">
        <is>
          <t>LABA SEBELUM PAJAK</t>
        </is>
      </c>
      <c r="C81" s="32" t="n"/>
      <c r="D81" s="33">
        <f>D73+D80</f>
        <v/>
      </c>
      <c r="E81" s="33">
        <f>E73+E80</f>
        <v/>
      </c>
      <c r="F81" s="33">
        <f>F73+F80</f>
        <v/>
      </c>
      <c r="G81" s="33">
        <f>G73+G80</f>
        <v/>
      </c>
      <c r="H81" s="33">
        <f>H73+H80</f>
        <v/>
      </c>
      <c r="I81" s="33">
        <f>I73+I80</f>
        <v/>
      </c>
      <c r="J81" s="33">
        <f>J73+J80</f>
        <v/>
      </c>
      <c r="K81" s="33">
        <f>K73+K80</f>
        <v/>
      </c>
      <c r="L81" s="33">
        <f>L73+L80</f>
        <v/>
      </c>
      <c r="M81" s="33">
        <f>M73+M80</f>
        <v/>
      </c>
      <c r="N81" s="33">
        <f>N73+N80</f>
        <v/>
      </c>
      <c r="O81" s="33">
        <f>O73+O80</f>
        <v/>
      </c>
      <c r="P81" s="33">
        <f>P73+P80</f>
        <v/>
      </c>
    </row>
    <row r="82">
      <c r="A82" s="45" t="inlineStr">
        <is>
          <t>8101</t>
        </is>
      </c>
      <c r="B82" s="10" t="inlineStr">
        <is>
          <t xml:space="preserve">   Beban pajak penghasilan</t>
        </is>
      </c>
      <c r="D82" s="28">
        <f>SUMIFS('C19 GEG GL Trial Balance'!$E$10:$E$400,'C19 GEG GL Trial Balance'!$A$10:$A$400,$A82,'C19 GEG GL Trial Balance'!$D$10:$D$400,"Posting")</f>
        <v/>
      </c>
      <c r="E82" s="28">
        <f>SUMIFS('C19 GEG GL Trial Balance'!$F$10:$F$400,'C19 GEG GL Trial Balance'!$A$10:$A$400,$A82,'C19 GEG GL Trial Balance'!$D$10:$D$400,"Posting")</f>
        <v/>
      </c>
      <c r="F82" s="28">
        <f>SUMIFS('C19 GEG GL Trial Balance'!$G$10:$G$400,'C19 GEG GL Trial Balance'!$A$10:$A$400,$A82,'C19 GEG GL Trial Balance'!$D$10:$D$400,"Posting")</f>
        <v/>
      </c>
      <c r="G82" s="28">
        <f>SUMIFS('C19 GEG GL Trial Balance'!$H$10:$H$400,'C19 GEG GL Trial Balance'!$A$10:$A$400,$A82,'C19 GEG GL Trial Balance'!$D$10:$D$400,"Posting")</f>
        <v/>
      </c>
      <c r="H82" s="28">
        <f>SUMIFS('C19 GEG GL Trial Balance'!$I$10:$I$400,'C19 GEG GL Trial Balance'!$A$10:$A$400,$A82,'C19 GEG GL Trial Balance'!$D$10:$D$400,"Posting")</f>
        <v/>
      </c>
      <c r="I82" s="28">
        <f>SUMIFS('C19 GEG GL Trial Balance'!$J$10:$J$400,'C19 GEG GL Trial Balance'!$A$10:$A$400,$A82,'C19 GEG GL Trial Balance'!$D$10:$D$400,"Posting")</f>
        <v/>
      </c>
      <c r="J82" s="28">
        <f>SUMIFS('C19 GEG GL Trial Balance'!$K$10:$K$400,'C19 GEG GL Trial Balance'!$A$10:$A$400,$A82,'C19 GEG GL Trial Balance'!$D$10:$D$400,"Posting")</f>
        <v/>
      </c>
      <c r="K82" s="28">
        <f>SUMIFS('C19 GEG GL Trial Balance'!$L$10:$L$400,'C19 GEG GL Trial Balance'!$A$10:$A$400,$A82,'C19 GEG GL Trial Balance'!$D$10:$D$400,"Posting")</f>
        <v/>
      </c>
      <c r="L82" s="28">
        <f>SUMIFS('C19 GEG GL Trial Balance'!$M$10:$M$400,'C19 GEG GL Trial Balance'!$A$10:$A$400,$A82,'C19 GEG GL Trial Balance'!$D$10:$D$400,"Posting")</f>
        <v/>
      </c>
      <c r="M82" s="28">
        <f>SUMIFS('C19 GEG GL Trial Balance'!$N$10:$N$400,'C19 GEG GL Trial Balance'!$A$10:$A$400,$A82,'C19 GEG GL Trial Balance'!$D$10:$D$400,"Posting")</f>
        <v/>
      </c>
      <c r="N82" s="28">
        <f>SUMIFS('C19 GEG GL Trial Balance'!$O$10:$O$400,'C19 GEG GL Trial Balance'!$A$10:$A$400,$A82,'C19 GEG GL Trial Balance'!$D$10:$D$400,"Posting")</f>
        <v/>
      </c>
      <c r="O82" s="28">
        <f>SUMIFS('C19 GEG GL Trial Balance'!$P$10:$P$400,'C19 GEG GL Trial Balance'!$A$10:$A$400,$A82,'C19 GEG GL Trial Balance'!$D$10:$D$400,"Posting")</f>
        <v/>
      </c>
      <c r="P82" s="71">
        <f>SUM(D82:O82)</f>
        <v/>
      </c>
    </row>
    <row r="83">
      <c r="A83" s="82" t="inlineStr"/>
      <c r="B83" s="31" t="inlineStr">
        <is>
          <t>LABA BERSIH</t>
        </is>
      </c>
      <c r="C83" s="32" t="n"/>
      <c r="D83" s="33">
        <f>D81-D82</f>
        <v/>
      </c>
      <c r="E83" s="33">
        <f>E81-E82</f>
        <v/>
      </c>
      <c r="F83" s="33">
        <f>F81-F82</f>
        <v/>
      </c>
      <c r="G83" s="33">
        <f>G81-G82</f>
        <v/>
      </c>
      <c r="H83" s="33">
        <f>H81-H82</f>
        <v/>
      </c>
      <c r="I83" s="33">
        <f>I81-I82</f>
        <v/>
      </c>
      <c r="J83" s="33">
        <f>J81-J82</f>
        <v/>
      </c>
      <c r="K83" s="33">
        <f>K81-K82</f>
        <v/>
      </c>
      <c r="L83" s="33">
        <f>L81-L82</f>
        <v/>
      </c>
      <c r="M83" s="33">
        <f>M81-M82</f>
        <v/>
      </c>
      <c r="N83" s="33">
        <f>N81-N82</f>
        <v/>
      </c>
      <c r="O83" s="33">
        <f>O81-O82</f>
        <v/>
      </c>
      <c r="P83" s="33">
        <f>P81-P82</f>
        <v/>
      </c>
    </row>
    <row r="84">
      <c r="A84" s="45" t="inlineStr"/>
      <c r="B84" s="37" t="inlineStr">
        <is>
          <t xml:space="preserve">   Marjin laba bersih</t>
        </is>
      </c>
      <c r="D84" s="29">
        <f>IFERROR(D83/D14,0)</f>
        <v/>
      </c>
      <c r="E84" s="29">
        <f>IFERROR(E83/E14,0)</f>
        <v/>
      </c>
      <c r="F84" s="29">
        <f>IFERROR(F83/F14,0)</f>
        <v/>
      </c>
      <c r="G84" s="29">
        <f>IFERROR(G83/G14,0)</f>
        <v/>
      </c>
      <c r="H84" s="29">
        <f>IFERROR(H83/H14,0)</f>
        <v/>
      </c>
      <c r="I84" s="29">
        <f>IFERROR(I83/I14,0)</f>
        <v/>
      </c>
      <c r="J84" s="29">
        <f>IFERROR(J83/J14,0)</f>
        <v/>
      </c>
      <c r="K84" s="29">
        <f>IFERROR(K83/K14,0)</f>
        <v/>
      </c>
      <c r="L84" s="29">
        <f>IFERROR(L83/L14,0)</f>
        <v/>
      </c>
      <c r="M84" s="29">
        <f>IFERROR(M83/M14,0)</f>
        <v/>
      </c>
      <c r="N84" s="29">
        <f>IFERROR(N83/N14,0)</f>
        <v/>
      </c>
      <c r="O84" s="29">
        <f>IFERROR(O83/O14,0)</f>
        <v/>
      </c>
      <c r="P84" s="29">
        <f>IFERROR(P83/P14,0)</f>
        <v/>
      </c>
    </row>
    <row r="85">
      <c r="A85" s="4" t="inlineStr">
        <is>
          <t>MEMO</t>
        </is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</row>
    <row r="86">
      <c r="A86" s="45" t="inlineStr"/>
      <c r="B86" s="20" t="inlineStr">
        <is>
          <t xml:space="preserve">   EBITDA (laba usaha + penyusutan &amp; amortisasi)</t>
        </is>
      </c>
      <c r="C86" s="23" t="n"/>
      <c r="D86" s="22">
        <f>D73+D46+D69</f>
        <v/>
      </c>
      <c r="E86" s="22">
        <f>E73+E46+E69</f>
        <v/>
      </c>
      <c r="F86" s="22">
        <f>F73+F46+F69</f>
        <v/>
      </c>
      <c r="G86" s="22">
        <f>G73+G46+G69</f>
        <v/>
      </c>
      <c r="H86" s="22">
        <f>H73+H46+H69</f>
        <v/>
      </c>
      <c r="I86" s="22">
        <f>I73+I46+I69</f>
        <v/>
      </c>
      <c r="J86" s="22">
        <f>J73+J46+J69</f>
        <v/>
      </c>
      <c r="K86" s="22">
        <f>K73+K46+K69</f>
        <v/>
      </c>
      <c r="L86" s="22">
        <f>L73+L46+L69</f>
        <v/>
      </c>
      <c r="M86" s="22">
        <f>M73+M46+M69</f>
        <v/>
      </c>
      <c r="N86" s="22">
        <f>N73+N46+N69</f>
        <v/>
      </c>
      <c r="O86" s="22">
        <f>O73+O46+O69</f>
        <v/>
      </c>
      <c r="P86" s="22">
        <f>P73+P46+P69</f>
        <v/>
      </c>
    </row>
    <row r="87">
      <c r="A87" s="45" t="inlineStr"/>
      <c r="B87" s="37" t="inlineStr">
        <is>
          <t xml:space="preserve">   Marjin EBITDA</t>
        </is>
      </c>
      <c r="D87" s="29">
        <f>IFERROR(D86/D14,0)</f>
        <v/>
      </c>
      <c r="E87" s="29">
        <f>IFERROR(E86/E14,0)</f>
        <v/>
      </c>
      <c r="F87" s="29">
        <f>IFERROR(F86/F14,0)</f>
        <v/>
      </c>
      <c r="G87" s="29">
        <f>IFERROR(G86/G14,0)</f>
        <v/>
      </c>
      <c r="H87" s="29">
        <f>IFERROR(H86/H14,0)</f>
        <v/>
      </c>
      <c r="I87" s="29">
        <f>IFERROR(I86/I14,0)</f>
        <v/>
      </c>
      <c r="J87" s="29">
        <f>IFERROR(J86/J14,0)</f>
        <v/>
      </c>
      <c r="K87" s="29">
        <f>IFERROR(K86/K14,0)</f>
        <v/>
      </c>
      <c r="L87" s="29">
        <f>IFERROR(L86/L14,0)</f>
        <v/>
      </c>
      <c r="M87" s="29">
        <f>IFERROR(M86/M14,0)</f>
        <v/>
      </c>
      <c r="N87" s="29">
        <f>IFERROR(N86/N14,0)</f>
        <v/>
      </c>
      <c r="O87" s="29">
        <f>IFERROR(O86/O14,0)</f>
        <v/>
      </c>
      <c r="P87" s="29">
        <f>IFERROR(P86/P14,0)</f>
        <v/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O4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GEG – Neraca (Laporan Posisi Keuangan) Aktual Akhir Bulan (Rp juta)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Kolom C = saldo awal (31 Des tahun lalu, sesuai LK audit). Isi saldo akhir bulan dari neraca saldo (trial balance).</t>
        </is>
      </c>
    </row>
    <row r="3"/>
    <row r="4"/>
    <row r="5">
      <c r="C5" s="80" t="n">
        <v>0</v>
      </c>
      <c r="D5" s="80" t="n">
        <v>1</v>
      </c>
      <c r="E5" s="80" t="n">
        <v>2</v>
      </c>
      <c r="F5" s="80" t="n">
        <v>3</v>
      </c>
      <c r="G5" s="80" t="n">
        <v>4</v>
      </c>
      <c r="H5" s="80" t="n">
        <v>5</v>
      </c>
      <c r="I5" s="80" t="n">
        <v>6</v>
      </c>
      <c r="J5" s="80" t="n">
        <v>7</v>
      </c>
      <c r="K5" s="80" t="n">
        <v>8</v>
      </c>
      <c r="L5" s="80" t="n">
        <v>9</v>
      </c>
      <c r="M5" s="80" t="n">
        <v>10</v>
      </c>
      <c r="N5" s="80" t="n">
        <v>11</v>
      </c>
      <c r="O5" s="80" t="n">
        <v>12</v>
      </c>
    </row>
    <row r="6">
      <c r="A6" s="16" t="inlineStr">
        <is>
          <t>Kode akun</t>
        </is>
      </c>
      <c r="B6" s="16" t="inlineStr">
        <is>
          <t>Uraian</t>
        </is>
      </c>
      <c r="C6" s="16" t="inlineStr">
        <is>
          <t>Saldo awal</t>
        </is>
      </c>
      <c r="D6" s="16" t="inlineStr">
        <is>
          <t>Jan</t>
        </is>
      </c>
      <c r="E6" s="16" t="inlineStr">
        <is>
          <t>Feb</t>
        </is>
      </c>
      <c r="F6" s="16" t="inlineStr">
        <is>
          <t>Mar</t>
        </is>
      </c>
      <c r="G6" s="16" t="inlineStr">
        <is>
          <t>Apr</t>
        </is>
      </c>
      <c r="H6" s="16" t="inlineStr">
        <is>
          <t>Mei</t>
        </is>
      </c>
      <c r="I6" s="16" t="inlineStr">
        <is>
          <t>Jun</t>
        </is>
      </c>
      <c r="J6" s="16" t="inlineStr">
        <is>
          <t>Jul</t>
        </is>
      </c>
      <c r="K6" s="16" t="inlineStr">
        <is>
          <t>Agu</t>
        </is>
      </c>
      <c r="L6" s="16" t="inlineStr">
        <is>
          <t>Sep</t>
        </is>
      </c>
      <c r="M6" s="16" t="inlineStr">
        <is>
          <t>Okt</t>
        </is>
      </c>
      <c r="N6" s="16" t="inlineStr">
        <is>
          <t>Nov</t>
        </is>
      </c>
      <c r="O6" s="16" t="inlineStr">
        <is>
          <t>Des</t>
        </is>
      </c>
    </row>
    <row r="7">
      <c r="A7" s="4" t="inlineStr">
        <is>
          <t>ASET LANCAR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45" t="inlineStr">
        <is>
          <t>1101</t>
        </is>
      </c>
      <c r="B8" s="10" t="inlineStr">
        <is>
          <t xml:space="preserve">   Kas dan setara kas</t>
        </is>
      </c>
      <c r="C8" s="17" t="n">
        <v>150000</v>
      </c>
      <c r="D8" s="17" t="n">
        <v>168678</v>
      </c>
      <c r="E8" s="17" t="n">
        <v>150721</v>
      </c>
      <c r="F8" s="17" t="n">
        <v>146897</v>
      </c>
      <c r="G8" s="17" t="n">
        <v>131438</v>
      </c>
      <c r="H8" s="17" t="n">
        <v>116725</v>
      </c>
      <c r="I8" s="17" t="n">
        <v>70201</v>
      </c>
      <c r="J8" s="17" t="n">
        <v>64604</v>
      </c>
      <c r="K8" s="17" t="n">
        <v>53653</v>
      </c>
      <c r="L8" s="17" t="n"/>
      <c r="M8" s="17" t="n"/>
      <c r="N8" s="17" t="n"/>
      <c r="O8" s="17" t="n"/>
    </row>
    <row r="9">
      <c r="A9" s="45" t="inlineStr">
        <is>
          <t>1201</t>
        </is>
      </c>
      <c r="B9" s="10" t="inlineStr">
        <is>
          <t xml:space="preserve">   Piutang usaha</t>
        </is>
      </c>
      <c r="C9" s="17" t="n">
        <v>330000</v>
      </c>
      <c r="D9" s="17" t="n">
        <v>254200</v>
      </c>
      <c r="E9" s="17" t="n">
        <v>281830</v>
      </c>
      <c r="F9" s="17" t="n">
        <v>272637</v>
      </c>
      <c r="G9" s="17" t="n">
        <v>330616</v>
      </c>
      <c r="H9" s="17" t="n">
        <v>313750</v>
      </c>
      <c r="I9" s="17" t="n">
        <v>300974</v>
      </c>
      <c r="J9" s="17" t="n">
        <v>346368</v>
      </c>
      <c r="K9" s="17" t="n">
        <v>361227</v>
      </c>
      <c r="L9" s="17" t="n"/>
      <c r="M9" s="17" t="n"/>
      <c r="N9" s="17" t="n"/>
      <c r="O9" s="17" t="n"/>
    </row>
    <row r="10">
      <c r="A10" s="45" t="inlineStr">
        <is>
          <t>1202</t>
        </is>
      </c>
      <c r="B10" s="10" t="inlineStr">
        <is>
          <t xml:space="preserve">   Piutang lain-lain</t>
        </is>
      </c>
      <c r="C10" s="17" t="n">
        <v>8000</v>
      </c>
      <c r="D10" s="17" t="n">
        <v>8027</v>
      </c>
      <c r="E10" s="17" t="n">
        <v>7593</v>
      </c>
      <c r="F10" s="17" t="n">
        <v>8349</v>
      </c>
      <c r="G10" s="17" t="n">
        <v>8333</v>
      </c>
      <c r="H10" s="17" t="n">
        <v>8636</v>
      </c>
      <c r="I10" s="17" t="n">
        <v>8838</v>
      </c>
      <c r="J10" s="17" t="n">
        <v>9293</v>
      </c>
      <c r="K10" s="17" t="n">
        <v>9287</v>
      </c>
      <c r="L10" s="17" t="n"/>
      <c r="M10" s="17" t="n"/>
      <c r="N10" s="17" t="n"/>
      <c r="O10" s="17" t="n"/>
    </row>
    <row r="11">
      <c r="A11" s="45" t="inlineStr">
        <is>
          <t>1301</t>
        </is>
      </c>
      <c r="B11" s="10" t="inlineStr">
        <is>
          <t xml:space="preserve">   Persediaan batubara</t>
        </is>
      </c>
      <c r="C11" s="17" t="n">
        <v>108000</v>
      </c>
      <c r="D11" s="17" t="n">
        <v>117402</v>
      </c>
      <c r="E11" s="17" t="n">
        <v>119823</v>
      </c>
      <c r="F11" s="17" t="n">
        <v>122975</v>
      </c>
      <c r="G11" s="17" t="n">
        <v>122767</v>
      </c>
      <c r="H11" s="17" t="n">
        <v>125520</v>
      </c>
      <c r="I11" s="17" t="n">
        <v>126998</v>
      </c>
      <c r="J11" s="17" t="n">
        <v>134248</v>
      </c>
      <c r="K11" s="17" t="n">
        <v>138386</v>
      </c>
      <c r="L11" s="17" t="n"/>
      <c r="M11" s="17" t="n"/>
      <c r="N11" s="17" t="n"/>
      <c r="O11" s="17" t="n"/>
    </row>
    <row r="12">
      <c r="A12" s="45" t="inlineStr">
        <is>
          <t>1302</t>
        </is>
      </c>
      <c r="B12" s="10" t="inlineStr">
        <is>
          <t xml:space="preserve">   Persediaan suku cadang &amp; BBM</t>
        </is>
      </c>
      <c r="C12" s="17" t="n">
        <v>25000</v>
      </c>
      <c r="D12" s="17" t="n">
        <v>25059</v>
      </c>
      <c r="E12" s="17" t="n">
        <v>24502</v>
      </c>
      <c r="F12" s="17" t="n">
        <v>23356</v>
      </c>
      <c r="G12" s="17" t="n">
        <v>24030</v>
      </c>
      <c r="H12" s="17" t="n">
        <v>22897</v>
      </c>
      <c r="I12" s="17" t="n">
        <v>22214</v>
      </c>
      <c r="J12" s="17" t="n">
        <v>23124</v>
      </c>
      <c r="K12" s="17" t="n">
        <v>24418</v>
      </c>
      <c r="L12" s="17" t="n"/>
      <c r="M12" s="17" t="n"/>
      <c r="N12" s="17" t="n"/>
      <c r="O12" s="17" t="n"/>
    </row>
    <row r="13">
      <c r="A13" s="45" t="inlineStr">
        <is>
          <t>1401</t>
        </is>
      </c>
      <c r="B13" s="10" t="inlineStr">
        <is>
          <t xml:space="preserve">   Uang muka &amp; biaya dibayar dimuka</t>
        </is>
      </c>
      <c r="C13" s="17" t="n">
        <v>12000</v>
      </c>
      <c r="D13" s="17" t="n">
        <v>11409</v>
      </c>
      <c r="E13" s="17" t="n">
        <v>10917</v>
      </c>
      <c r="F13" s="17" t="n">
        <v>10431</v>
      </c>
      <c r="G13" s="17" t="n">
        <v>10832</v>
      </c>
      <c r="H13" s="17" t="n">
        <v>11753</v>
      </c>
      <c r="I13" s="17" t="n">
        <v>11616</v>
      </c>
      <c r="J13" s="17" t="n">
        <v>11059</v>
      </c>
      <c r="K13" s="17" t="n">
        <v>10494</v>
      </c>
      <c r="L13" s="17" t="n"/>
      <c r="M13" s="17" t="n"/>
      <c r="N13" s="17" t="n"/>
      <c r="O13" s="17" t="n"/>
    </row>
    <row r="14">
      <c r="A14" s="45" t="inlineStr">
        <is>
          <t>1402</t>
        </is>
      </c>
      <c r="B14" s="10" t="inlineStr">
        <is>
          <t xml:space="preserve">   Pajak dibayar dimuka</t>
        </is>
      </c>
      <c r="C14" s="17" t="n">
        <v>20000</v>
      </c>
      <c r="D14" s="17" t="n">
        <v>21000</v>
      </c>
      <c r="E14" s="17" t="n">
        <v>22000</v>
      </c>
      <c r="F14" s="17" t="n">
        <v>23000</v>
      </c>
      <c r="G14" s="17" t="n">
        <v>24000</v>
      </c>
      <c r="H14" s="17" t="n">
        <v>25000</v>
      </c>
      <c r="I14" s="17" t="n">
        <v>26000</v>
      </c>
      <c r="J14" s="17" t="n">
        <v>27000</v>
      </c>
      <c r="K14" s="17" t="n">
        <v>28000</v>
      </c>
      <c r="L14" s="17" t="n"/>
      <c r="M14" s="17" t="n"/>
      <c r="N14" s="17" t="n"/>
      <c r="O14" s="17" t="n"/>
    </row>
    <row r="15">
      <c r="A15" s="45" t="inlineStr"/>
      <c r="B15" s="46" t="inlineStr">
        <is>
          <t xml:space="preserve">   Jumlah aset lancar</t>
        </is>
      </c>
      <c r="C15" s="71">
        <f>C8+C9+C10+C11+C12+C13+C14</f>
        <v/>
      </c>
      <c r="D15" s="71">
        <f>D8+D9+D10+D11+D12+D13+D14</f>
        <v/>
      </c>
      <c r="E15" s="71">
        <f>E8+E9+E10+E11+E12+E13+E14</f>
        <v/>
      </c>
      <c r="F15" s="71">
        <f>F8+F9+F10+F11+F12+F13+F14</f>
        <v/>
      </c>
      <c r="G15" s="71">
        <f>G8+G9+G10+G11+G12+G13+G14</f>
        <v/>
      </c>
      <c r="H15" s="71">
        <f>H8+H9+H10+H11+H12+H13+H14</f>
        <v/>
      </c>
      <c r="I15" s="71">
        <f>I8+I9+I10+I11+I12+I13+I14</f>
        <v/>
      </c>
      <c r="J15" s="71">
        <f>J8+J9+J10+J11+J12+J13+J14</f>
        <v/>
      </c>
      <c r="K15" s="71">
        <f>K8+K9+K10+K11+K12+K13+K14</f>
        <v/>
      </c>
      <c r="L15" s="71">
        <f>L8+L9+L10+L11+L12+L13+L14</f>
        <v/>
      </c>
      <c r="M15" s="71">
        <f>M8+M9+M10+M11+M12+M13+M14</f>
        <v/>
      </c>
      <c r="N15" s="71">
        <f>N8+N9+N10+N11+N12+N13+N14</f>
        <v/>
      </c>
      <c r="O15" s="71">
        <f>O8+O9+O10+O11+O12+O13+O14</f>
        <v/>
      </c>
    </row>
    <row r="16">
      <c r="A16" s="4" t="inlineStr">
        <is>
          <t>ASET TIDAK LANCAR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45" t="inlineStr">
        <is>
          <t>1501</t>
        </is>
      </c>
      <c r="B17" s="10" t="inlineStr">
        <is>
          <t xml:space="preserve">   Aset tetap – neto</t>
        </is>
      </c>
      <c r="C17" s="17" t="n">
        <v>900000</v>
      </c>
      <c r="D17" s="17" t="n">
        <v>907200</v>
      </c>
      <c r="E17" s="17" t="n">
        <v>914400</v>
      </c>
      <c r="F17" s="17" t="n">
        <v>921600</v>
      </c>
      <c r="G17" s="17" t="n">
        <v>928800</v>
      </c>
      <c r="H17" s="17" t="n">
        <v>936000</v>
      </c>
      <c r="I17" s="17" t="n">
        <v>943200</v>
      </c>
      <c r="J17" s="17" t="n">
        <v>950400</v>
      </c>
      <c r="K17" s="17" t="n">
        <v>957600</v>
      </c>
      <c r="L17" s="17" t="n"/>
      <c r="M17" s="17" t="n"/>
      <c r="N17" s="17" t="n"/>
      <c r="O17" s="17" t="n"/>
    </row>
    <row r="18">
      <c r="A18" s="45" t="inlineStr">
        <is>
          <t>1502</t>
        </is>
      </c>
      <c r="B18" s="10" t="inlineStr">
        <is>
          <t xml:space="preserve">   Properti pertambangan – neto</t>
        </is>
      </c>
      <c r="C18" s="17" t="n">
        <v>350000</v>
      </c>
      <c r="D18" s="17" t="n">
        <v>351684</v>
      </c>
      <c r="E18" s="17" t="n">
        <v>353130</v>
      </c>
      <c r="F18" s="17" t="n">
        <v>354612</v>
      </c>
      <c r="G18" s="17" t="n">
        <v>355542</v>
      </c>
      <c r="H18" s="17" t="n">
        <v>356689</v>
      </c>
      <c r="I18" s="17" t="n">
        <v>357819</v>
      </c>
      <c r="J18" s="17" t="n">
        <v>358530</v>
      </c>
      <c r="K18" s="17" t="n">
        <v>359132</v>
      </c>
      <c r="L18" s="17" t="n"/>
      <c r="M18" s="17" t="n"/>
      <c r="N18" s="17" t="n"/>
      <c r="O18" s="17" t="n"/>
    </row>
    <row r="19">
      <c r="A19" s="45" t="inlineStr">
        <is>
          <t>1503</t>
        </is>
      </c>
      <c r="B19" s="10" t="inlineStr">
        <is>
          <t xml:space="preserve">   Aset eksplorasi &amp; evaluasi</t>
        </is>
      </c>
      <c r="C19" s="17" t="n">
        <v>20000</v>
      </c>
      <c r="D19" s="17" t="n">
        <v>20500</v>
      </c>
      <c r="E19" s="17" t="n">
        <v>21000</v>
      </c>
      <c r="F19" s="17" t="n">
        <v>21500</v>
      </c>
      <c r="G19" s="17" t="n">
        <v>22000</v>
      </c>
      <c r="H19" s="17" t="n">
        <v>22500</v>
      </c>
      <c r="I19" s="17" t="n">
        <v>23000</v>
      </c>
      <c r="J19" s="17" t="n">
        <v>23500</v>
      </c>
      <c r="K19" s="17" t="n">
        <v>24000</v>
      </c>
      <c r="L19" s="17" t="n"/>
      <c r="M19" s="17" t="n"/>
      <c r="N19" s="17" t="n"/>
      <c r="O19" s="17" t="n"/>
    </row>
    <row r="20">
      <c r="A20" s="45" t="inlineStr">
        <is>
          <t>1504</t>
        </is>
      </c>
      <c r="B20" s="10" t="inlineStr">
        <is>
          <t xml:space="preserve">   Biaya pengupasan tangguhan – neto</t>
        </is>
      </c>
      <c r="C20" s="17" t="n">
        <v>90000</v>
      </c>
      <c r="D20" s="17" t="n">
        <v>91456</v>
      </c>
      <c r="E20" s="17" t="n">
        <v>92753</v>
      </c>
      <c r="F20" s="17" t="n">
        <v>94074</v>
      </c>
      <c r="G20" s="17" t="n">
        <v>95027</v>
      </c>
      <c r="H20" s="17" t="n">
        <v>96125</v>
      </c>
      <c r="I20" s="17" t="n">
        <v>97211</v>
      </c>
      <c r="J20" s="17" t="n">
        <v>98019</v>
      </c>
      <c r="K20" s="17" t="n">
        <v>98754</v>
      </c>
      <c r="L20" s="17" t="n"/>
      <c r="M20" s="17" t="n"/>
      <c r="N20" s="17" t="n"/>
      <c r="O20" s="17" t="n"/>
    </row>
    <row r="21">
      <c r="A21" s="45" t="inlineStr">
        <is>
          <t>1601</t>
        </is>
      </c>
      <c r="B21" s="10" t="inlineStr">
        <is>
          <t xml:space="preserve">   Dana jaminan reklamasi</t>
        </is>
      </c>
      <c r="C21" s="17" t="n">
        <v>25000</v>
      </c>
      <c r="D21" s="17" t="n">
        <v>25500</v>
      </c>
      <c r="E21" s="17" t="n">
        <v>26000</v>
      </c>
      <c r="F21" s="17" t="n">
        <v>26500</v>
      </c>
      <c r="G21" s="17" t="n">
        <v>27000</v>
      </c>
      <c r="H21" s="17" t="n">
        <v>27500</v>
      </c>
      <c r="I21" s="17" t="n">
        <v>28000</v>
      </c>
      <c r="J21" s="17" t="n">
        <v>28500</v>
      </c>
      <c r="K21" s="17" t="n">
        <v>29000</v>
      </c>
      <c r="L21" s="17" t="n"/>
      <c r="M21" s="17" t="n"/>
      <c r="N21" s="17" t="n"/>
      <c r="O21" s="17" t="n"/>
    </row>
    <row r="22">
      <c r="A22" s="45" t="inlineStr">
        <is>
          <t>1701</t>
        </is>
      </c>
      <c r="B22" s="10" t="inlineStr">
        <is>
          <t xml:space="preserve">   Aset pajak tangguhan</t>
        </is>
      </c>
      <c r="C22" s="17" t="n">
        <v>8000</v>
      </c>
      <c r="D22" s="17" t="n">
        <v>8000</v>
      </c>
      <c r="E22" s="17" t="n">
        <v>8000</v>
      </c>
      <c r="F22" s="17" t="n">
        <v>8000</v>
      </c>
      <c r="G22" s="17" t="n">
        <v>8000</v>
      </c>
      <c r="H22" s="17" t="n">
        <v>8000</v>
      </c>
      <c r="I22" s="17" t="n">
        <v>8000</v>
      </c>
      <c r="J22" s="17" t="n">
        <v>8000</v>
      </c>
      <c r="K22" s="17" t="n">
        <v>8000</v>
      </c>
      <c r="L22" s="17" t="n"/>
      <c r="M22" s="17" t="n"/>
      <c r="N22" s="17" t="n"/>
      <c r="O22" s="17" t="n"/>
    </row>
    <row r="23">
      <c r="A23" s="45" t="inlineStr">
        <is>
          <t>1801</t>
        </is>
      </c>
      <c r="B23" s="10" t="inlineStr">
        <is>
          <t xml:space="preserve">   Aset tidak lancar lainnya</t>
        </is>
      </c>
      <c r="C23" s="17" t="n">
        <v>6000</v>
      </c>
      <c r="D23" s="17" t="n">
        <v>6000</v>
      </c>
      <c r="E23" s="17" t="n">
        <v>6000</v>
      </c>
      <c r="F23" s="17" t="n">
        <v>6000</v>
      </c>
      <c r="G23" s="17" t="n">
        <v>6000</v>
      </c>
      <c r="H23" s="17" t="n">
        <v>6000</v>
      </c>
      <c r="I23" s="17" t="n">
        <v>6000</v>
      </c>
      <c r="J23" s="17" t="n">
        <v>6000</v>
      </c>
      <c r="K23" s="17" t="n">
        <v>6000</v>
      </c>
      <c r="L23" s="17" t="n"/>
      <c r="M23" s="17" t="n"/>
      <c r="N23" s="17" t="n"/>
      <c r="O23" s="17" t="n"/>
    </row>
    <row r="24">
      <c r="A24" s="45" t="inlineStr"/>
      <c r="B24" s="46" t="inlineStr">
        <is>
          <t xml:space="preserve">   Jumlah aset tidak lancar</t>
        </is>
      </c>
      <c r="C24" s="71">
        <f>C17+C18+C19+C20+C21+C22+C23</f>
        <v/>
      </c>
      <c r="D24" s="71">
        <f>D17+D18+D19+D20+D21+D22+D23</f>
        <v/>
      </c>
      <c r="E24" s="71">
        <f>E17+E18+E19+E20+E21+E22+E23</f>
        <v/>
      </c>
      <c r="F24" s="71">
        <f>F17+F18+F19+F20+F21+F22+F23</f>
        <v/>
      </c>
      <c r="G24" s="71">
        <f>G17+G18+G19+G20+G21+G22+G23</f>
        <v/>
      </c>
      <c r="H24" s="71">
        <f>H17+H18+H19+H20+H21+H22+H23</f>
        <v/>
      </c>
      <c r="I24" s="71">
        <f>I17+I18+I19+I20+I21+I22+I23</f>
        <v/>
      </c>
      <c r="J24" s="71">
        <f>J17+J18+J19+J20+J21+J22+J23</f>
        <v/>
      </c>
      <c r="K24" s="71">
        <f>K17+K18+K19+K20+K21+K22+K23</f>
        <v/>
      </c>
      <c r="L24" s="71">
        <f>L17+L18+L19+L20+L21+L22+L23</f>
        <v/>
      </c>
      <c r="M24" s="71">
        <f>M17+M18+M19+M20+M21+M22+M23</f>
        <v/>
      </c>
      <c r="N24" s="71">
        <f>N17+N18+N19+N20+N21+N22+N23</f>
        <v/>
      </c>
      <c r="O24" s="71">
        <f>O17+O18+O19+O20+O21+O22+O23</f>
        <v/>
      </c>
    </row>
    <row r="25">
      <c r="A25" s="82" t="inlineStr"/>
      <c r="B25" s="31" t="inlineStr">
        <is>
          <t>JUMLAH ASET</t>
        </is>
      </c>
      <c r="C25" s="33">
        <f>C15+C24</f>
        <v/>
      </c>
      <c r="D25" s="33">
        <f>D15+D24</f>
        <v/>
      </c>
      <c r="E25" s="33">
        <f>E15+E24</f>
        <v/>
      </c>
      <c r="F25" s="33">
        <f>F15+F24</f>
        <v/>
      </c>
      <c r="G25" s="33">
        <f>G15+G24</f>
        <v/>
      </c>
      <c r="H25" s="33">
        <f>H15+H24</f>
        <v/>
      </c>
      <c r="I25" s="33">
        <f>I15+I24</f>
        <v/>
      </c>
      <c r="J25" s="33">
        <f>J15+J24</f>
        <v/>
      </c>
      <c r="K25" s="33">
        <f>K15+K24</f>
        <v/>
      </c>
      <c r="L25" s="33">
        <f>L15+L24</f>
        <v/>
      </c>
      <c r="M25" s="33">
        <f>M15+M24</f>
        <v/>
      </c>
      <c r="N25" s="33">
        <f>N15+N24</f>
        <v/>
      </c>
      <c r="O25" s="33">
        <f>O15+O24</f>
        <v/>
      </c>
    </row>
    <row r="26">
      <c r="A26" s="4" t="inlineStr">
        <is>
          <t>LIABILITAS JANGKA PENDEK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45" t="inlineStr">
        <is>
          <t>2101</t>
        </is>
      </c>
      <c r="B27" s="10" t="inlineStr">
        <is>
          <t xml:space="preserve">   Utang usaha (kontraktor &amp; pemasok)</t>
        </is>
      </c>
      <c r="C27" s="17" t="n">
        <v>290000</v>
      </c>
      <c r="D27" s="17" t="n">
        <v>262218</v>
      </c>
      <c r="E27" s="17" t="n">
        <v>287096</v>
      </c>
      <c r="F27" s="17" t="n">
        <v>286806</v>
      </c>
      <c r="G27" s="17" t="n">
        <v>334430</v>
      </c>
      <c r="H27" s="17" t="n">
        <v>309832</v>
      </c>
      <c r="I27" s="17" t="n">
        <v>297964</v>
      </c>
      <c r="J27" s="17" t="n">
        <v>343384</v>
      </c>
      <c r="K27" s="17" t="n">
        <v>346372</v>
      </c>
      <c r="L27" s="17" t="n"/>
      <c r="M27" s="17" t="n"/>
      <c r="N27" s="17" t="n"/>
      <c r="O27" s="17" t="n"/>
    </row>
    <row r="28">
      <c r="A28" s="45" t="inlineStr">
        <is>
          <t>2102</t>
        </is>
      </c>
      <c r="B28" s="10" t="inlineStr">
        <is>
          <t xml:space="preserve">   Utang royalti</t>
        </is>
      </c>
      <c r="C28" s="17" t="n">
        <v>11000</v>
      </c>
      <c r="D28" s="17" t="n">
        <v>8437</v>
      </c>
      <c r="E28" s="17" t="n">
        <v>9349</v>
      </c>
      <c r="F28" s="17" t="n">
        <v>9041</v>
      </c>
      <c r="G28" s="17" t="n">
        <v>10983</v>
      </c>
      <c r="H28" s="17" t="n">
        <v>10414</v>
      </c>
      <c r="I28" s="17" t="n">
        <v>9989</v>
      </c>
      <c r="J28" s="17" t="n">
        <v>11500</v>
      </c>
      <c r="K28" s="17" t="n">
        <v>11996</v>
      </c>
      <c r="L28" s="17" t="n"/>
      <c r="M28" s="17" t="n"/>
      <c r="N28" s="17" t="n"/>
      <c r="O28" s="17" t="n"/>
    </row>
    <row r="29">
      <c r="A29" s="45" t="inlineStr">
        <is>
          <t>2201</t>
        </is>
      </c>
      <c r="B29" s="10" t="inlineStr">
        <is>
          <t xml:space="preserve">   Beban akrual</t>
        </is>
      </c>
      <c r="C29" s="17" t="n">
        <v>25000</v>
      </c>
      <c r="D29" s="17" t="n">
        <v>26910</v>
      </c>
      <c r="E29" s="17" t="n">
        <v>23091</v>
      </c>
      <c r="F29" s="17" t="n">
        <v>27972</v>
      </c>
      <c r="G29" s="17" t="n">
        <v>27738</v>
      </c>
      <c r="H29" s="17" t="n">
        <v>27111</v>
      </c>
      <c r="I29" s="17" t="n">
        <v>27916</v>
      </c>
      <c r="J29" s="17" t="n">
        <v>25063</v>
      </c>
      <c r="K29" s="17" t="n">
        <v>23247</v>
      </c>
      <c r="L29" s="17" t="n"/>
      <c r="M29" s="17" t="n"/>
      <c r="N29" s="17" t="n"/>
      <c r="O29" s="17" t="n"/>
    </row>
    <row r="30">
      <c r="A30" s="45" t="inlineStr">
        <is>
          <t>2301</t>
        </is>
      </c>
      <c r="B30" s="10" t="inlineStr">
        <is>
          <t xml:space="preserve">   Utang pajak</t>
        </is>
      </c>
      <c r="C30" s="17" t="n">
        <v>18000</v>
      </c>
      <c r="D30" s="17" t="n">
        <v>7627</v>
      </c>
      <c r="E30" s="17" t="n">
        <v>7086</v>
      </c>
      <c r="F30" s="17" t="n">
        <v>6178</v>
      </c>
      <c r="G30" s="17" t="n">
        <v>7709</v>
      </c>
      <c r="H30" s="17" t="n">
        <v>8814</v>
      </c>
      <c r="I30" s="17" t="n">
        <v>8166</v>
      </c>
      <c r="J30" s="17" t="n">
        <v>10185</v>
      </c>
      <c r="K30" s="17" t="n">
        <v>11308</v>
      </c>
      <c r="L30" s="17" t="n"/>
      <c r="M30" s="17" t="n"/>
      <c r="N30" s="17" t="n"/>
      <c r="O30" s="17" t="n"/>
    </row>
    <row r="31">
      <c r="A31" s="45" t="inlineStr">
        <is>
          <t>2401</t>
        </is>
      </c>
      <c r="B31" s="10" t="inlineStr">
        <is>
          <t xml:space="preserve">   Pinjaman bank jangka pendek</t>
        </is>
      </c>
      <c r="C31" s="17" t="n">
        <v>60000</v>
      </c>
      <c r="D31" s="17" t="n">
        <v>60000</v>
      </c>
      <c r="E31" s="17" t="n">
        <v>60000</v>
      </c>
      <c r="F31" s="17" t="n">
        <v>60000</v>
      </c>
      <c r="G31" s="17" t="n">
        <v>60000</v>
      </c>
      <c r="H31" s="17" t="n">
        <v>60000</v>
      </c>
      <c r="I31" s="17" t="n">
        <v>60000</v>
      </c>
      <c r="J31" s="17" t="n">
        <v>60000</v>
      </c>
      <c r="K31" s="17" t="n">
        <v>60000</v>
      </c>
      <c r="L31" s="17" t="n"/>
      <c r="M31" s="17" t="n"/>
      <c r="N31" s="17" t="n"/>
      <c r="O31" s="17" t="n"/>
    </row>
    <row r="32">
      <c r="A32" s="45" t="inlineStr">
        <is>
          <t>2402</t>
        </is>
      </c>
      <c r="B32" s="10" t="inlineStr">
        <is>
          <t xml:space="preserve">   Bagian lancar pinjaman jangka panjang</t>
        </is>
      </c>
      <c r="C32" s="17" t="n">
        <v>90000</v>
      </c>
      <c r="D32" s="17" t="n">
        <v>90000</v>
      </c>
      <c r="E32" s="17" t="n">
        <v>90000</v>
      </c>
      <c r="F32" s="17" t="n">
        <v>90000</v>
      </c>
      <c r="G32" s="17" t="n">
        <v>90000</v>
      </c>
      <c r="H32" s="17" t="n">
        <v>90000</v>
      </c>
      <c r="I32" s="17" t="n">
        <v>90000</v>
      </c>
      <c r="J32" s="17" t="n">
        <v>90000</v>
      </c>
      <c r="K32" s="17" t="n">
        <v>90000</v>
      </c>
      <c r="L32" s="17" t="n"/>
      <c r="M32" s="17" t="n"/>
      <c r="N32" s="17" t="n"/>
      <c r="O32" s="17" t="n"/>
    </row>
    <row r="33">
      <c r="A33" s="45" t="inlineStr"/>
      <c r="B33" s="46" t="inlineStr">
        <is>
          <t xml:space="preserve">   Jumlah liabilitas jangka pendek</t>
        </is>
      </c>
      <c r="C33" s="71">
        <f>C27+C28+C29+C30+C31+C32</f>
        <v/>
      </c>
      <c r="D33" s="71">
        <f>D27+D28+D29+D30+D31+D32</f>
        <v/>
      </c>
      <c r="E33" s="71">
        <f>E27+E28+E29+E30+E31+E32</f>
        <v/>
      </c>
      <c r="F33" s="71">
        <f>F27+F28+F29+F30+F31+F32</f>
        <v/>
      </c>
      <c r="G33" s="71">
        <f>G27+G28+G29+G30+G31+G32</f>
        <v/>
      </c>
      <c r="H33" s="71">
        <f>H27+H28+H29+H30+H31+H32</f>
        <v/>
      </c>
      <c r="I33" s="71">
        <f>I27+I28+I29+I30+I31+I32</f>
        <v/>
      </c>
      <c r="J33" s="71">
        <f>J27+J28+J29+J30+J31+J32</f>
        <v/>
      </c>
      <c r="K33" s="71">
        <f>K27+K28+K29+K30+K31+K32</f>
        <v/>
      </c>
      <c r="L33" s="71">
        <f>L27+L28+L29+L30+L31+L32</f>
        <v/>
      </c>
      <c r="M33" s="71">
        <f>M27+M28+M29+M30+M31+M32</f>
        <v/>
      </c>
      <c r="N33" s="71">
        <f>N27+N28+N29+N30+N31+N32</f>
        <v/>
      </c>
      <c r="O33" s="71">
        <f>O27+O28+O29+O30+O31+O32</f>
        <v/>
      </c>
    </row>
    <row r="34">
      <c r="A34" s="4" t="inlineStr">
        <is>
          <t>LIABILITAS JANGKA PANJANG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45" t="inlineStr">
        <is>
          <t>2501</t>
        </is>
      </c>
      <c r="B35" s="10" t="inlineStr">
        <is>
          <t xml:space="preserve">   Pinjaman bank jangka panjang</t>
        </is>
      </c>
      <c r="C35" s="17" t="n">
        <v>450000</v>
      </c>
      <c r="D35" s="17" t="n">
        <v>442500</v>
      </c>
      <c r="E35" s="17" t="n">
        <v>435000</v>
      </c>
      <c r="F35" s="17" t="n">
        <v>427500</v>
      </c>
      <c r="G35" s="17" t="n">
        <v>420000</v>
      </c>
      <c r="H35" s="17" t="n">
        <v>412500</v>
      </c>
      <c r="I35" s="17" t="n">
        <v>405000</v>
      </c>
      <c r="J35" s="17" t="n">
        <v>397500</v>
      </c>
      <c r="K35" s="17" t="n">
        <v>390000</v>
      </c>
      <c r="L35" s="17" t="n"/>
      <c r="M35" s="17" t="n"/>
      <c r="N35" s="17" t="n"/>
      <c r="O35" s="17" t="n"/>
    </row>
    <row r="36">
      <c r="A36" s="45" t="inlineStr">
        <is>
          <t>2601</t>
        </is>
      </c>
      <c r="B36" s="10" t="inlineStr">
        <is>
          <t xml:space="preserve">   Provisi reklamasi &amp; penutupan tambang</t>
        </is>
      </c>
      <c r="C36" s="17" t="n">
        <v>70000</v>
      </c>
      <c r="D36" s="17" t="n">
        <v>70858</v>
      </c>
      <c r="E36" s="17" t="n">
        <v>71835</v>
      </c>
      <c r="F36" s="17" t="n">
        <v>72794</v>
      </c>
      <c r="G36" s="17" t="n">
        <v>74029</v>
      </c>
      <c r="H36" s="17" t="n">
        <v>75155</v>
      </c>
      <c r="I36" s="17" t="n">
        <v>76290</v>
      </c>
      <c r="J36" s="17" t="n">
        <v>77634</v>
      </c>
      <c r="K36" s="17" t="n">
        <v>79033</v>
      </c>
      <c r="L36" s="17" t="n"/>
      <c r="M36" s="17" t="n"/>
      <c r="N36" s="17" t="n"/>
      <c r="O36" s="17" t="n"/>
    </row>
    <row r="37">
      <c r="A37" s="45" t="inlineStr">
        <is>
          <t>2701</t>
        </is>
      </c>
      <c r="B37" s="10" t="inlineStr">
        <is>
          <t xml:space="preserve">   Liabilitas imbalan kerja</t>
        </is>
      </c>
      <c r="C37" s="17" t="n">
        <v>30000</v>
      </c>
      <c r="D37" s="17" t="n">
        <v>30250</v>
      </c>
      <c r="E37" s="17" t="n">
        <v>30500</v>
      </c>
      <c r="F37" s="17" t="n">
        <v>30750</v>
      </c>
      <c r="G37" s="17" t="n">
        <v>31000</v>
      </c>
      <c r="H37" s="17" t="n">
        <v>31250</v>
      </c>
      <c r="I37" s="17" t="n">
        <v>31500</v>
      </c>
      <c r="J37" s="17" t="n">
        <v>31750</v>
      </c>
      <c r="K37" s="17" t="n">
        <v>32000</v>
      </c>
      <c r="L37" s="17" t="n"/>
      <c r="M37" s="17" t="n"/>
      <c r="N37" s="17" t="n"/>
      <c r="O37" s="17" t="n"/>
    </row>
    <row r="38">
      <c r="A38" s="45" t="inlineStr">
        <is>
          <t>2801</t>
        </is>
      </c>
      <c r="B38" s="10" t="inlineStr">
        <is>
          <t xml:space="preserve">   Liabilitas pajak tangguhan</t>
        </is>
      </c>
      <c r="C38" s="17" t="n">
        <v>15000</v>
      </c>
      <c r="D38" s="17" t="n">
        <v>15000</v>
      </c>
      <c r="E38" s="17" t="n">
        <v>15000</v>
      </c>
      <c r="F38" s="17" t="n">
        <v>15000</v>
      </c>
      <c r="G38" s="17" t="n">
        <v>15000</v>
      </c>
      <c r="H38" s="17" t="n">
        <v>15000</v>
      </c>
      <c r="I38" s="17" t="n">
        <v>15000</v>
      </c>
      <c r="J38" s="17" t="n">
        <v>15000</v>
      </c>
      <c r="K38" s="17" t="n">
        <v>15000</v>
      </c>
      <c r="L38" s="17" t="n"/>
      <c r="M38" s="17" t="n"/>
      <c r="N38" s="17" t="n"/>
      <c r="O38" s="17" t="n"/>
    </row>
    <row r="39">
      <c r="A39" s="45" t="inlineStr"/>
      <c r="B39" s="46" t="inlineStr">
        <is>
          <t xml:space="preserve">   Jumlah liabilitas jangka panjang</t>
        </is>
      </c>
      <c r="C39" s="71">
        <f>C35+C36+C37+C38</f>
        <v/>
      </c>
      <c r="D39" s="71">
        <f>D35+D36+D37+D38</f>
        <v/>
      </c>
      <c r="E39" s="71">
        <f>E35+E36+E37+E38</f>
        <v/>
      </c>
      <c r="F39" s="71">
        <f>F35+F36+F37+F38</f>
        <v/>
      </c>
      <c r="G39" s="71">
        <f>G35+G36+G37+G38</f>
        <v/>
      </c>
      <c r="H39" s="71">
        <f>H35+H36+H37+H38</f>
        <v/>
      </c>
      <c r="I39" s="71">
        <f>I35+I36+I37+I38</f>
        <v/>
      </c>
      <c r="J39" s="71">
        <f>J35+J36+J37+J38</f>
        <v/>
      </c>
      <c r="K39" s="71">
        <f>K35+K36+K37+K38</f>
        <v/>
      </c>
      <c r="L39" s="71">
        <f>L35+L36+L37+L38</f>
        <v/>
      </c>
      <c r="M39" s="71">
        <f>M35+M36+M37+M38</f>
        <v/>
      </c>
      <c r="N39" s="71">
        <f>N35+N36+N37+N38</f>
        <v/>
      </c>
      <c r="O39" s="71">
        <f>O35+O36+O37+O38</f>
        <v/>
      </c>
    </row>
    <row r="40">
      <c r="A40" s="82" t="inlineStr"/>
      <c r="B40" s="31" t="inlineStr">
        <is>
          <t>JUMLAH LIABILITAS</t>
        </is>
      </c>
      <c r="C40" s="33">
        <f>C33+C39</f>
        <v/>
      </c>
      <c r="D40" s="33">
        <f>D33+D39</f>
        <v/>
      </c>
      <c r="E40" s="33">
        <f>E33+E39</f>
        <v/>
      </c>
      <c r="F40" s="33">
        <f>F33+F39</f>
        <v/>
      </c>
      <c r="G40" s="33">
        <f>G33+G39</f>
        <v/>
      </c>
      <c r="H40" s="33">
        <f>H33+H39</f>
        <v/>
      </c>
      <c r="I40" s="33">
        <f>I33+I39</f>
        <v/>
      </c>
      <c r="J40" s="33">
        <f>J33+J39</f>
        <v/>
      </c>
      <c r="K40" s="33">
        <f>K33+K39</f>
        <v/>
      </c>
      <c r="L40" s="33">
        <f>L33+L39</f>
        <v/>
      </c>
      <c r="M40" s="33">
        <f>M33+M39</f>
        <v/>
      </c>
      <c r="N40" s="33">
        <f>N33+N39</f>
        <v/>
      </c>
      <c r="O40" s="33">
        <f>O33+O39</f>
        <v/>
      </c>
    </row>
    <row r="41">
      <c r="A41" s="4" t="inlineStr">
        <is>
          <t>EKUITAS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45" t="inlineStr">
        <is>
          <t>3101</t>
        </is>
      </c>
      <c r="B42" s="10" t="inlineStr">
        <is>
          <t xml:space="preserve">   Modal saham</t>
        </is>
      </c>
      <c r="C42" s="17" t="n">
        <v>400000</v>
      </c>
      <c r="D42" s="17" t="n">
        <v>400000</v>
      </c>
      <c r="E42" s="17" t="n">
        <v>400000</v>
      </c>
      <c r="F42" s="17" t="n">
        <v>400000</v>
      </c>
      <c r="G42" s="17" t="n">
        <v>400000</v>
      </c>
      <c r="H42" s="17" t="n">
        <v>400000</v>
      </c>
      <c r="I42" s="17" t="n">
        <v>400000</v>
      </c>
      <c r="J42" s="17" t="n">
        <v>400000</v>
      </c>
      <c r="K42" s="17" t="n">
        <v>400000</v>
      </c>
      <c r="L42" s="17" t="n"/>
      <c r="M42" s="17" t="n"/>
      <c r="N42" s="17" t="n"/>
      <c r="O42" s="17" t="n"/>
    </row>
    <row r="43">
      <c r="A43" s="45" t="inlineStr">
        <is>
          <t>3102</t>
        </is>
      </c>
      <c r="B43" s="10" t="inlineStr">
        <is>
          <t xml:space="preserve">   Tambahan modal disetor</t>
        </is>
      </c>
      <c r="C43" s="17" t="n">
        <v>100000</v>
      </c>
      <c r="D43" s="17" t="n">
        <v>100000</v>
      </c>
      <c r="E43" s="17" t="n">
        <v>100000</v>
      </c>
      <c r="F43" s="17" t="n">
        <v>100000</v>
      </c>
      <c r="G43" s="17" t="n">
        <v>100000</v>
      </c>
      <c r="H43" s="17" t="n">
        <v>100000</v>
      </c>
      <c r="I43" s="17" t="n">
        <v>100000</v>
      </c>
      <c r="J43" s="17" t="n">
        <v>100000</v>
      </c>
      <c r="K43" s="17" t="n">
        <v>100000</v>
      </c>
      <c r="L43" s="17" t="n"/>
      <c r="M43" s="17" t="n"/>
      <c r="N43" s="17" t="n"/>
      <c r="O43" s="17" t="n"/>
    </row>
    <row r="44">
      <c r="A44" s="45" t="inlineStr">
        <is>
          <t>3201</t>
        </is>
      </c>
      <c r="B44" s="10" t="inlineStr">
        <is>
          <t xml:space="preserve">   Saldo laba (termasuk laba tahun berjalan)</t>
        </is>
      </c>
      <c r="C44" s="17" t="n">
        <v>490000</v>
      </c>
      <c r="D44" s="17" t="n">
        <v>499315</v>
      </c>
      <c r="E44" s="17" t="n">
        <v>506712</v>
      </c>
      <c r="F44" s="17" t="n">
        <v>510890</v>
      </c>
      <c r="G44" s="17" t="n">
        <v>520496</v>
      </c>
      <c r="H44" s="17" t="n">
        <v>534019</v>
      </c>
      <c r="I44" s="17" t="n">
        <v>505246</v>
      </c>
      <c r="J44" s="17" t="n">
        <v>523629</v>
      </c>
      <c r="K44" s="17" t="n">
        <v>545995</v>
      </c>
      <c r="L44" s="17" t="n"/>
      <c r="M44" s="17" t="n"/>
      <c r="N44" s="17" t="n"/>
      <c r="O44" s="17" t="n"/>
    </row>
    <row r="45">
      <c r="A45" s="45" t="inlineStr">
        <is>
          <t>3301</t>
        </is>
      </c>
      <c r="B45" s="10" t="inlineStr">
        <is>
          <t xml:space="preserve">   Penghasilan komprehensif lain</t>
        </is>
      </c>
      <c r="C45" s="17" t="n">
        <v>3000</v>
      </c>
      <c r="D45" s="17" t="n">
        <v>3000</v>
      </c>
      <c r="E45" s="17" t="n">
        <v>3000</v>
      </c>
      <c r="F45" s="17" t="n">
        <v>3000</v>
      </c>
      <c r="G45" s="17" t="n">
        <v>3000</v>
      </c>
      <c r="H45" s="17" t="n">
        <v>3000</v>
      </c>
      <c r="I45" s="17" t="n">
        <v>3000</v>
      </c>
      <c r="J45" s="17" t="n">
        <v>3000</v>
      </c>
      <c r="K45" s="17" t="n">
        <v>3000</v>
      </c>
      <c r="L45" s="17" t="n"/>
      <c r="M45" s="17" t="n"/>
      <c r="N45" s="17" t="n"/>
      <c r="O45" s="17" t="n"/>
    </row>
    <row r="46">
      <c r="A46" s="45" t="inlineStr"/>
      <c r="B46" s="46" t="inlineStr">
        <is>
          <t xml:space="preserve">   JUMLAH EKUITAS</t>
        </is>
      </c>
      <c r="C46" s="71">
        <f>C42+C43+C44+C45</f>
        <v/>
      </c>
      <c r="D46" s="71">
        <f>D42+D43+D44+D45</f>
        <v/>
      </c>
      <c r="E46" s="71">
        <f>E42+E43+E44+E45</f>
        <v/>
      </c>
      <c r="F46" s="71">
        <f>F42+F43+F44+F45</f>
        <v/>
      </c>
      <c r="G46" s="71">
        <f>G42+G43+G44+G45</f>
        <v/>
      </c>
      <c r="H46" s="71">
        <f>H42+H43+H44+H45</f>
        <v/>
      </c>
      <c r="I46" s="71">
        <f>I42+I43+I44+I45</f>
        <v/>
      </c>
      <c r="J46" s="71">
        <f>J42+J43+J44+J45</f>
        <v/>
      </c>
      <c r="K46" s="71">
        <f>K42+K43+K44+K45</f>
        <v/>
      </c>
      <c r="L46" s="71">
        <f>L42+L43+L44+L45</f>
        <v/>
      </c>
      <c r="M46" s="71">
        <f>M42+M43+M44+M45</f>
        <v/>
      </c>
      <c r="N46" s="71">
        <f>N42+N43+N44+N45</f>
        <v/>
      </c>
      <c r="O46" s="71">
        <f>O42+O43+O44+O45</f>
        <v/>
      </c>
    </row>
    <row r="47">
      <c r="A47" s="82" t="inlineStr"/>
      <c r="B47" s="31" t="inlineStr">
        <is>
          <t>JUMLAH LIABILITAS DAN EKUITAS</t>
        </is>
      </c>
      <c r="C47" s="33">
        <f>C40+C46</f>
        <v/>
      </c>
      <c r="D47" s="33">
        <f>D40+D46</f>
        <v/>
      </c>
      <c r="E47" s="33">
        <f>E40+E46</f>
        <v/>
      </c>
      <c r="F47" s="33">
        <f>F40+F46</f>
        <v/>
      </c>
      <c r="G47" s="33">
        <f>G40+G46</f>
        <v/>
      </c>
      <c r="H47" s="33">
        <f>H40+H46</f>
        <v/>
      </c>
      <c r="I47" s="33">
        <f>I40+I46</f>
        <v/>
      </c>
      <c r="J47" s="33">
        <f>J40+J46</f>
        <v/>
      </c>
      <c r="K47" s="33">
        <f>K40+K46</f>
        <v/>
      </c>
      <c r="L47" s="33">
        <f>L40+L46</f>
        <v/>
      </c>
      <c r="M47" s="33">
        <f>M40+M46</f>
        <v/>
      </c>
      <c r="N47" s="33">
        <f>N40+N46</f>
        <v/>
      </c>
      <c r="O47" s="33">
        <f>O40+O46</f>
        <v/>
      </c>
    </row>
    <row r="48">
      <c r="A48" s="45" t="inlineStr"/>
      <c r="B48" s="37" t="inlineStr">
        <is>
          <t>Cek keseimbangan (harus 0)</t>
        </is>
      </c>
      <c r="C48" s="38">
        <f>ROUND(C25-C47,0)</f>
        <v/>
      </c>
      <c r="D48" s="38">
        <f>ROUND(D25-D47,0)</f>
        <v/>
      </c>
      <c r="E48" s="38">
        <f>ROUND(E25-E47,0)</f>
        <v/>
      </c>
      <c r="F48" s="38">
        <f>ROUND(F25-F47,0)</f>
        <v/>
      </c>
      <c r="G48" s="38">
        <f>ROUND(G25-G47,0)</f>
        <v/>
      </c>
      <c r="H48" s="38">
        <f>ROUND(H25-H47,0)</f>
        <v/>
      </c>
      <c r="I48" s="38">
        <f>ROUND(I25-I47,0)</f>
        <v/>
      </c>
      <c r="J48" s="38">
        <f>ROUND(J25-J47,0)</f>
        <v/>
      </c>
      <c r="K48" s="38">
        <f>ROUND(K25-K47,0)</f>
        <v/>
      </c>
      <c r="L48" s="38">
        <f>ROUND(L25-L47,0)</f>
        <v/>
      </c>
      <c r="M48" s="38">
        <f>ROUND(M25-M47,0)</f>
        <v/>
      </c>
      <c r="N48" s="38">
        <f>ROUND(N25-N47,0)</f>
        <v/>
      </c>
      <c r="O48" s="38">
        <f>ROUND(O25-O47,0)</f>
        <v/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P43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6" customWidth="1" min="16" max="16"/>
  </cols>
  <sheetData>
    <row r="1">
      <c r="A1" s="1" t="inlineStr">
        <is>
          <t>GEG – Laporan Arus Kas Bulanan (otomatis dari Laba Rugi Aktual &amp; Neraca)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Tidak perlu input. Kolom P = kumulatif s/d bulan laporan (C1).</t>
        </is>
      </c>
    </row>
    <row r="3"/>
    <row r="4"/>
    <row r="5">
      <c r="D5" s="80" t="n">
        <v>1</v>
      </c>
      <c r="E5" s="80" t="n">
        <v>2</v>
      </c>
      <c r="F5" s="80" t="n">
        <v>3</v>
      </c>
      <c r="G5" s="80" t="n">
        <v>4</v>
      </c>
      <c r="H5" s="80" t="n">
        <v>5</v>
      </c>
      <c r="I5" s="80" t="n">
        <v>6</v>
      </c>
      <c r="J5" s="80" t="n">
        <v>7</v>
      </c>
      <c r="K5" s="80" t="n">
        <v>8</v>
      </c>
      <c r="L5" s="80" t="n">
        <v>9</v>
      </c>
      <c r="M5" s="80" t="n">
        <v>10</v>
      </c>
      <c r="N5" s="80" t="n">
        <v>11</v>
      </c>
      <c r="O5" s="80" t="n">
        <v>12</v>
      </c>
    </row>
    <row r="6">
      <c r="A6" s="16" t="inlineStr"/>
      <c r="B6" s="16" t="inlineStr">
        <is>
          <t>Uraian</t>
        </is>
      </c>
      <c r="C6" s="16" t="inlineStr"/>
      <c r="D6" s="16" t="inlineStr">
        <is>
          <t>Jan</t>
        </is>
      </c>
      <c r="E6" s="16" t="inlineStr">
        <is>
          <t>Feb</t>
        </is>
      </c>
      <c r="F6" s="16" t="inlineStr">
        <is>
          <t>Mar</t>
        </is>
      </c>
      <c r="G6" s="16" t="inlineStr">
        <is>
          <t>Apr</t>
        </is>
      </c>
      <c r="H6" s="16" t="inlineStr">
        <is>
          <t>Mei</t>
        </is>
      </c>
      <c r="I6" s="16" t="inlineStr">
        <is>
          <t>Jun</t>
        </is>
      </c>
      <c r="J6" s="16" t="inlineStr">
        <is>
          <t>Jul</t>
        </is>
      </c>
      <c r="K6" s="16" t="inlineStr">
        <is>
          <t>Agu</t>
        </is>
      </c>
      <c r="L6" s="16" t="inlineStr">
        <is>
          <t>Sep</t>
        </is>
      </c>
      <c r="M6" s="16" t="inlineStr">
        <is>
          <t>Okt</t>
        </is>
      </c>
      <c r="N6" s="16" t="inlineStr">
        <is>
          <t>Nov</t>
        </is>
      </c>
      <c r="O6" s="16" t="inlineStr">
        <is>
          <t>Des</t>
        </is>
      </c>
      <c r="P6" s="16" t="inlineStr">
        <is>
          <t>YTD s/d bulan laporan</t>
        </is>
      </c>
    </row>
    <row r="7">
      <c r="A7" s="4" t="inlineStr">
        <is>
          <t>ARUS KAS DARI AKTIVITAS OPERASI (metode tidak langsung)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B8" s="10" t="inlineStr">
        <is>
          <t xml:space="preserve">   Laba bersih</t>
        </is>
      </c>
      <c r="D8" s="28">
        <f>IF('C6 GEG Neraca Aktual'!D$25=0,"",'C5 GEG LR Aktual'!D83)</f>
        <v/>
      </c>
      <c r="E8" s="28">
        <f>IF('C6 GEG Neraca Aktual'!E$25=0,"",'C5 GEG LR Aktual'!E83)</f>
        <v/>
      </c>
      <c r="F8" s="28">
        <f>IF('C6 GEG Neraca Aktual'!F$25=0,"",'C5 GEG LR Aktual'!F83)</f>
        <v/>
      </c>
      <c r="G8" s="28">
        <f>IF('C6 GEG Neraca Aktual'!G$25=0,"",'C5 GEG LR Aktual'!G83)</f>
        <v/>
      </c>
      <c r="H8" s="28">
        <f>IF('C6 GEG Neraca Aktual'!H$25=0,"",'C5 GEG LR Aktual'!H83)</f>
        <v/>
      </c>
      <c r="I8" s="28">
        <f>IF('C6 GEG Neraca Aktual'!I$25=0,"",'C5 GEG LR Aktual'!I83)</f>
        <v/>
      </c>
      <c r="J8" s="28">
        <f>IF('C6 GEG Neraca Aktual'!J$25=0,"",'C5 GEG LR Aktual'!J83)</f>
        <v/>
      </c>
      <c r="K8" s="28">
        <f>IF('C6 GEG Neraca Aktual'!K$25=0,"",'C5 GEG LR Aktual'!K83)</f>
        <v/>
      </c>
      <c r="L8" s="28">
        <f>IF('C6 GEG Neraca Aktual'!L$25=0,"",'C5 GEG LR Aktual'!L83)</f>
        <v/>
      </c>
      <c r="M8" s="28">
        <f>IF('C6 GEG Neraca Aktual'!M$25=0,"",'C5 GEG LR Aktual'!M83)</f>
        <v/>
      </c>
      <c r="N8" s="28">
        <f>IF('C6 GEG Neraca Aktual'!N$25=0,"",'C5 GEG LR Aktual'!N83)</f>
        <v/>
      </c>
      <c r="O8" s="28">
        <f>IF('C6 GEG Neraca Aktual'!O$25=0,"",'C5 GEG LR Aktual'!O83)</f>
        <v/>
      </c>
      <c r="P8" s="28">
        <f>SUMIF($D$5:$O$5,"&lt;="&amp;'C1 GEG Setting'!$C$6,D8:O8)</f>
        <v/>
      </c>
    </row>
    <row r="9">
      <c r="B9" s="10" t="inlineStr">
        <is>
          <t xml:space="preserve">   Penyusutan &amp; amortisasi</t>
        </is>
      </c>
      <c r="D9" s="28">
        <f>IF('C6 GEG Neraca Aktual'!D$25=0,"",'C5 GEG LR Aktual'!D46+'C5 GEG LR Aktual'!D69)</f>
        <v/>
      </c>
      <c r="E9" s="28">
        <f>IF('C6 GEG Neraca Aktual'!E$25=0,"",'C5 GEG LR Aktual'!E46+'C5 GEG LR Aktual'!E69)</f>
        <v/>
      </c>
      <c r="F9" s="28">
        <f>IF('C6 GEG Neraca Aktual'!F$25=0,"",'C5 GEG LR Aktual'!F46+'C5 GEG LR Aktual'!F69)</f>
        <v/>
      </c>
      <c r="G9" s="28">
        <f>IF('C6 GEG Neraca Aktual'!G$25=0,"",'C5 GEG LR Aktual'!G46+'C5 GEG LR Aktual'!G69)</f>
        <v/>
      </c>
      <c r="H9" s="28">
        <f>IF('C6 GEG Neraca Aktual'!H$25=0,"",'C5 GEG LR Aktual'!H46+'C5 GEG LR Aktual'!H69)</f>
        <v/>
      </c>
      <c r="I9" s="28">
        <f>IF('C6 GEG Neraca Aktual'!I$25=0,"",'C5 GEG LR Aktual'!I46+'C5 GEG LR Aktual'!I69)</f>
        <v/>
      </c>
      <c r="J9" s="28">
        <f>IF('C6 GEG Neraca Aktual'!J$25=0,"",'C5 GEG LR Aktual'!J46+'C5 GEG LR Aktual'!J69)</f>
        <v/>
      </c>
      <c r="K9" s="28">
        <f>IF('C6 GEG Neraca Aktual'!K$25=0,"",'C5 GEG LR Aktual'!K46+'C5 GEG LR Aktual'!K69)</f>
        <v/>
      </c>
      <c r="L9" s="28">
        <f>IF('C6 GEG Neraca Aktual'!L$25=0,"",'C5 GEG LR Aktual'!L46+'C5 GEG LR Aktual'!L69)</f>
        <v/>
      </c>
      <c r="M9" s="28">
        <f>IF('C6 GEG Neraca Aktual'!M$25=0,"",'C5 GEG LR Aktual'!M46+'C5 GEG LR Aktual'!M69)</f>
        <v/>
      </c>
      <c r="N9" s="28">
        <f>IF('C6 GEG Neraca Aktual'!N$25=0,"",'C5 GEG LR Aktual'!N46+'C5 GEG LR Aktual'!N69)</f>
        <v/>
      </c>
      <c r="O9" s="28">
        <f>IF('C6 GEG Neraca Aktual'!O$25=0,"",'C5 GEG LR Aktual'!O46+'C5 GEG LR Aktual'!O69)</f>
        <v/>
      </c>
      <c r="P9" s="28">
        <f>SUMIF($D$5:$O$5,"&lt;="&amp;'C1 GEG Setting'!$C$6,D9:O9)</f>
        <v/>
      </c>
    </row>
    <row r="10">
      <c r="B10" s="10" t="inlineStr">
        <is>
          <t xml:space="preserve">   Kenaikan provisi reklamasi – neto</t>
        </is>
      </c>
      <c r="D10" s="28">
        <f>IF('C6 GEG Neraca Aktual'!D$25=0,"",('C6 GEG Neraca Aktual'!D36-'C6 GEG Neraca Aktual'!C36))</f>
        <v/>
      </c>
      <c r="E10" s="28">
        <f>IF('C6 GEG Neraca Aktual'!E$25=0,"",('C6 GEG Neraca Aktual'!E36-'C6 GEG Neraca Aktual'!D36))</f>
        <v/>
      </c>
      <c r="F10" s="28">
        <f>IF('C6 GEG Neraca Aktual'!F$25=0,"",('C6 GEG Neraca Aktual'!F36-'C6 GEG Neraca Aktual'!E36))</f>
        <v/>
      </c>
      <c r="G10" s="28">
        <f>IF('C6 GEG Neraca Aktual'!G$25=0,"",('C6 GEG Neraca Aktual'!G36-'C6 GEG Neraca Aktual'!F36))</f>
        <v/>
      </c>
      <c r="H10" s="28">
        <f>IF('C6 GEG Neraca Aktual'!H$25=0,"",('C6 GEG Neraca Aktual'!H36-'C6 GEG Neraca Aktual'!G36))</f>
        <v/>
      </c>
      <c r="I10" s="28">
        <f>IF('C6 GEG Neraca Aktual'!I$25=0,"",('C6 GEG Neraca Aktual'!I36-'C6 GEG Neraca Aktual'!H36))</f>
        <v/>
      </c>
      <c r="J10" s="28">
        <f>IF('C6 GEG Neraca Aktual'!J$25=0,"",('C6 GEG Neraca Aktual'!J36-'C6 GEG Neraca Aktual'!I36))</f>
        <v/>
      </c>
      <c r="K10" s="28">
        <f>IF('C6 GEG Neraca Aktual'!K$25=0,"",('C6 GEG Neraca Aktual'!K36-'C6 GEG Neraca Aktual'!J36))</f>
        <v/>
      </c>
      <c r="L10" s="28">
        <f>IF('C6 GEG Neraca Aktual'!L$25=0,"",('C6 GEG Neraca Aktual'!L36-'C6 GEG Neraca Aktual'!K36))</f>
        <v/>
      </c>
      <c r="M10" s="28">
        <f>IF('C6 GEG Neraca Aktual'!M$25=0,"",('C6 GEG Neraca Aktual'!M36-'C6 GEG Neraca Aktual'!L36))</f>
        <v/>
      </c>
      <c r="N10" s="28">
        <f>IF('C6 GEG Neraca Aktual'!N$25=0,"",('C6 GEG Neraca Aktual'!N36-'C6 GEG Neraca Aktual'!M36))</f>
        <v/>
      </c>
      <c r="O10" s="28">
        <f>IF('C6 GEG Neraca Aktual'!O$25=0,"",('C6 GEG Neraca Aktual'!O36-'C6 GEG Neraca Aktual'!N36))</f>
        <v/>
      </c>
      <c r="P10" s="28">
        <f>SUMIF($D$5:$O$5,"&lt;="&amp;'C1 GEG Setting'!$C$6,D10:O10)</f>
        <v/>
      </c>
    </row>
    <row r="11">
      <c r="B11" s="10" t="inlineStr">
        <is>
          <t xml:space="preserve">   Kenaikan liabilitas imbalan kerja</t>
        </is>
      </c>
      <c r="D11" s="28">
        <f>IF('C6 GEG Neraca Aktual'!D$25=0,"",('C6 GEG Neraca Aktual'!D37-'C6 GEG Neraca Aktual'!C37))</f>
        <v/>
      </c>
      <c r="E11" s="28">
        <f>IF('C6 GEG Neraca Aktual'!E$25=0,"",('C6 GEG Neraca Aktual'!E37-'C6 GEG Neraca Aktual'!D37))</f>
        <v/>
      </c>
      <c r="F11" s="28">
        <f>IF('C6 GEG Neraca Aktual'!F$25=0,"",('C6 GEG Neraca Aktual'!F37-'C6 GEG Neraca Aktual'!E37))</f>
        <v/>
      </c>
      <c r="G11" s="28">
        <f>IF('C6 GEG Neraca Aktual'!G$25=0,"",('C6 GEG Neraca Aktual'!G37-'C6 GEG Neraca Aktual'!F37))</f>
        <v/>
      </c>
      <c r="H11" s="28">
        <f>IF('C6 GEG Neraca Aktual'!H$25=0,"",('C6 GEG Neraca Aktual'!H37-'C6 GEG Neraca Aktual'!G37))</f>
        <v/>
      </c>
      <c r="I11" s="28">
        <f>IF('C6 GEG Neraca Aktual'!I$25=0,"",('C6 GEG Neraca Aktual'!I37-'C6 GEG Neraca Aktual'!H37))</f>
        <v/>
      </c>
      <c r="J11" s="28">
        <f>IF('C6 GEG Neraca Aktual'!J$25=0,"",('C6 GEG Neraca Aktual'!J37-'C6 GEG Neraca Aktual'!I37))</f>
        <v/>
      </c>
      <c r="K11" s="28">
        <f>IF('C6 GEG Neraca Aktual'!K$25=0,"",('C6 GEG Neraca Aktual'!K37-'C6 GEG Neraca Aktual'!J37))</f>
        <v/>
      </c>
      <c r="L11" s="28">
        <f>IF('C6 GEG Neraca Aktual'!L$25=0,"",('C6 GEG Neraca Aktual'!L37-'C6 GEG Neraca Aktual'!K37))</f>
        <v/>
      </c>
      <c r="M11" s="28">
        <f>IF('C6 GEG Neraca Aktual'!M$25=0,"",('C6 GEG Neraca Aktual'!M37-'C6 GEG Neraca Aktual'!L37))</f>
        <v/>
      </c>
      <c r="N11" s="28">
        <f>IF('C6 GEG Neraca Aktual'!N$25=0,"",('C6 GEG Neraca Aktual'!N37-'C6 GEG Neraca Aktual'!M37))</f>
        <v/>
      </c>
      <c r="O11" s="28">
        <f>IF('C6 GEG Neraca Aktual'!O$25=0,"",('C6 GEG Neraca Aktual'!O37-'C6 GEG Neraca Aktual'!N37))</f>
        <v/>
      </c>
      <c r="P11" s="28">
        <f>SUMIF($D$5:$O$5,"&lt;="&amp;'C1 GEG Setting'!$C$6,D11:O11)</f>
        <v/>
      </c>
    </row>
    <row r="12">
      <c r="B12" s="10" t="inlineStr">
        <is>
          <t xml:space="preserve">   Perubahan pajak tangguhan</t>
        </is>
      </c>
      <c r="D12" s="28">
        <f>IF('C6 GEG Neraca Aktual'!D$25=0,"",-('C6 GEG Neraca Aktual'!D22-'C6 GEG Neraca Aktual'!C22)+('C6 GEG Neraca Aktual'!D38-'C6 GEG Neraca Aktual'!C38))</f>
        <v/>
      </c>
      <c r="E12" s="28">
        <f>IF('C6 GEG Neraca Aktual'!E$25=0,"",-('C6 GEG Neraca Aktual'!E22-'C6 GEG Neraca Aktual'!D22)+('C6 GEG Neraca Aktual'!E38-'C6 GEG Neraca Aktual'!D38))</f>
        <v/>
      </c>
      <c r="F12" s="28">
        <f>IF('C6 GEG Neraca Aktual'!F$25=0,"",-('C6 GEG Neraca Aktual'!F22-'C6 GEG Neraca Aktual'!E22)+('C6 GEG Neraca Aktual'!F38-'C6 GEG Neraca Aktual'!E38))</f>
        <v/>
      </c>
      <c r="G12" s="28">
        <f>IF('C6 GEG Neraca Aktual'!G$25=0,"",-('C6 GEG Neraca Aktual'!G22-'C6 GEG Neraca Aktual'!F22)+('C6 GEG Neraca Aktual'!G38-'C6 GEG Neraca Aktual'!F38))</f>
        <v/>
      </c>
      <c r="H12" s="28">
        <f>IF('C6 GEG Neraca Aktual'!H$25=0,"",-('C6 GEG Neraca Aktual'!H22-'C6 GEG Neraca Aktual'!G22)+('C6 GEG Neraca Aktual'!H38-'C6 GEG Neraca Aktual'!G38))</f>
        <v/>
      </c>
      <c r="I12" s="28">
        <f>IF('C6 GEG Neraca Aktual'!I$25=0,"",-('C6 GEG Neraca Aktual'!I22-'C6 GEG Neraca Aktual'!H22)+('C6 GEG Neraca Aktual'!I38-'C6 GEG Neraca Aktual'!H38))</f>
        <v/>
      </c>
      <c r="J12" s="28">
        <f>IF('C6 GEG Neraca Aktual'!J$25=0,"",-('C6 GEG Neraca Aktual'!J22-'C6 GEG Neraca Aktual'!I22)+('C6 GEG Neraca Aktual'!J38-'C6 GEG Neraca Aktual'!I38))</f>
        <v/>
      </c>
      <c r="K12" s="28">
        <f>IF('C6 GEG Neraca Aktual'!K$25=0,"",-('C6 GEG Neraca Aktual'!K22-'C6 GEG Neraca Aktual'!J22)+('C6 GEG Neraca Aktual'!K38-'C6 GEG Neraca Aktual'!J38))</f>
        <v/>
      </c>
      <c r="L12" s="28">
        <f>IF('C6 GEG Neraca Aktual'!L$25=0,"",-('C6 GEG Neraca Aktual'!L22-'C6 GEG Neraca Aktual'!K22)+('C6 GEG Neraca Aktual'!L38-'C6 GEG Neraca Aktual'!K38))</f>
        <v/>
      </c>
      <c r="M12" s="28">
        <f>IF('C6 GEG Neraca Aktual'!M$25=0,"",-('C6 GEG Neraca Aktual'!M22-'C6 GEG Neraca Aktual'!L22)+('C6 GEG Neraca Aktual'!M38-'C6 GEG Neraca Aktual'!L38))</f>
        <v/>
      </c>
      <c r="N12" s="28">
        <f>IF('C6 GEG Neraca Aktual'!N$25=0,"",-('C6 GEG Neraca Aktual'!N22-'C6 GEG Neraca Aktual'!M22)+('C6 GEG Neraca Aktual'!N38-'C6 GEG Neraca Aktual'!M38))</f>
        <v/>
      </c>
      <c r="O12" s="28">
        <f>IF('C6 GEG Neraca Aktual'!O$25=0,"",-('C6 GEG Neraca Aktual'!O22-'C6 GEG Neraca Aktual'!N22)+('C6 GEG Neraca Aktual'!O38-'C6 GEG Neraca Aktual'!N38))</f>
        <v/>
      </c>
      <c r="P12" s="28">
        <f>SUMIF($D$5:$O$5,"&lt;="&amp;'C1 GEG Setting'!$C$6,D12:O12)</f>
        <v/>
      </c>
    </row>
    <row r="13">
      <c r="B13" s="10" t="inlineStr">
        <is>
          <t xml:space="preserve">   Piutang usaha</t>
        </is>
      </c>
      <c r="D13" s="28">
        <f>IF('C6 GEG Neraca Aktual'!D$25=0,"",-('C6 GEG Neraca Aktual'!D9-'C6 GEG Neraca Aktual'!C9))</f>
        <v/>
      </c>
      <c r="E13" s="28">
        <f>IF('C6 GEG Neraca Aktual'!E$25=0,"",-('C6 GEG Neraca Aktual'!E9-'C6 GEG Neraca Aktual'!D9))</f>
        <v/>
      </c>
      <c r="F13" s="28">
        <f>IF('C6 GEG Neraca Aktual'!F$25=0,"",-('C6 GEG Neraca Aktual'!F9-'C6 GEG Neraca Aktual'!E9))</f>
        <v/>
      </c>
      <c r="G13" s="28">
        <f>IF('C6 GEG Neraca Aktual'!G$25=0,"",-('C6 GEG Neraca Aktual'!G9-'C6 GEG Neraca Aktual'!F9))</f>
        <v/>
      </c>
      <c r="H13" s="28">
        <f>IF('C6 GEG Neraca Aktual'!H$25=0,"",-('C6 GEG Neraca Aktual'!H9-'C6 GEG Neraca Aktual'!G9))</f>
        <v/>
      </c>
      <c r="I13" s="28">
        <f>IF('C6 GEG Neraca Aktual'!I$25=0,"",-('C6 GEG Neraca Aktual'!I9-'C6 GEG Neraca Aktual'!H9))</f>
        <v/>
      </c>
      <c r="J13" s="28">
        <f>IF('C6 GEG Neraca Aktual'!J$25=0,"",-('C6 GEG Neraca Aktual'!J9-'C6 GEG Neraca Aktual'!I9))</f>
        <v/>
      </c>
      <c r="K13" s="28">
        <f>IF('C6 GEG Neraca Aktual'!K$25=0,"",-('C6 GEG Neraca Aktual'!K9-'C6 GEG Neraca Aktual'!J9))</f>
        <v/>
      </c>
      <c r="L13" s="28">
        <f>IF('C6 GEG Neraca Aktual'!L$25=0,"",-('C6 GEG Neraca Aktual'!L9-'C6 GEG Neraca Aktual'!K9))</f>
        <v/>
      </c>
      <c r="M13" s="28">
        <f>IF('C6 GEG Neraca Aktual'!M$25=0,"",-('C6 GEG Neraca Aktual'!M9-'C6 GEG Neraca Aktual'!L9))</f>
        <v/>
      </c>
      <c r="N13" s="28">
        <f>IF('C6 GEG Neraca Aktual'!N$25=0,"",-('C6 GEG Neraca Aktual'!N9-'C6 GEG Neraca Aktual'!M9))</f>
        <v/>
      </c>
      <c r="O13" s="28">
        <f>IF('C6 GEG Neraca Aktual'!O$25=0,"",-('C6 GEG Neraca Aktual'!O9-'C6 GEG Neraca Aktual'!N9))</f>
        <v/>
      </c>
      <c r="P13" s="28">
        <f>SUMIF($D$5:$O$5,"&lt;="&amp;'C1 GEG Setting'!$C$6,D13:O13)</f>
        <v/>
      </c>
    </row>
    <row r="14">
      <c r="B14" s="10" t="inlineStr">
        <is>
          <t xml:space="preserve">   Piutang lain-lain</t>
        </is>
      </c>
      <c r="D14" s="28">
        <f>IF('C6 GEG Neraca Aktual'!D$25=0,"",-('C6 GEG Neraca Aktual'!D10-'C6 GEG Neraca Aktual'!C10))</f>
        <v/>
      </c>
      <c r="E14" s="28">
        <f>IF('C6 GEG Neraca Aktual'!E$25=0,"",-('C6 GEG Neraca Aktual'!E10-'C6 GEG Neraca Aktual'!D10))</f>
        <v/>
      </c>
      <c r="F14" s="28">
        <f>IF('C6 GEG Neraca Aktual'!F$25=0,"",-('C6 GEG Neraca Aktual'!F10-'C6 GEG Neraca Aktual'!E10))</f>
        <v/>
      </c>
      <c r="G14" s="28">
        <f>IF('C6 GEG Neraca Aktual'!G$25=0,"",-('C6 GEG Neraca Aktual'!G10-'C6 GEG Neraca Aktual'!F10))</f>
        <v/>
      </c>
      <c r="H14" s="28">
        <f>IF('C6 GEG Neraca Aktual'!H$25=0,"",-('C6 GEG Neraca Aktual'!H10-'C6 GEG Neraca Aktual'!G10))</f>
        <v/>
      </c>
      <c r="I14" s="28">
        <f>IF('C6 GEG Neraca Aktual'!I$25=0,"",-('C6 GEG Neraca Aktual'!I10-'C6 GEG Neraca Aktual'!H10))</f>
        <v/>
      </c>
      <c r="J14" s="28">
        <f>IF('C6 GEG Neraca Aktual'!J$25=0,"",-('C6 GEG Neraca Aktual'!J10-'C6 GEG Neraca Aktual'!I10))</f>
        <v/>
      </c>
      <c r="K14" s="28">
        <f>IF('C6 GEG Neraca Aktual'!K$25=0,"",-('C6 GEG Neraca Aktual'!K10-'C6 GEG Neraca Aktual'!J10))</f>
        <v/>
      </c>
      <c r="L14" s="28">
        <f>IF('C6 GEG Neraca Aktual'!L$25=0,"",-('C6 GEG Neraca Aktual'!L10-'C6 GEG Neraca Aktual'!K10))</f>
        <v/>
      </c>
      <c r="M14" s="28">
        <f>IF('C6 GEG Neraca Aktual'!M$25=0,"",-('C6 GEG Neraca Aktual'!M10-'C6 GEG Neraca Aktual'!L10))</f>
        <v/>
      </c>
      <c r="N14" s="28">
        <f>IF('C6 GEG Neraca Aktual'!N$25=0,"",-('C6 GEG Neraca Aktual'!N10-'C6 GEG Neraca Aktual'!M10))</f>
        <v/>
      </c>
      <c r="O14" s="28">
        <f>IF('C6 GEG Neraca Aktual'!O$25=0,"",-('C6 GEG Neraca Aktual'!O10-'C6 GEG Neraca Aktual'!N10))</f>
        <v/>
      </c>
      <c r="P14" s="28">
        <f>SUMIF($D$5:$O$5,"&lt;="&amp;'C1 GEG Setting'!$C$6,D14:O14)</f>
        <v/>
      </c>
    </row>
    <row r="15">
      <c r="B15" s="10" t="inlineStr">
        <is>
          <t xml:space="preserve">   Persediaan batubara</t>
        </is>
      </c>
      <c r="D15" s="28">
        <f>IF('C6 GEG Neraca Aktual'!D$25=0,"",-('C6 GEG Neraca Aktual'!D11-'C6 GEG Neraca Aktual'!C11))</f>
        <v/>
      </c>
      <c r="E15" s="28">
        <f>IF('C6 GEG Neraca Aktual'!E$25=0,"",-('C6 GEG Neraca Aktual'!E11-'C6 GEG Neraca Aktual'!D11))</f>
        <v/>
      </c>
      <c r="F15" s="28">
        <f>IF('C6 GEG Neraca Aktual'!F$25=0,"",-('C6 GEG Neraca Aktual'!F11-'C6 GEG Neraca Aktual'!E11))</f>
        <v/>
      </c>
      <c r="G15" s="28">
        <f>IF('C6 GEG Neraca Aktual'!G$25=0,"",-('C6 GEG Neraca Aktual'!G11-'C6 GEG Neraca Aktual'!F11))</f>
        <v/>
      </c>
      <c r="H15" s="28">
        <f>IF('C6 GEG Neraca Aktual'!H$25=0,"",-('C6 GEG Neraca Aktual'!H11-'C6 GEG Neraca Aktual'!G11))</f>
        <v/>
      </c>
      <c r="I15" s="28">
        <f>IF('C6 GEG Neraca Aktual'!I$25=0,"",-('C6 GEG Neraca Aktual'!I11-'C6 GEG Neraca Aktual'!H11))</f>
        <v/>
      </c>
      <c r="J15" s="28">
        <f>IF('C6 GEG Neraca Aktual'!J$25=0,"",-('C6 GEG Neraca Aktual'!J11-'C6 GEG Neraca Aktual'!I11))</f>
        <v/>
      </c>
      <c r="K15" s="28">
        <f>IF('C6 GEG Neraca Aktual'!K$25=0,"",-('C6 GEG Neraca Aktual'!K11-'C6 GEG Neraca Aktual'!J11))</f>
        <v/>
      </c>
      <c r="L15" s="28">
        <f>IF('C6 GEG Neraca Aktual'!L$25=0,"",-('C6 GEG Neraca Aktual'!L11-'C6 GEG Neraca Aktual'!K11))</f>
        <v/>
      </c>
      <c r="M15" s="28">
        <f>IF('C6 GEG Neraca Aktual'!M$25=0,"",-('C6 GEG Neraca Aktual'!M11-'C6 GEG Neraca Aktual'!L11))</f>
        <v/>
      </c>
      <c r="N15" s="28">
        <f>IF('C6 GEG Neraca Aktual'!N$25=0,"",-('C6 GEG Neraca Aktual'!N11-'C6 GEG Neraca Aktual'!M11))</f>
        <v/>
      </c>
      <c r="O15" s="28">
        <f>IF('C6 GEG Neraca Aktual'!O$25=0,"",-('C6 GEG Neraca Aktual'!O11-'C6 GEG Neraca Aktual'!N11))</f>
        <v/>
      </c>
      <c r="P15" s="28">
        <f>SUMIF($D$5:$O$5,"&lt;="&amp;'C1 GEG Setting'!$C$6,D15:O15)</f>
        <v/>
      </c>
    </row>
    <row r="16">
      <c r="B16" s="10" t="inlineStr">
        <is>
          <t xml:space="preserve">   Persediaan suku cadang &amp; BBM</t>
        </is>
      </c>
      <c r="D16" s="28">
        <f>IF('C6 GEG Neraca Aktual'!D$25=0,"",-('C6 GEG Neraca Aktual'!D12-'C6 GEG Neraca Aktual'!C12))</f>
        <v/>
      </c>
      <c r="E16" s="28">
        <f>IF('C6 GEG Neraca Aktual'!E$25=0,"",-('C6 GEG Neraca Aktual'!E12-'C6 GEG Neraca Aktual'!D12))</f>
        <v/>
      </c>
      <c r="F16" s="28">
        <f>IF('C6 GEG Neraca Aktual'!F$25=0,"",-('C6 GEG Neraca Aktual'!F12-'C6 GEG Neraca Aktual'!E12))</f>
        <v/>
      </c>
      <c r="G16" s="28">
        <f>IF('C6 GEG Neraca Aktual'!G$25=0,"",-('C6 GEG Neraca Aktual'!G12-'C6 GEG Neraca Aktual'!F12))</f>
        <v/>
      </c>
      <c r="H16" s="28">
        <f>IF('C6 GEG Neraca Aktual'!H$25=0,"",-('C6 GEG Neraca Aktual'!H12-'C6 GEG Neraca Aktual'!G12))</f>
        <v/>
      </c>
      <c r="I16" s="28">
        <f>IF('C6 GEG Neraca Aktual'!I$25=0,"",-('C6 GEG Neraca Aktual'!I12-'C6 GEG Neraca Aktual'!H12))</f>
        <v/>
      </c>
      <c r="J16" s="28">
        <f>IF('C6 GEG Neraca Aktual'!J$25=0,"",-('C6 GEG Neraca Aktual'!J12-'C6 GEG Neraca Aktual'!I12))</f>
        <v/>
      </c>
      <c r="K16" s="28">
        <f>IF('C6 GEG Neraca Aktual'!K$25=0,"",-('C6 GEG Neraca Aktual'!K12-'C6 GEG Neraca Aktual'!J12))</f>
        <v/>
      </c>
      <c r="L16" s="28">
        <f>IF('C6 GEG Neraca Aktual'!L$25=0,"",-('C6 GEG Neraca Aktual'!L12-'C6 GEG Neraca Aktual'!K12))</f>
        <v/>
      </c>
      <c r="M16" s="28">
        <f>IF('C6 GEG Neraca Aktual'!M$25=0,"",-('C6 GEG Neraca Aktual'!M12-'C6 GEG Neraca Aktual'!L12))</f>
        <v/>
      </c>
      <c r="N16" s="28">
        <f>IF('C6 GEG Neraca Aktual'!N$25=0,"",-('C6 GEG Neraca Aktual'!N12-'C6 GEG Neraca Aktual'!M12))</f>
        <v/>
      </c>
      <c r="O16" s="28">
        <f>IF('C6 GEG Neraca Aktual'!O$25=0,"",-('C6 GEG Neraca Aktual'!O12-'C6 GEG Neraca Aktual'!N12))</f>
        <v/>
      </c>
      <c r="P16" s="28">
        <f>SUMIF($D$5:$O$5,"&lt;="&amp;'C1 GEG Setting'!$C$6,D16:O16)</f>
        <v/>
      </c>
    </row>
    <row r="17">
      <c r="B17" s="10" t="inlineStr">
        <is>
          <t xml:space="preserve">   Uang muka &amp; biaya dibayar dimuka</t>
        </is>
      </c>
      <c r="D17" s="28">
        <f>IF('C6 GEG Neraca Aktual'!D$25=0,"",-('C6 GEG Neraca Aktual'!D13-'C6 GEG Neraca Aktual'!C13))</f>
        <v/>
      </c>
      <c r="E17" s="28">
        <f>IF('C6 GEG Neraca Aktual'!E$25=0,"",-('C6 GEG Neraca Aktual'!E13-'C6 GEG Neraca Aktual'!D13))</f>
        <v/>
      </c>
      <c r="F17" s="28">
        <f>IF('C6 GEG Neraca Aktual'!F$25=0,"",-('C6 GEG Neraca Aktual'!F13-'C6 GEG Neraca Aktual'!E13))</f>
        <v/>
      </c>
      <c r="G17" s="28">
        <f>IF('C6 GEG Neraca Aktual'!G$25=0,"",-('C6 GEG Neraca Aktual'!G13-'C6 GEG Neraca Aktual'!F13))</f>
        <v/>
      </c>
      <c r="H17" s="28">
        <f>IF('C6 GEG Neraca Aktual'!H$25=0,"",-('C6 GEG Neraca Aktual'!H13-'C6 GEG Neraca Aktual'!G13))</f>
        <v/>
      </c>
      <c r="I17" s="28">
        <f>IF('C6 GEG Neraca Aktual'!I$25=0,"",-('C6 GEG Neraca Aktual'!I13-'C6 GEG Neraca Aktual'!H13))</f>
        <v/>
      </c>
      <c r="J17" s="28">
        <f>IF('C6 GEG Neraca Aktual'!J$25=0,"",-('C6 GEG Neraca Aktual'!J13-'C6 GEG Neraca Aktual'!I13))</f>
        <v/>
      </c>
      <c r="K17" s="28">
        <f>IF('C6 GEG Neraca Aktual'!K$25=0,"",-('C6 GEG Neraca Aktual'!K13-'C6 GEG Neraca Aktual'!J13))</f>
        <v/>
      </c>
      <c r="L17" s="28">
        <f>IF('C6 GEG Neraca Aktual'!L$25=0,"",-('C6 GEG Neraca Aktual'!L13-'C6 GEG Neraca Aktual'!K13))</f>
        <v/>
      </c>
      <c r="M17" s="28">
        <f>IF('C6 GEG Neraca Aktual'!M$25=0,"",-('C6 GEG Neraca Aktual'!M13-'C6 GEG Neraca Aktual'!L13))</f>
        <v/>
      </c>
      <c r="N17" s="28">
        <f>IF('C6 GEG Neraca Aktual'!N$25=0,"",-('C6 GEG Neraca Aktual'!N13-'C6 GEG Neraca Aktual'!M13))</f>
        <v/>
      </c>
      <c r="O17" s="28">
        <f>IF('C6 GEG Neraca Aktual'!O$25=0,"",-('C6 GEG Neraca Aktual'!O13-'C6 GEG Neraca Aktual'!N13))</f>
        <v/>
      </c>
      <c r="P17" s="28">
        <f>SUMIF($D$5:$O$5,"&lt;="&amp;'C1 GEG Setting'!$C$6,D17:O17)</f>
        <v/>
      </c>
    </row>
    <row r="18">
      <c r="B18" s="10" t="inlineStr">
        <is>
          <t xml:space="preserve">   Pajak dibayar dimuka</t>
        </is>
      </c>
      <c r="D18" s="28">
        <f>IF('C6 GEG Neraca Aktual'!D$25=0,"",-('C6 GEG Neraca Aktual'!D14-'C6 GEG Neraca Aktual'!C14))</f>
        <v/>
      </c>
      <c r="E18" s="28">
        <f>IF('C6 GEG Neraca Aktual'!E$25=0,"",-('C6 GEG Neraca Aktual'!E14-'C6 GEG Neraca Aktual'!D14))</f>
        <v/>
      </c>
      <c r="F18" s="28">
        <f>IF('C6 GEG Neraca Aktual'!F$25=0,"",-('C6 GEG Neraca Aktual'!F14-'C6 GEG Neraca Aktual'!E14))</f>
        <v/>
      </c>
      <c r="G18" s="28">
        <f>IF('C6 GEG Neraca Aktual'!G$25=0,"",-('C6 GEG Neraca Aktual'!G14-'C6 GEG Neraca Aktual'!F14))</f>
        <v/>
      </c>
      <c r="H18" s="28">
        <f>IF('C6 GEG Neraca Aktual'!H$25=0,"",-('C6 GEG Neraca Aktual'!H14-'C6 GEG Neraca Aktual'!G14))</f>
        <v/>
      </c>
      <c r="I18" s="28">
        <f>IF('C6 GEG Neraca Aktual'!I$25=0,"",-('C6 GEG Neraca Aktual'!I14-'C6 GEG Neraca Aktual'!H14))</f>
        <v/>
      </c>
      <c r="J18" s="28">
        <f>IF('C6 GEG Neraca Aktual'!J$25=0,"",-('C6 GEG Neraca Aktual'!J14-'C6 GEG Neraca Aktual'!I14))</f>
        <v/>
      </c>
      <c r="K18" s="28">
        <f>IF('C6 GEG Neraca Aktual'!K$25=0,"",-('C6 GEG Neraca Aktual'!K14-'C6 GEG Neraca Aktual'!J14))</f>
        <v/>
      </c>
      <c r="L18" s="28">
        <f>IF('C6 GEG Neraca Aktual'!L$25=0,"",-('C6 GEG Neraca Aktual'!L14-'C6 GEG Neraca Aktual'!K14))</f>
        <v/>
      </c>
      <c r="M18" s="28">
        <f>IF('C6 GEG Neraca Aktual'!M$25=0,"",-('C6 GEG Neraca Aktual'!M14-'C6 GEG Neraca Aktual'!L14))</f>
        <v/>
      </c>
      <c r="N18" s="28">
        <f>IF('C6 GEG Neraca Aktual'!N$25=0,"",-('C6 GEG Neraca Aktual'!N14-'C6 GEG Neraca Aktual'!M14))</f>
        <v/>
      </c>
      <c r="O18" s="28">
        <f>IF('C6 GEG Neraca Aktual'!O$25=0,"",-('C6 GEG Neraca Aktual'!O14-'C6 GEG Neraca Aktual'!N14))</f>
        <v/>
      </c>
      <c r="P18" s="28">
        <f>SUMIF($D$5:$O$5,"&lt;="&amp;'C1 GEG Setting'!$C$6,D18:O18)</f>
        <v/>
      </c>
    </row>
    <row r="19">
      <c r="B19" s="10" t="inlineStr">
        <is>
          <t xml:space="preserve">   Utang usaha</t>
        </is>
      </c>
      <c r="D19" s="28">
        <f>IF('C6 GEG Neraca Aktual'!D$25=0,"",('C6 GEG Neraca Aktual'!D27-'C6 GEG Neraca Aktual'!C27))</f>
        <v/>
      </c>
      <c r="E19" s="28">
        <f>IF('C6 GEG Neraca Aktual'!E$25=0,"",('C6 GEG Neraca Aktual'!E27-'C6 GEG Neraca Aktual'!D27))</f>
        <v/>
      </c>
      <c r="F19" s="28">
        <f>IF('C6 GEG Neraca Aktual'!F$25=0,"",('C6 GEG Neraca Aktual'!F27-'C6 GEG Neraca Aktual'!E27))</f>
        <v/>
      </c>
      <c r="G19" s="28">
        <f>IF('C6 GEG Neraca Aktual'!G$25=0,"",('C6 GEG Neraca Aktual'!G27-'C6 GEG Neraca Aktual'!F27))</f>
        <v/>
      </c>
      <c r="H19" s="28">
        <f>IF('C6 GEG Neraca Aktual'!H$25=0,"",('C6 GEG Neraca Aktual'!H27-'C6 GEG Neraca Aktual'!G27))</f>
        <v/>
      </c>
      <c r="I19" s="28">
        <f>IF('C6 GEG Neraca Aktual'!I$25=0,"",('C6 GEG Neraca Aktual'!I27-'C6 GEG Neraca Aktual'!H27))</f>
        <v/>
      </c>
      <c r="J19" s="28">
        <f>IF('C6 GEG Neraca Aktual'!J$25=0,"",('C6 GEG Neraca Aktual'!J27-'C6 GEG Neraca Aktual'!I27))</f>
        <v/>
      </c>
      <c r="K19" s="28">
        <f>IF('C6 GEG Neraca Aktual'!K$25=0,"",('C6 GEG Neraca Aktual'!K27-'C6 GEG Neraca Aktual'!J27))</f>
        <v/>
      </c>
      <c r="L19" s="28">
        <f>IF('C6 GEG Neraca Aktual'!L$25=0,"",('C6 GEG Neraca Aktual'!L27-'C6 GEG Neraca Aktual'!K27))</f>
        <v/>
      </c>
      <c r="M19" s="28">
        <f>IF('C6 GEG Neraca Aktual'!M$25=0,"",('C6 GEG Neraca Aktual'!M27-'C6 GEG Neraca Aktual'!L27))</f>
        <v/>
      </c>
      <c r="N19" s="28">
        <f>IF('C6 GEG Neraca Aktual'!N$25=0,"",('C6 GEG Neraca Aktual'!N27-'C6 GEG Neraca Aktual'!M27))</f>
        <v/>
      </c>
      <c r="O19" s="28">
        <f>IF('C6 GEG Neraca Aktual'!O$25=0,"",('C6 GEG Neraca Aktual'!O27-'C6 GEG Neraca Aktual'!N27))</f>
        <v/>
      </c>
      <c r="P19" s="28">
        <f>SUMIF($D$5:$O$5,"&lt;="&amp;'C1 GEG Setting'!$C$6,D19:O19)</f>
        <v/>
      </c>
    </row>
    <row r="20">
      <c r="B20" s="10" t="inlineStr">
        <is>
          <t xml:space="preserve">   Utang royalti</t>
        </is>
      </c>
      <c r="D20" s="28">
        <f>IF('C6 GEG Neraca Aktual'!D$25=0,"",('C6 GEG Neraca Aktual'!D28-'C6 GEG Neraca Aktual'!C28))</f>
        <v/>
      </c>
      <c r="E20" s="28">
        <f>IF('C6 GEG Neraca Aktual'!E$25=0,"",('C6 GEG Neraca Aktual'!E28-'C6 GEG Neraca Aktual'!D28))</f>
        <v/>
      </c>
      <c r="F20" s="28">
        <f>IF('C6 GEG Neraca Aktual'!F$25=0,"",('C6 GEG Neraca Aktual'!F28-'C6 GEG Neraca Aktual'!E28))</f>
        <v/>
      </c>
      <c r="G20" s="28">
        <f>IF('C6 GEG Neraca Aktual'!G$25=0,"",('C6 GEG Neraca Aktual'!G28-'C6 GEG Neraca Aktual'!F28))</f>
        <v/>
      </c>
      <c r="H20" s="28">
        <f>IF('C6 GEG Neraca Aktual'!H$25=0,"",('C6 GEG Neraca Aktual'!H28-'C6 GEG Neraca Aktual'!G28))</f>
        <v/>
      </c>
      <c r="I20" s="28">
        <f>IF('C6 GEG Neraca Aktual'!I$25=0,"",('C6 GEG Neraca Aktual'!I28-'C6 GEG Neraca Aktual'!H28))</f>
        <v/>
      </c>
      <c r="J20" s="28">
        <f>IF('C6 GEG Neraca Aktual'!J$25=0,"",('C6 GEG Neraca Aktual'!J28-'C6 GEG Neraca Aktual'!I28))</f>
        <v/>
      </c>
      <c r="K20" s="28">
        <f>IF('C6 GEG Neraca Aktual'!K$25=0,"",('C6 GEG Neraca Aktual'!K28-'C6 GEG Neraca Aktual'!J28))</f>
        <v/>
      </c>
      <c r="L20" s="28">
        <f>IF('C6 GEG Neraca Aktual'!L$25=0,"",('C6 GEG Neraca Aktual'!L28-'C6 GEG Neraca Aktual'!K28))</f>
        <v/>
      </c>
      <c r="M20" s="28">
        <f>IF('C6 GEG Neraca Aktual'!M$25=0,"",('C6 GEG Neraca Aktual'!M28-'C6 GEG Neraca Aktual'!L28))</f>
        <v/>
      </c>
      <c r="N20" s="28">
        <f>IF('C6 GEG Neraca Aktual'!N$25=0,"",('C6 GEG Neraca Aktual'!N28-'C6 GEG Neraca Aktual'!M28))</f>
        <v/>
      </c>
      <c r="O20" s="28">
        <f>IF('C6 GEG Neraca Aktual'!O$25=0,"",('C6 GEG Neraca Aktual'!O28-'C6 GEG Neraca Aktual'!N28))</f>
        <v/>
      </c>
      <c r="P20" s="28">
        <f>SUMIF($D$5:$O$5,"&lt;="&amp;'C1 GEG Setting'!$C$6,D20:O20)</f>
        <v/>
      </c>
    </row>
    <row r="21">
      <c r="B21" s="10" t="inlineStr">
        <is>
          <t xml:space="preserve">   Beban akrual</t>
        </is>
      </c>
      <c r="D21" s="28">
        <f>IF('C6 GEG Neraca Aktual'!D$25=0,"",('C6 GEG Neraca Aktual'!D29-'C6 GEG Neraca Aktual'!C29))</f>
        <v/>
      </c>
      <c r="E21" s="28">
        <f>IF('C6 GEG Neraca Aktual'!E$25=0,"",('C6 GEG Neraca Aktual'!E29-'C6 GEG Neraca Aktual'!D29))</f>
        <v/>
      </c>
      <c r="F21" s="28">
        <f>IF('C6 GEG Neraca Aktual'!F$25=0,"",('C6 GEG Neraca Aktual'!F29-'C6 GEG Neraca Aktual'!E29))</f>
        <v/>
      </c>
      <c r="G21" s="28">
        <f>IF('C6 GEG Neraca Aktual'!G$25=0,"",('C6 GEG Neraca Aktual'!G29-'C6 GEG Neraca Aktual'!F29))</f>
        <v/>
      </c>
      <c r="H21" s="28">
        <f>IF('C6 GEG Neraca Aktual'!H$25=0,"",('C6 GEG Neraca Aktual'!H29-'C6 GEG Neraca Aktual'!G29))</f>
        <v/>
      </c>
      <c r="I21" s="28">
        <f>IF('C6 GEG Neraca Aktual'!I$25=0,"",('C6 GEG Neraca Aktual'!I29-'C6 GEG Neraca Aktual'!H29))</f>
        <v/>
      </c>
      <c r="J21" s="28">
        <f>IF('C6 GEG Neraca Aktual'!J$25=0,"",('C6 GEG Neraca Aktual'!J29-'C6 GEG Neraca Aktual'!I29))</f>
        <v/>
      </c>
      <c r="K21" s="28">
        <f>IF('C6 GEG Neraca Aktual'!K$25=0,"",('C6 GEG Neraca Aktual'!K29-'C6 GEG Neraca Aktual'!J29))</f>
        <v/>
      </c>
      <c r="L21" s="28">
        <f>IF('C6 GEG Neraca Aktual'!L$25=0,"",('C6 GEG Neraca Aktual'!L29-'C6 GEG Neraca Aktual'!K29))</f>
        <v/>
      </c>
      <c r="M21" s="28">
        <f>IF('C6 GEG Neraca Aktual'!M$25=0,"",('C6 GEG Neraca Aktual'!M29-'C6 GEG Neraca Aktual'!L29))</f>
        <v/>
      </c>
      <c r="N21" s="28">
        <f>IF('C6 GEG Neraca Aktual'!N$25=0,"",('C6 GEG Neraca Aktual'!N29-'C6 GEG Neraca Aktual'!M29))</f>
        <v/>
      </c>
      <c r="O21" s="28">
        <f>IF('C6 GEG Neraca Aktual'!O$25=0,"",('C6 GEG Neraca Aktual'!O29-'C6 GEG Neraca Aktual'!N29))</f>
        <v/>
      </c>
      <c r="P21" s="28">
        <f>SUMIF($D$5:$O$5,"&lt;="&amp;'C1 GEG Setting'!$C$6,D21:O21)</f>
        <v/>
      </c>
    </row>
    <row r="22">
      <c r="B22" s="10" t="inlineStr">
        <is>
          <t xml:space="preserve">   Utang pajak</t>
        </is>
      </c>
      <c r="D22" s="28">
        <f>IF('C6 GEG Neraca Aktual'!D$25=0,"",('C6 GEG Neraca Aktual'!D30-'C6 GEG Neraca Aktual'!C30))</f>
        <v/>
      </c>
      <c r="E22" s="28">
        <f>IF('C6 GEG Neraca Aktual'!E$25=0,"",('C6 GEG Neraca Aktual'!E30-'C6 GEG Neraca Aktual'!D30))</f>
        <v/>
      </c>
      <c r="F22" s="28">
        <f>IF('C6 GEG Neraca Aktual'!F$25=0,"",('C6 GEG Neraca Aktual'!F30-'C6 GEG Neraca Aktual'!E30))</f>
        <v/>
      </c>
      <c r="G22" s="28">
        <f>IF('C6 GEG Neraca Aktual'!G$25=0,"",('C6 GEG Neraca Aktual'!G30-'C6 GEG Neraca Aktual'!F30))</f>
        <v/>
      </c>
      <c r="H22" s="28">
        <f>IF('C6 GEG Neraca Aktual'!H$25=0,"",('C6 GEG Neraca Aktual'!H30-'C6 GEG Neraca Aktual'!G30))</f>
        <v/>
      </c>
      <c r="I22" s="28">
        <f>IF('C6 GEG Neraca Aktual'!I$25=0,"",('C6 GEG Neraca Aktual'!I30-'C6 GEG Neraca Aktual'!H30))</f>
        <v/>
      </c>
      <c r="J22" s="28">
        <f>IF('C6 GEG Neraca Aktual'!J$25=0,"",('C6 GEG Neraca Aktual'!J30-'C6 GEG Neraca Aktual'!I30))</f>
        <v/>
      </c>
      <c r="K22" s="28">
        <f>IF('C6 GEG Neraca Aktual'!K$25=0,"",('C6 GEG Neraca Aktual'!K30-'C6 GEG Neraca Aktual'!J30))</f>
        <v/>
      </c>
      <c r="L22" s="28">
        <f>IF('C6 GEG Neraca Aktual'!L$25=0,"",('C6 GEG Neraca Aktual'!L30-'C6 GEG Neraca Aktual'!K30))</f>
        <v/>
      </c>
      <c r="M22" s="28">
        <f>IF('C6 GEG Neraca Aktual'!M$25=0,"",('C6 GEG Neraca Aktual'!M30-'C6 GEG Neraca Aktual'!L30))</f>
        <v/>
      </c>
      <c r="N22" s="28">
        <f>IF('C6 GEG Neraca Aktual'!N$25=0,"",('C6 GEG Neraca Aktual'!N30-'C6 GEG Neraca Aktual'!M30))</f>
        <v/>
      </c>
      <c r="O22" s="28">
        <f>IF('C6 GEG Neraca Aktual'!O$25=0,"",('C6 GEG Neraca Aktual'!O30-'C6 GEG Neraca Aktual'!N30))</f>
        <v/>
      </c>
      <c r="P22" s="28">
        <f>SUMIF($D$5:$O$5,"&lt;="&amp;'C1 GEG Setting'!$C$6,D22:O22)</f>
        <v/>
      </c>
    </row>
    <row r="23">
      <c r="B23" s="48" t="inlineStr">
        <is>
          <t>KAS BERSIH DARI AKTIVITAS OPERASI</t>
        </is>
      </c>
      <c r="C23" s="72" t="n"/>
      <c r="D23" s="50">
        <f>IF('C6 GEG Neraca Aktual'!D$25=0,"",SUM(D8:D22))</f>
        <v/>
      </c>
      <c r="E23" s="50">
        <f>IF('C6 GEG Neraca Aktual'!E$25=0,"",SUM(E8:E22))</f>
        <v/>
      </c>
      <c r="F23" s="50">
        <f>IF('C6 GEG Neraca Aktual'!F$25=0,"",SUM(F8:F22))</f>
        <v/>
      </c>
      <c r="G23" s="50">
        <f>IF('C6 GEG Neraca Aktual'!G$25=0,"",SUM(G8:G22))</f>
        <v/>
      </c>
      <c r="H23" s="50">
        <f>IF('C6 GEG Neraca Aktual'!H$25=0,"",SUM(H8:H22))</f>
        <v/>
      </c>
      <c r="I23" s="50">
        <f>IF('C6 GEG Neraca Aktual'!I$25=0,"",SUM(I8:I22))</f>
        <v/>
      </c>
      <c r="J23" s="50">
        <f>IF('C6 GEG Neraca Aktual'!J$25=0,"",SUM(J8:J22))</f>
        <v/>
      </c>
      <c r="K23" s="50">
        <f>IF('C6 GEG Neraca Aktual'!K$25=0,"",SUM(K8:K22))</f>
        <v/>
      </c>
      <c r="L23" s="50">
        <f>IF('C6 GEG Neraca Aktual'!L$25=0,"",SUM(L8:L22))</f>
        <v/>
      </c>
      <c r="M23" s="50">
        <f>IF('C6 GEG Neraca Aktual'!M$25=0,"",SUM(M8:M22))</f>
        <v/>
      </c>
      <c r="N23" s="50">
        <f>IF('C6 GEG Neraca Aktual'!N$25=0,"",SUM(N8:N22))</f>
        <v/>
      </c>
      <c r="O23" s="50">
        <f>IF('C6 GEG Neraca Aktual'!O$25=0,"",SUM(O8:O22))</f>
        <v/>
      </c>
      <c r="P23" s="50">
        <f>SUMIF($D$5:$O$5,"&lt;="&amp;'C1 GEG Setting'!$C$6,D23:O23)</f>
        <v/>
      </c>
    </row>
    <row r="24">
      <c r="A24" s="4" t="inlineStr">
        <is>
          <t>ARUS KAS DARI AKTIVITAS INVESTASI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B25" s="10" t="inlineStr">
        <is>
          <t xml:space="preserve">   Perolehan aset tetap</t>
        </is>
      </c>
      <c r="D25" s="28">
        <f>IF('C6 GEG Neraca Aktual'!D$25=0,"",-(('C6 GEG Neraca Aktual'!D17-'C6 GEG Neraca Aktual'!C17)+'C5 GEG LR Aktual'!D43+'C5 GEG LR Aktual'!D69))</f>
        <v/>
      </c>
      <c r="E25" s="28">
        <f>IF('C6 GEG Neraca Aktual'!E$25=0,"",-(('C6 GEG Neraca Aktual'!E17-'C6 GEG Neraca Aktual'!D17)+'C5 GEG LR Aktual'!E43+'C5 GEG LR Aktual'!E69))</f>
        <v/>
      </c>
      <c r="F25" s="28">
        <f>IF('C6 GEG Neraca Aktual'!F$25=0,"",-(('C6 GEG Neraca Aktual'!F17-'C6 GEG Neraca Aktual'!E17)+'C5 GEG LR Aktual'!F43+'C5 GEG LR Aktual'!F69))</f>
        <v/>
      </c>
      <c r="G25" s="28">
        <f>IF('C6 GEG Neraca Aktual'!G$25=0,"",-(('C6 GEG Neraca Aktual'!G17-'C6 GEG Neraca Aktual'!F17)+'C5 GEG LR Aktual'!G43+'C5 GEG LR Aktual'!G69))</f>
        <v/>
      </c>
      <c r="H25" s="28">
        <f>IF('C6 GEG Neraca Aktual'!H$25=0,"",-(('C6 GEG Neraca Aktual'!H17-'C6 GEG Neraca Aktual'!G17)+'C5 GEG LR Aktual'!H43+'C5 GEG LR Aktual'!H69))</f>
        <v/>
      </c>
      <c r="I25" s="28">
        <f>IF('C6 GEG Neraca Aktual'!I$25=0,"",-(('C6 GEG Neraca Aktual'!I17-'C6 GEG Neraca Aktual'!H17)+'C5 GEG LR Aktual'!I43+'C5 GEG LR Aktual'!I69))</f>
        <v/>
      </c>
      <c r="J25" s="28">
        <f>IF('C6 GEG Neraca Aktual'!J$25=0,"",-(('C6 GEG Neraca Aktual'!J17-'C6 GEG Neraca Aktual'!I17)+'C5 GEG LR Aktual'!J43+'C5 GEG LR Aktual'!J69))</f>
        <v/>
      </c>
      <c r="K25" s="28">
        <f>IF('C6 GEG Neraca Aktual'!K$25=0,"",-(('C6 GEG Neraca Aktual'!K17-'C6 GEG Neraca Aktual'!J17)+'C5 GEG LR Aktual'!K43+'C5 GEG LR Aktual'!K69))</f>
        <v/>
      </c>
      <c r="L25" s="28">
        <f>IF('C6 GEG Neraca Aktual'!L$25=0,"",-(('C6 GEG Neraca Aktual'!L17-'C6 GEG Neraca Aktual'!K17)+'C5 GEG LR Aktual'!L43+'C5 GEG LR Aktual'!L69))</f>
        <v/>
      </c>
      <c r="M25" s="28">
        <f>IF('C6 GEG Neraca Aktual'!M$25=0,"",-(('C6 GEG Neraca Aktual'!M17-'C6 GEG Neraca Aktual'!L17)+'C5 GEG LR Aktual'!M43+'C5 GEG LR Aktual'!M69))</f>
        <v/>
      </c>
      <c r="N25" s="28">
        <f>IF('C6 GEG Neraca Aktual'!N$25=0,"",-(('C6 GEG Neraca Aktual'!N17-'C6 GEG Neraca Aktual'!M17)+'C5 GEG LR Aktual'!N43+'C5 GEG LR Aktual'!N69))</f>
        <v/>
      </c>
      <c r="O25" s="28">
        <f>IF('C6 GEG Neraca Aktual'!O$25=0,"",-(('C6 GEG Neraca Aktual'!O17-'C6 GEG Neraca Aktual'!N17)+'C5 GEG LR Aktual'!O43+'C5 GEG LR Aktual'!O69))</f>
        <v/>
      </c>
      <c r="P25" s="28">
        <f>SUMIF($D$5:$O$5,"&lt;="&amp;'C1 GEG Setting'!$C$6,D25:O25)</f>
        <v/>
      </c>
    </row>
    <row r="26">
      <c r="B26" s="10" t="inlineStr">
        <is>
          <t xml:space="preserve">   Penambahan properti pertambangan</t>
        </is>
      </c>
      <c r="D26" s="28">
        <f>IF('C6 GEG Neraca Aktual'!D$25=0,"",-(('C6 GEG Neraca Aktual'!D18-'C6 GEG Neraca Aktual'!C18)+'C5 GEG LR Aktual'!D44))</f>
        <v/>
      </c>
      <c r="E26" s="28">
        <f>IF('C6 GEG Neraca Aktual'!E$25=0,"",-(('C6 GEG Neraca Aktual'!E18-'C6 GEG Neraca Aktual'!D18)+'C5 GEG LR Aktual'!E44))</f>
        <v/>
      </c>
      <c r="F26" s="28">
        <f>IF('C6 GEG Neraca Aktual'!F$25=0,"",-(('C6 GEG Neraca Aktual'!F18-'C6 GEG Neraca Aktual'!E18)+'C5 GEG LR Aktual'!F44))</f>
        <v/>
      </c>
      <c r="G26" s="28">
        <f>IF('C6 GEG Neraca Aktual'!G$25=0,"",-(('C6 GEG Neraca Aktual'!G18-'C6 GEG Neraca Aktual'!F18)+'C5 GEG LR Aktual'!G44))</f>
        <v/>
      </c>
      <c r="H26" s="28">
        <f>IF('C6 GEG Neraca Aktual'!H$25=0,"",-(('C6 GEG Neraca Aktual'!H18-'C6 GEG Neraca Aktual'!G18)+'C5 GEG LR Aktual'!H44))</f>
        <v/>
      </c>
      <c r="I26" s="28">
        <f>IF('C6 GEG Neraca Aktual'!I$25=0,"",-(('C6 GEG Neraca Aktual'!I18-'C6 GEG Neraca Aktual'!H18)+'C5 GEG LR Aktual'!I44))</f>
        <v/>
      </c>
      <c r="J26" s="28">
        <f>IF('C6 GEG Neraca Aktual'!J$25=0,"",-(('C6 GEG Neraca Aktual'!J18-'C6 GEG Neraca Aktual'!I18)+'C5 GEG LR Aktual'!J44))</f>
        <v/>
      </c>
      <c r="K26" s="28">
        <f>IF('C6 GEG Neraca Aktual'!K$25=0,"",-(('C6 GEG Neraca Aktual'!K18-'C6 GEG Neraca Aktual'!J18)+'C5 GEG LR Aktual'!K44))</f>
        <v/>
      </c>
      <c r="L26" s="28">
        <f>IF('C6 GEG Neraca Aktual'!L$25=0,"",-(('C6 GEG Neraca Aktual'!L18-'C6 GEG Neraca Aktual'!K18)+'C5 GEG LR Aktual'!L44))</f>
        <v/>
      </c>
      <c r="M26" s="28">
        <f>IF('C6 GEG Neraca Aktual'!M$25=0,"",-(('C6 GEG Neraca Aktual'!M18-'C6 GEG Neraca Aktual'!L18)+'C5 GEG LR Aktual'!M44))</f>
        <v/>
      </c>
      <c r="N26" s="28">
        <f>IF('C6 GEG Neraca Aktual'!N$25=0,"",-(('C6 GEG Neraca Aktual'!N18-'C6 GEG Neraca Aktual'!M18)+'C5 GEG LR Aktual'!N44))</f>
        <v/>
      </c>
      <c r="O26" s="28">
        <f>IF('C6 GEG Neraca Aktual'!O$25=0,"",-(('C6 GEG Neraca Aktual'!O18-'C6 GEG Neraca Aktual'!N18)+'C5 GEG LR Aktual'!O44))</f>
        <v/>
      </c>
      <c r="P26" s="28">
        <f>SUMIF($D$5:$O$5,"&lt;="&amp;'C1 GEG Setting'!$C$6,D26:O26)</f>
        <v/>
      </c>
    </row>
    <row r="27">
      <c r="B27" s="10" t="inlineStr">
        <is>
          <t xml:space="preserve">   Biaya pengupasan tangguhan</t>
        </is>
      </c>
      <c r="D27" s="28">
        <f>IF('C6 GEG Neraca Aktual'!D$25=0,"",-(('C6 GEG Neraca Aktual'!D20-'C6 GEG Neraca Aktual'!C20)+'C5 GEG LR Aktual'!D45))</f>
        <v/>
      </c>
      <c r="E27" s="28">
        <f>IF('C6 GEG Neraca Aktual'!E$25=0,"",-(('C6 GEG Neraca Aktual'!E20-'C6 GEG Neraca Aktual'!D20)+'C5 GEG LR Aktual'!E45))</f>
        <v/>
      </c>
      <c r="F27" s="28">
        <f>IF('C6 GEG Neraca Aktual'!F$25=0,"",-(('C6 GEG Neraca Aktual'!F20-'C6 GEG Neraca Aktual'!E20)+'C5 GEG LR Aktual'!F45))</f>
        <v/>
      </c>
      <c r="G27" s="28">
        <f>IF('C6 GEG Neraca Aktual'!G$25=0,"",-(('C6 GEG Neraca Aktual'!G20-'C6 GEG Neraca Aktual'!F20)+'C5 GEG LR Aktual'!G45))</f>
        <v/>
      </c>
      <c r="H27" s="28">
        <f>IF('C6 GEG Neraca Aktual'!H$25=0,"",-(('C6 GEG Neraca Aktual'!H20-'C6 GEG Neraca Aktual'!G20)+'C5 GEG LR Aktual'!H45))</f>
        <v/>
      </c>
      <c r="I27" s="28">
        <f>IF('C6 GEG Neraca Aktual'!I$25=0,"",-(('C6 GEG Neraca Aktual'!I20-'C6 GEG Neraca Aktual'!H20)+'C5 GEG LR Aktual'!I45))</f>
        <v/>
      </c>
      <c r="J27" s="28">
        <f>IF('C6 GEG Neraca Aktual'!J$25=0,"",-(('C6 GEG Neraca Aktual'!J20-'C6 GEG Neraca Aktual'!I20)+'C5 GEG LR Aktual'!J45))</f>
        <v/>
      </c>
      <c r="K27" s="28">
        <f>IF('C6 GEG Neraca Aktual'!K$25=0,"",-(('C6 GEG Neraca Aktual'!K20-'C6 GEG Neraca Aktual'!J20)+'C5 GEG LR Aktual'!K45))</f>
        <v/>
      </c>
      <c r="L27" s="28">
        <f>IF('C6 GEG Neraca Aktual'!L$25=0,"",-(('C6 GEG Neraca Aktual'!L20-'C6 GEG Neraca Aktual'!K20)+'C5 GEG LR Aktual'!L45))</f>
        <v/>
      </c>
      <c r="M27" s="28">
        <f>IF('C6 GEG Neraca Aktual'!M$25=0,"",-(('C6 GEG Neraca Aktual'!M20-'C6 GEG Neraca Aktual'!L20)+'C5 GEG LR Aktual'!M45))</f>
        <v/>
      </c>
      <c r="N27" s="28">
        <f>IF('C6 GEG Neraca Aktual'!N$25=0,"",-(('C6 GEG Neraca Aktual'!N20-'C6 GEG Neraca Aktual'!M20)+'C5 GEG LR Aktual'!N45))</f>
        <v/>
      </c>
      <c r="O27" s="28">
        <f>IF('C6 GEG Neraca Aktual'!O$25=0,"",-(('C6 GEG Neraca Aktual'!O20-'C6 GEG Neraca Aktual'!N20)+'C5 GEG LR Aktual'!O45))</f>
        <v/>
      </c>
      <c r="P27" s="28">
        <f>SUMIF($D$5:$O$5,"&lt;="&amp;'C1 GEG Setting'!$C$6,D27:O27)</f>
        <v/>
      </c>
    </row>
    <row r="28">
      <c r="B28" s="10" t="inlineStr">
        <is>
          <t xml:space="preserve">   Eksplorasi &amp; evaluasi</t>
        </is>
      </c>
      <c r="D28" s="28">
        <f>IF('C6 GEG Neraca Aktual'!D$25=0,"",-('C6 GEG Neraca Aktual'!D19-'C6 GEG Neraca Aktual'!C19))</f>
        <v/>
      </c>
      <c r="E28" s="28">
        <f>IF('C6 GEG Neraca Aktual'!E$25=0,"",-('C6 GEG Neraca Aktual'!E19-'C6 GEG Neraca Aktual'!D19))</f>
        <v/>
      </c>
      <c r="F28" s="28">
        <f>IF('C6 GEG Neraca Aktual'!F$25=0,"",-('C6 GEG Neraca Aktual'!F19-'C6 GEG Neraca Aktual'!E19))</f>
        <v/>
      </c>
      <c r="G28" s="28">
        <f>IF('C6 GEG Neraca Aktual'!G$25=0,"",-('C6 GEG Neraca Aktual'!G19-'C6 GEG Neraca Aktual'!F19))</f>
        <v/>
      </c>
      <c r="H28" s="28">
        <f>IF('C6 GEG Neraca Aktual'!H$25=0,"",-('C6 GEG Neraca Aktual'!H19-'C6 GEG Neraca Aktual'!G19))</f>
        <v/>
      </c>
      <c r="I28" s="28">
        <f>IF('C6 GEG Neraca Aktual'!I$25=0,"",-('C6 GEG Neraca Aktual'!I19-'C6 GEG Neraca Aktual'!H19))</f>
        <v/>
      </c>
      <c r="J28" s="28">
        <f>IF('C6 GEG Neraca Aktual'!J$25=0,"",-('C6 GEG Neraca Aktual'!J19-'C6 GEG Neraca Aktual'!I19))</f>
        <v/>
      </c>
      <c r="K28" s="28">
        <f>IF('C6 GEG Neraca Aktual'!K$25=0,"",-('C6 GEG Neraca Aktual'!K19-'C6 GEG Neraca Aktual'!J19))</f>
        <v/>
      </c>
      <c r="L28" s="28">
        <f>IF('C6 GEG Neraca Aktual'!L$25=0,"",-('C6 GEG Neraca Aktual'!L19-'C6 GEG Neraca Aktual'!K19))</f>
        <v/>
      </c>
      <c r="M28" s="28">
        <f>IF('C6 GEG Neraca Aktual'!M$25=0,"",-('C6 GEG Neraca Aktual'!M19-'C6 GEG Neraca Aktual'!L19))</f>
        <v/>
      </c>
      <c r="N28" s="28">
        <f>IF('C6 GEG Neraca Aktual'!N$25=0,"",-('C6 GEG Neraca Aktual'!N19-'C6 GEG Neraca Aktual'!M19))</f>
        <v/>
      </c>
      <c r="O28" s="28">
        <f>IF('C6 GEG Neraca Aktual'!O$25=0,"",-('C6 GEG Neraca Aktual'!O19-'C6 GEG Neraca Aktual'!N19))</f>
        <v/>
      </c>
      <c r="P28" s="28">
        <f>SUMIF($D$5:$O$5,"&lt;="&amp;'C1 GEG Setting'!$C$6,D28:O28)</f>
        <v/>
      </c>
    </row>
    <row r="29">
      <c r="B29" s="10" t="inlineStr">
        <is>
          <t xml:space="preserve">   Dana jaminan reklamasi</t>
        </is>
      </c>
      <c r="D29" s="28">
        <f>IF('C6 GEG Neraca Aktual'!D$25=0,"",-('C6 GEG Neraca Aktual'!D21-'C6 GEG Neraca Aktual'!C21))</f>
        <v/>
      </c>
      <c r="E29" s="28">
        <f>IF('C6 GEG Neraca Aktual'!E$25=0,"",-('C6 GEG Neraca Aktual'!E21-'C6 GEG Neraca Aktual'!D21))</f>
        <v/>
      </c>
      <c r="F29" s="28">
        <f>IF('C6 GEG Neraca Aktual'!F$25=0,"",-('C6 GEG Neraca Aktual'!F21-'C6 GEG Neraca Aktual'!E21))</f>
        <v/>
      </c>
      <c r="G29" s="28">
        <f>IF('C6 GEG Neraca Aktual'!G$25=0,"",-('C6 GEG Neraca Aktual'!G21-'C6 GEG Neraca Aktual'!F21))</f>
        <v/>
      </c>
      <c r="H29" s="28">
        <f>IF('C6 GEG Neraca Aktual'!H$25=0,"",-('C6 GEG Neraca Aktual'!H21-'C6 GEG Neraca Aktual'!G21))</f>
        <v/>
      </c>
      <c r="I29" s="28">
        <f>IF('C6 GEG Neraca Aktual'!I$25=0,"",-('C6 GEG Neraca Aktual'!I21-'C6 GEG Neraca Aktual'!H21))</f>
        <v/>
      </c>
      <c r="J29" s="28">
        <f>IF('C6 GEG Neraca Aktual'!J$25=0,"",-('C6 GEG Neraca Aktual'!J21-'C6 GEG Neraca Aktual'!I21))</f>
        <v/>
      </c>
      <c r="K29" s="28">
        <f>IF('C6 GEG Neraca Aktual'!K$25=0,"",-('C6 GEG Neraca Aktual'!K21-'C6 GEG Neraca Aktual'!J21))</f>
        <v/>
      </c>
      <c r="L29" s="28">
        <f>IF('C6 GEG Neraca Aktual'!L$25=0,"",-('C6 GEG Neraca Aktual'!L21-'C6 GEG Neraca Aktual'!K21))</f>
        <v/>
      </c>
      <c r="M29" s="28">
        <f>IF('C6 GEG Neraca Aktual'!M$25=0,"",-('C6 GEG Neraca Aktual'!M21-'C6 GEG Neraca Aktual'!L21))</f>
        <v/>
      </c>
      <c r="N29" s="28">
        <f>IF('C6 GEG Neraca Aktual'!N$25=0,"",-('C6 GEG Neraca Aktual'!N21-'C6 GEG Neraca Aktual'!M21))</f>
        <v/>
      </c>
      <c r="O29" s="28">
        <f>IF('C6 GEG Neraca Aktual'!O$25=0,"",-('C6 GEG Neraca Aktual'!O21-'C6 GEG Neraca Aktual'!N21))</f>
        <v/>
      </c>
      <c r="P29" s="28">
        <f>SUMIF($D$5:$O$5,"&lt;="&amp;'C1 GEG Setting'!$C$6,D29:O29)</f>
        <v/>
      </c>
    </row>
    <row r="30">
      <c r="B30" s="10" t="inlineStr">
        <is>
          <t xml:space="preserve">   Aset tidak lancar lainnya</t>
        </is>
      </c>
      <c r="D30" s="28">
        <f>IF('C6 GEG Neraca Aktual'!D$25=0,"",-('C6 GEG Neraca Aktual'!D23-'C6 GEG Neraca Aktual'!C23))</f>
        <v/>
      </c>
      <c r="E30" s="28">
        <f>IF('C6 GEG Neraca Aktual'!E$25=0,"",-('C6 GEG Neraca Aktual'!E23-'C6 GEG Neraca Aktual'!D23))</f>
        <v/>
      </c>
      <c r="F30" s="28">
        <f>IF('C6 GEG Neraca Aktual'!F$25=0,"",-('C6 GEG Neraca Aktual'!F23-'C6 GEG Neraca Aktual'!E23))</f>
        <v/>
      </c>
      <c r="G30" s="28">
        <f>IF('C6 GEG Neraca Aktual'!G$25=0,"",-('C6 GEG Neraca Aktual'!G23-'C6 GEG Neraca Aktual'!F23))</f>
        <v/>
      </c>
      <c r="H30" s="28">
        <f>IF('C6 GEG Neraca Aktual'!H$25=0,"",-('C6 GEG Neraca Aktual'!H23-'C6 GEG Neraca Aktual'!G23))</f>
        <v/>
      </c>
      <c r="I30" s="28">
        <f>IF('C6 GEG Neraca Aktual'!I$25=0,"",-('C6 GEG Neraca Aktual'!I23-'C6 GEG Neraca Aktual'!H23))</f>
        <v/>
      </c>
      <c r="J30" s="28">
        <f>IF('C6 GEG Neraca Aktual'!J$25=0,"",-('C6 GEG Neraca Aktual'!J23-'C6 GEG Neraca Aktual'!I23))</f>
        <v/>
      </c>
      <c r="K30" s="28">
        <f>IF('C6 GEG Neraca Aktual'!K$25=0,"",-('C6 GEG Neraca Aktual'!K23-'C6 GEG Neraca Aktual'!J23))</f>
        <v/>
      </c>
      <c r="L30" s="28">
        <f>IF('C6 GEG Neraca Aktual'!L$25=0,"",-('C6 GEG Neraca Aktual'!L23-'C6 GEG Neraca Aktual'!K23))</f>
        <v/>
      </c>
      <c r="M30" s="28">
        <f>IF('C6 GEG Neraca Aktual'!M$25=0,"",-('C6 GEG Neraca Aktual'!M23-'C6 GEG Neraca Aktual'!L23))</f>
        <v/>
      </c>
      <c r="N30" s="28">
        <f>IF('C6 GEG Neraca Aktual'!N$25=0,"",-('C6 GEG Neraca Aktual'!N23-'C6 GEG Neraca Aktual'!M23))</f>
        <v/>
      </c>
      <c r="O30" s="28">
        <f>IF('C6 GEG Neraca Aktual'!O$25=0,"",-('C6 GEG Neraca Aktual'!O23-'C6 GEG Neraca Aktual'!N23))</f>
        <v/>
      </c>
      <c r="P30" s="28">
        <f>SUMIF($D$5:$O$5,"&lt;="&amp;'C1 GEG Setting'!$C$6,D30:O30)</f>
        <v/>
      </c>
    </row>
    <row r="31">
      <c r="B31" s="48" t="inlineStr">
        <is>
          <t>KAS BERSIH UNTUK AKTIVITAS INVESTASI</t>
        </is>
      </c>
      <c r="C31" s="72" t="n"/>
      <c r="D31" s="50">
        <f>IF('C6 GEG Neraca Aktual'!D$25=0,"",SUM(D25:D30))</f>
        <v/>
      </c>
      <c r="E31" s="50">
        <f>IF('C6 GEG Neraca Aktual'!E$25=0,"",SUM(E25:E30))</f>
        <v/>
      </c>
      <c r="F31" s="50">
        <f>IF('C6 GEG Neraca Aktual'!F$25=0,"",SUM(F25:F30))</f>
        <v/>
      </c>
      <c r="G31" s="50">
        <f>IF('C6 GEG Neraca Aktual'!G$25=0,"",SUM(G25:G30))</f>
        <v/>
      </c>
      <c r="H31" s="50">
        <f>IF('C6 GEG Neraca Aktual'!H$25=0,"",SUM(H25:H30))</f>
        <v/>
      </c>
      <c r="I31" s="50">
        <f>IF('C6 GEG Neraca Aktual'!I$25=0,"",SUM(I25:I30))</f>
        <v/>
      </c>
      <c r="J31" s="50">
        <f>IF('C6 GEG Neraca Aktual'!J$25=0,"",SUM(J25:J30))</f>
        <v/>
      </c>
      <c r="K31" s="50">
        <f>IF('C6 GEG Neraca Aktual'!K$25=0,"",SUM(K25:K30))</f>
        <v/>
      </c>
      <c r="L31" s="50">
        <f>IF('C6 GEG Neraca Aktual'!L$25=0,"",SUM(L25:L30))</f>
        <v/>
      </c>
      <c r="M31" s="50">
        <f>IF('C6 GEG Neraca Aktual'!M$25=0,"",SUM(M25:M30))</f>
        <v/>
      </c>
      <c r="N31" s="50">
        <f>IF('C6 GEG Neraca Aktual'!N$25=0,"",SUM(N25:N30))</f>
        <v/>
      </c>
      <c r="O31" s="50">
        <f>IF('C6 GEG Neraca Aktual'!O$25=0,"",SUM(O25:O30))</f>
        <v/>
      </c>
      <c r="P31" s="50">
        <f>SUMIF($D$5:$O$5,"&lt;="&amp;'C1 GEG Setting'!$C$6,D31:O31)</f>
        <v/>
      </c>
    </row>
    <row r="32">
      <c r="A32" s="4" t="inlineStr">
        <is>
          <t>ARUS KAS DARI AKTIVITAS PENDANAAN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B33" s="10" t="inlineStr">
        <is>
          <t xml:space="preserve">   Pinjaman jangka pendek – neto</t>
        </is>
      </c>
      <c r="D33" s="28">
        <f>IF('C6 GEG Neraca Aktual'!D$25=0,"",('C6 GEG Neraca Aktual'!D31-'C6 GEG Neraca Aktual'!C31))</f>
        <v/>
      </c>
      <c r="E33" s="28">
        <f>IF('C6 GEG Neraca Aktual'!E$25=0,"",('C6 GEG Neraca Aktual'!E31-'C6 GEG Neraca Aktual'!D31))</f>
        <v/>
      </c>
      <c r="F33" s="28">
        <f>IF('C6 GEG Neraca Aktual'!F$25=0,"",('C6 GEG Neraca Aktual'!F31-'C6 GEG Neraca Aktual'!E31))</f>
        <v/>
      </c>
      <c r="G33" s="28">
        <f>IF('C6 GEG Neraca Aktual'!G$25=0,"",('C6 GEG Neraca Aktual'!G31-'C6 GEG Neraca Aktual'!F31))</f>
        <v/>
      </c>
      <c r="H33" s="28">
        <f>IF('C6 GEG Neraca Aktual'!H$25=0,"",('C6 GEG Neraca Aktual'!H31-'C6 GEG Neraca Aktual'!G31))</f>
        <v/>
      </c>
      <c r="I33" s="28">
        <f>IF('C6 GEG Neraca Aktual'!I$25=0,"",('C6 GEG Neraca Aktual'!I31-'C6 GEG Neraca Aktual'!H31))</f>
        <v/>
      </c>
      <c r="J33" s="28">
        <f>IF('C6 GEG Neraca Aktual'!J$25=0,"",('C6 GEG Neraca Aktual'!J31-'C6 GEG Neraca Aktual'!I31))</f>
        <v/>
      </c>
      <c r="K33" s="28">
        <f>IF('C6 GEG Neraca Aktual'!K$25=0,"",('C6 GEG Neraca Aktual'!K31-'C6 GEG Neraca Aktual'!J31))</f>
        <v/>
      </c>
      <c r="L33" s="28">
        <f>IF('C6 GEG Neraca Aktual'!L$25=0,"",('C6 GEG Neraca Aktual'!L31-'C6 GEG Neraca Aktual'!K31))</f>
        <v/>
      </c>
      <c r="M33" s="28">
        <f>IF('C6 GEG Neraca Aktual'!M$25=0,"",('C6 GEG Neraca Aktual'!M31-'C6 GEG Neraca Aktual'!L31))</f>
        <v/>
      </c>
      <c r="N33" s="28">
        <f>IF('C6 GEG Neraca Aktual'!N$25=0,"",('C6 GEG Neraca Aktual'!N31-'C6 GEG Neraca Aktual'!M31))</f>
        <v/>
      </c>
      <c r="O33" s="28">
        <f>IF('C6 GEG Neraca Aktual'!O$25=0,"",('C6 GEG Neraca Aktual'!O31-'C6 GEG Neraca Aktual'!N31))</f>
        <v/>
      </c>
      <c r="P33" s="28">
        <f>SUMIF($D$5:$O$5,"&lt;="&amp;'C1 GEG Setting'!$C$6,D33:O33)</f>
        <v/>
      </c>
    </row>
    <row r="34">
      <c r="B34" s="10" t="inlineStr">
        <is>
          <t xml:space="preserve">   Pinjaman jangka panjang – neto</t>
        </is>
      </c>
      <c r="D34" s="28">
        <f>IF('C6 GEG Neraca Aktual'!D$25=0,"",('C6 GEG Neraca Aktual'!D32-'C6 GEG Neraca Aktual'!C32)+('C6 GEG Neraca Aktual'!D35-'C6 GEG Neraca Aktual'!C35))</f>
        <v/>
      </c>
      <c r="E34" s="28">
        <f>IF('C6 GEG Neraca Aktual'!E$25=0,"",('C6 GEG Neraca Aktual'!E32-'C6 GEG Neraca Aktual'!D32)+('C6 GEG Neraca Aktual'!E35-'C6 GEG Neraca Aktual'!D35))</f>
        <v/>
      </c>
      <c r="F34" s="28">
        <f>IF('C6 GEG Neraca Aktual'!F$25=0,"",('C6 GEG Neraca Aktual'!F32-'C6 GEG Neraca Aktual'!E32)+('C6 GEG Neraca Aktual'!F35-'C6 GEG Neraca Aktual'!E35))</f>
        <v/>
      </c>
      <c r="G34" s="28">
        <f>IF('C6 GEG Neraca Aktual'!G$25=0,"",('C6 GEG Neraca Aktual'!G32-'C6 GEG Neraca Aktual'!F32)+('C6 GEG Neraca Aktual'!G35-'C6 GEG Neraca Aktual'!F35))</f>
        <v/>
      </c>
      <c r="H34" s="28">
        <f>IF('C6 GEG Neraca Aktual'!H$25=0,"",('C6 GEG Neraca Aktual'!H32-'C6 GEG Neraca Aktual'!G32)+('C6 GEG Neraca Aktual'!H35-'C6 GEG Neraca Aktual'!G35))</f>
        <v/>
      </c>
      <c r="I34" s="28">
        <f>IF('C6 GEG Neraca Aktual'!I$25=0,"",('C6 GEG Neraca Aktual'!I32-'C6 GEG Neraca Aktual'!H32)+('C6 GEG Neraca Aktual'!I35-'C6 GEG Neraca Aktual'!H35))</f>
        <v/>
      </c>
      <c r="J34" s="28">
        <f>IF('C6 GEG Neraca Aktual'!J$25=0,"",('C6 GEG Neraca Aktual'!J32-'C6 GEG Neraca Aktual'!I32)+('C6 GEG Neraca Aktual'!J35-'C6 GEG Neraca Aktual'!I35))</f>
        <v/>
      </c>
      <c r="K34" s="28">
        <f>IF('C6 GEG Neraca Aktual'!K$25=0,"",('C6 GEG Neraca Aktual'!K32-'C6 GEG Neraca Aktual'!J32)+('C6 GEG Neraca Aktual'!K35-'C6 GEG Neraca Aktual'!J35))</f>
        <v/>
      </c>
      <c r="L34" s="28">
        <f>IF('C6 GEG Neraca Aktual'!L$25=0,"",('C6 GEG Neraca Aktual'!L32-'C6 GEG Neraca Aktual'!K32)+('C6 GEG Neraca Aktual'!L35-'C6 GEG Neraca Aktual'!K35))</f>
        <v/>
      </c>
      <c r="M34" s="28">
        <f>IF('C6 GEG Neraca Aktual'!M$25=0,"",('C6 GEG Neraca Aktual'!M32-'C6 GEG Neraca Aktual'!L32)+('C6 GEG Neraca Aktual'!M35-'C6 GEG Neraca Aktual'!L35))</f>
        <v/>
      </c>
      <c r="N34" s="28">
        <f>IF('C6 GEG Neraca Aktual'!N$25=0,"",('C6 GEG Neraca Aktual'!N32-'C6 GEG Neraca Aktual'!M32)+('C6 GEG Neraca Aktual'!N35-'C6 GEG Neraca Aktual'!M35))</f>
        <v/>
      </c>
      <c r="O34" s="28">
        <f>IF('C6 GEG Neraca Aktual'!O$25=0,"",('C6 GEG Neraca Aktual'!O32-'C6 GEG Neraca Aktual'!N32)+('C6 GEG Neraca Aktual'!O35-'C6 GEG Neraca Aktual'!N35))</f>
        <v/>
      </c>
      <c r="P34" s="28">
        <f>SUMIF($D$5:$O$5,"&lt;="&amp;'C1 GEG Setting'!$C$6,D34:O34)</f>
        <v/>
      </c>
    </row>
    <row r="35">
      <c r="B35" s="10" t="inlineStr">
        <is>
          <t xml:space="preserve">   Setoran modal &amp; ekuitas lain</t>
        </is>
      </c>
      <c r="D35" s="28">
        <f>IF('C6 GEG Neraca Aktual'!D$25=0,"",('C6 GEG Neraca Aktual'!D42-'C6 GEG Neraca Aktual'!C42)+('C6 GEG Neraca Aktual'!D43-'C6 GEG Neraca Aktual'!C43)+('C6 GEG Neraca Aktual'!D45-'C6 GEG Neraca Aktual'!C45))</f>
        <v/>
      </c>
      <c r="E35" s="28">
        <f>IF('C6 GEG Neraca Aktual'!E$25=0,"",('C6 GEG Neraca Aktual'!E42-'C6 GEG Neraca Aktual'!D42)+('C6 GEG Neraca Aktual'!E43-'C6 GEG Neraca Aktual'!D43)+('C6 GEG Neraca Aktual'!E45-'C6 GEG Neraca Aktual'!D45))</f>
        <v/>
      </c>
      <c r="F35" s="28">
        <f>IF('C6 GEG Neraca Aktual'!F$25=0,"",('C6 GEG Neraca Aktual'!F42-'C6 GEG Neraca Aktual'!E42)+('C6 GEG Neraca Aktual'!F43-'C6 GEG Neraca Aktual'!E43)+('C6 GEG Neraca Aktual'!F45-'C6 GEG Neraca Aktual'!E45))</f>
        <v/>
      </c>
      <c r="G35" s="28">
        <f>IF('C6 GEG Neraca Aktual'!G$25=0,"",('C6 GEG Neraca Aktual'!G42-'C6 GEG Neraca Aktual'!F42)+('C6 GEG Neraca Aktual'!G43-'C6 GEG Neraca Aktual'!F43)+('C6 GEG Neraca Aktual'!G45-'C6 GEG Neraca Aktual'!F45))</f>
        <v/>
      </c>
      <c r="H35" s="28">
        <f>IF('C6 GEG Neraca Aktual'!H$25=0,"",('C6 GEG Neraca Aktual'!H42-'C6 GEG Neraca Aktual'!G42)+('C6 GEG Neraca Aktual'!H43-'C6 GEG Neraca Aktual'!G43)+('C6 GEG Neraca Aktual'!H45-'C6 GEG Neraca Aktual'!G45))</f>
        <v/>
      </c>
      <c r="I35" s="28">
        <f>IF('C6 GEG Neraca Aktual'!I$25=0,"",('C6 GEG Neraca Aktual'!I42-'C6 GEG Neraca Aktual'!H42)+('C6 GEG Neraca Aktual'!I43-'C6 GEG Neraca Aktual'!H43)+('C6 GEG Neraca Aktual'!I45-'C6 GEG Neraca Aktual'!H45))</f>
        <v/>
      </c>
      <c r="J35" s="28">
        <f>IF('C6 GEG Neraca Aktual'!J$25=0,"",('C6 GEG Neraca Aktual'!J42-'C6 GEG Neraca Aktual'!I42)+('C6 GEG Neraca Aktual'!J43-'C6 GEG Neraca Aktual'!I43)+('C6 GEG Neraca Aktual'!J45-'C6 GEG Neraca Aktual'!I45))</f>
        <v/>
      </c>
      <c r="K35" s="28">
        <f>IF('C6 GEG Neraca Aktual'!K$25=0,"",('C6 GEG Neraca Aktual'!K42-'C6 GEG Neraca Aktual'!J42)+('C6 GEG Neraca Aktual'!K43-'C6 GEG Neraca Aktual'!J43)+('C6 GEG Neraca Aktual'!K45-'C6 GEG Neraca Aktual'!J45))</f>
        <v/>
      </c>
      <c r="L35" s="28">
        <f>IF('C6 GEG Neraca Aktual'!L$25=0,"",('C6 GEG Neraca Aktual'!L42-'C6 GEG Neraca Aktual'!K42)+('C6 GEG Neraca Aktual'!L43-'C6 GEG Neraca Aktual'!K43)+('C6 GEG Neraca Aktual'!L45-'C6 GEG Neraca Aktual'!K45))</f>
        <v/>
      </c>
      <c r="M35" s="28">
        <f>IF('C6 GEG Neraca Aktual'!M$25=0,"",('C6 GEG Neraca Aktual'!M42-'C6 GEG Neraca Aktual'!L42)+('C6 GEG Neraca Aktual'!M43-'C6 GEG Neraca Aktual'!L43)+('C6 GEG Neraca Aktual'!M45-'C6 GEG Neraca Aktual'!L45))</f>
        <v/>
      </c>
      <c r="N35" s="28">
        <f>IF('C6 GEG Neraca Aktual'!N$25=0,"",('C6 GEG Neraca Aktual'!N42-'C6 GEG Neraca Aktual'!M42)+('C6 GEG Neraca Aktual'!N43-'C6 GEG Neraca Aktual'!M43)+('C6 GEG Neraca Aktual'!N45-'C6 GEG Neraca Aktual'!M45))</f>
        <v/>
      </c>
      <c r="O35" s="28">
        <f>IF('C6 GEG Neraca Aktual'!O$25=0,"",('C6 GEG Neraca Aktual'!O42-'C6 GEG Neraca Aktual'!N42)+('C6 GEG Neraca Aktual'!O43-'C6 GEG Neraca Aktual'!N43)+('C6 GEG Neraca Aktual'!O45-'C6 GEG Neraca Aktual'!N45))</f>
        <v/>
      </c>
      <c r="P35" s="28">
        <f>SUMIF($D$5:$O$5,"&lt;="&amp;'C1 GEG Setting'!$C$6,D35:O35)</f>
        <v/>
      </c>
    </row>
    <row r="36">
      <c r="B36" s="10" t="inlineStr">
        <is>
          <t xml:space="preserve">   Pembayaran dividen</t>
        </is>
      </c>
      <c r="D36" s="28">
        <f>IF('C6 GEG Neraca Aktual'!D$25=0,"",'C6 GEG Neraca Aktual'!D44-'C6 GEG Neraca Aktual'!C44-'C5 GEG LR Aktual'!D83)</f>
        <v/>
      </c>
      <c r="E36" s="28">
        <f>IF('C6 GEG Neraca Aktual'!E$25=0,"",'C6 GEG Neraca Aktual'!E44-'C6 GEG Neraca Aktual'!D44-'C5 GEG LR Aktual'!E83)</f>
        <v/>
      </c>
      <c r="F36" s="28">
        <f>IF('C6 GEG Neraca Aktual'!F$25=0,"",'C6 GEG Neraca Aktual'!F44-'C6 GEG Neraca Aktual'!E44-'C5 GEG LR Aktual'!F83)</f>
        <v/>
      </c>
      <c r="G36" s="28">
        <f>IF('C6 GEG Neraca Aktual'!G$25=0,"",'C6 GEG Neraca Aktual'!G44-'C6 GEG Neraca Aktual'!F44-'C5 GEG LR Aktual'!G83)</f>
        <v/>
      </c>
      <c r="H36" s="28">
        <f>IF('C6 GEG Neraca Aktual'!H$25=0,"",'C6 GEG Neraca Aktual'!H44-'C6 GEG Neraca Aktual'!G44-'C5 GEG LR Aktual'!H83)</f>
        <v/>
      </c>
      <c r="I36" s="28">
        <f>IF('C6 GEG Neraca Aktual'!I$25=0,"",'C6 GEG Neraca Aktual'!I44-'C6 GEG Neraca Aktual'!H44-'C5 GEG LR Aktual'!I83)</f>
        <v/>
      </c>
      <c r="J36" s="28">
        <f>IF('C6 GEG Neraca Aktual'!J$25=0,"",'C6 GEG Neraca Aktual'!J44-'C6 GEG Neraca Aktual'!I44-'C5 GEG LR Aktual'!J83)</f>
        <v/>
      </c>
      <c r="K36" s="28">
        <f>IF('C6 GEG Neraca Aktual'!K$25=0,"",'C6 GEG Neraca Aktual'!K44-'C6 GEG Neraca Aktual'!J44-'C5 GEG LR Aktual'!K83)</f>
        <v/>
      </c>
      <c r="L36" s="28">
        <f>IF('C6 GEG Neraca Aktual'!L$25=0,"",'C6 GEG Neraca Aktual'!L44-'C6 GEG Neraca Aktual'!K44-'C5 GEG LR Aktual'!L83)</f>
        <v/>
      </c>
      <c r="M36" s="28">
        <f>IF('C6 GEG Neraca Aktual'!M$25=0,"",'C6 GEG Neraca Aktual'!M44-'C6 GEG Neraca Aktual'!L44-'C5 GEG LR Aktual'!M83)</f>
        <v/>
      </c>
      <c r="N36" s="28">
        <f>IF('C6 GEG Neraca Aktual'!N$25=0,"",'C6 GEG Neraca Aktual'!N44-'C6 GEG Neraca Aktual'!M44-'C5 GEG LR Aktual'!N83)</f>
        <v/>
      </c>
      <c r="O36" s="28">
        <f>IF('C6 GEG Neraca Aktual'!O$25=0,"",'C6 GEG Neraca Aktual'!O44-'C6 GEG Neraca Aktual'!N44-'C5 GEG LR Aktual'!O83)</f>
        <v/>
      </c>
      <c r="P36" s="28">
        <f>SUMIF($D$5:$O$5,"&lt;="&amp;'C1 GEG Setting'!$C$6,D36:O36)</f>
        <v/>
      </c>
    </row>
    <row r="37">
      <c r="B37" s="48" t="inlineStr">
        <is>
          <t>KAS BERSIH DARI (UNTUK) AKTIVITAS PENDANAAN</t>
        </is>
      </c>
      <c r="C37" s="72" t="n"/>
      <c r="D37" s="50">
        <f>IF('C6 GEG Neraca Aktual'!D$25=0,"",SUM(D33:D36))</f>
        <v/>
      </c>
      <c r="E37" s="50">
        <f>IF('C6 GEG Neraca Aktual'!E$25=0,"",SUM(E33:E36))</f>
        <v/>
      </c>
      <c r="F37" s="50">
        <f>IF('C6 GEG Neraca Aktual'!F$25=0,"",SUM(F33:F36))</f>
        <v/>
      </c>
      <c r="G37" s="50">
        <f>IF('C6 GEG Neraca Aktual'!G$25=0,"",SUM(G33:G36))</f>
        <v/>
      </c>
      <c r="H37" s="50">
        <f>IF('C6 GEG Neraca Aktual'!H$25=0,"",SUM(H33:H36))</f>
        <v/>
      </c>
      <c r="I37" s="50">
        <f>IF('C6 GEG Neraca Aktual'!I$25=0,"",SUM(I33:I36))</f>
        <v/>
      </c>
      <c r="J37" s="50">
        <f>IF('C6 GEG Neraca Aktual'!J$25=0,"",SUM(J33:J36))</f>
        <v/>
      </c>
      <c r="K37" s="50">
        <f>IF('C6 GEG Neraca Aktual'!K$25=0,"",SUM(K33:K36))</f>
        <v/>
      </c>
      <c r="L37" s="50">
        <f>IF('C6 GEG Neraca Aktual'!L$25=0,"",SUM(L33:L36))</f>
        <v/>
      </c>
      <c r="M37" s="50">
        <f>IF('C6 GEG Neraca Aktual'!M$25=0,"",SUM(M33:M36))</f>
        <v/>
      </c>
      <c r="N37" s="50">
        <f>IF('C6 GEG Neraca Aktual'!N$25=0,"",SUM(N33:N36))</f>
        <v/>
      </c>
      <c r="O37" s="50">
        <f>IF('C6 GEG Neraca Aktual'!O$25=0,"",SUM(O33:O36))</f>
        <v/>
      </c>
      <c r="P37" s="50">
        <f>SUMIF($D$5:$O$5,"&lt;="&amp;'C1 GEG Setting'!$C$6,D37:O37)</f>
        <v/>
      </c>
    </row>
    <row r="38">
      <c r="A38" s="4" t="inlineStr">
        <is>
          <t>REKONSILIASI KAS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</row>
    <row r="39">
      <c r="B39" s="48" t="inlineStr">
        <is>
          <t>Kenaikan (penurunan) bersih kas</t>
        </is>
      </c>
      <c r="C39" s="72" t="n"/>
      <c r="D39" s="50">
        <f>IF('C6 GEG Neraca Aktual'!D$25=0,"",D23+D31+D37)</f>
        <v/>
      </c>
      <c r="E39" s="50">
        <f>IF('C6 GEG Neraca Aktual'!E$25=0,"",E23+E31+E37)</f>
        <v/>
      </c>
      <c r="F39" s="50">
        <f>IF('C6 GEG Neraca Aktual'!F$25=0,"",F23+F31+F37)</f>
        <v/>
      </c>
      <c r="G39" s="50">
        <f>IF('C6 GEG Neraca Aktual'!G$25=0,"",G23+G31+G37)</f>
        <v/>
      </c>
      <c r="H39" s="50">
        <f>IF('C6 GEG Neraca Aktual'!H$25=0,"",H23+H31+H37)</f>
        <v/>
      </c>
      <c r="I39" s="50">
        <f>IF('C6 GEG Neraca Aktual'!I$25=0,"",I23+I31+I37)</f>
        <v/>
      </c>
      <c r="J39" s="50">
        <f>IF('C6 GEG Neraca Aktual'!J$25=0,"",J23+J31+J37)</f>
        <v/>
      </c>
      <c r="K39" s="50">
        <f>IF('C6 GEG Neraca Aktual'!K$25=0,"",K23+K31+K37)</f>
        <v/>
      </c>
      <c r="L39" s="50">
        <f>IF('C6 GEG Neraca Aktual'!L$25=0,"",L23+L31+L37)</f>
        <v/>
      </c>
      <c r="M39" s="50">
        <f>IF('C6 GEG Neraca Aktual'!M$25=0,"",M23+M31+M37)</f>
        <v/>
      </c>
      <c r="N39" s="50">
        <f>IF('C6 GEG Neraca Aktual'!N$25=0,"",N23+N31+N37)</f>
        <v/>
      </c>
      <c r="O39" s="50">
        <f>IF('C6 GEG Neraca Aktual'!O$25=0,"",O23+O31+O37)</f>
        <v/>
      </c>
      <c r="P39" s="50">
        <f>SUMIF($D$5:$O$5,"&lt;="&amp;'C1 GEG Setting'!$C$6,D39:O39)</f>
        <v/>
      </c>
    </row>
    <row r="40">
      <c r="B40" s="10" t="inlineStr">
        <is>
          <t xml:space="preserve">   Kas awal periode</t>
        </is>
      </c>
      <c r="D40" s="28">
        <f>IF('C6 GEG Neraca Aktual'!D$25=0,"",'C6 GEG Neraca Aktual'!C8)</f>
        <v/>
      </c>
      <c r="E40" s="28">
        <f>IF('C6 GEG Neraca Aktual'!E$25=0,"",'C6 GEG Neraca Aktual'!D8)</f>
        <v/>
      </c>
      <c r="F40" s="28">
        <f>IF('C6 GEG Neraca Aktual'!F$25=0,"",'C6 GEG Neraca Aktual'!E8)</f>
        <v/>
      </c>
      <c r="G40" s="28">
        <f>IF('C6 GEG Neraca Aktual'!G$25=0,"",'C6 GEG Neraca Aktual'!F8)</f>
        <v/>
      </c>
      <c r="H40" s="28">
        <f>IF('C6 GEG Neraca Aktual'!H$25=0,"",'C6 GEG Neraca Aktual'!G8)</f>
        <v/>
      </c>
      <c r="I40" s="28">
        <f>IF('C6 GEG Neraca Aktual'!I$25=0,"",'C6 GEG Neraca Aktual'!H8)</f>
        <v/>
      </c>
      <c r="J40" s="28">
        <f>IF('C6 GEG Neraca Aktual'!J$25=0,"",'C6 GEG Neraca Aktual'!I8)</f>
        <v/>
      </c>
      <c r="K40" s="28">
        <f>IF('C6 GEG Neraca Aktual'!K$25=0,"",'C6 GEG Neraca Aktual'!J8)</f>
        <v/>
      </c>
      <c r="L40" s="28">
        <f>IF('C6 GEG Neraca Aktual'!L$25=0,"",'C6 GEG Neraca Aktual'!K8)</f>
        <v/>
      </c>
      <c r="M40" s="28">
        <f>IF('C6 GEG Neraca Aktual'!M$25=0,"",'C6 GEG Neraca Aktual'!L8)</f>
        <v/>
      </c>
      <c r="N40" s="28">
        <f>IF('C6 GEG Neraca Aktual'!N$25=0,"",'C6 GEG Neraca Aktual'!M8)</f>
        <v/>
      </c>
      <c r="O40" s="28">
        <f>IF('C6 GEG Neraca Aktual'!O$25=0,"",'C6 GEG Neraca Aktual'!N8)</f>
        <v/>
      </c>
      <c r="P40" s="28">
        <f>'C6 GEG Neraca Aktual'!$C$8</f>
        <v/>
      </c>
    </row>
    <row r="41">
      <c r="B41" s="48" t="inlineStr">
        <is>
          <t>Kas akhir periode</t>
        </is>
      </c>
      <c r="C41" s="72" t="n"/>
      <c r="D41" s="50">
        <f>IF('C6 GEG Neraca Aktual'!D$25=0,"",D40+D39)</f>
        <v/>
      </c>
      <c r="E41" s="50">
        <f>IF('C6 GEG Neraca Aktual'!E$25=0,"",E40+E39)</f>
        <v/>
      </c>
      <c r="F41" s="50">
        <f>IF('C6 GEG Neraca Aktual'!F$25=0,"",F40+F39)</f>
        <v/>
      </c>
      <c r="G41" s="50">
        <f>IF('C6 GEG Neraca Aktual'!G$25=0,"",G40+G39)</f>
        <v/>
      </c>
      <c r="H41" s="50">
        <f>IF('C6 GEG Neraca Aktual'!H$25=0,"",H40+H39)</f>
        <v/>
      </c>
      <c r="I41" s="50">
        <f>IF('C6 GEG Neraca Aktual'!I$25=0,"",I40+I39)</f>
        <v/>
      </c>
      <c r="J41" s="50">
        <f>IF('C6 GEG Neraca Aktual'!J$25=0,"",J40+J39)</f>
        <v/>
      </c>
      <c r="K41" s="50">
        <f>IF('C6 GEG Neraca Aktual'!K$25=0,"",K40+K39)</f>
        <v/>
      </c>
      <c r="L41" s="50">
        <f>IF('C6 GEG Neraca Aktual'!L$25=0,"",L40+L39)</f>
        <v/>
      </c>
      <c r="M41" s="50">
        <f>IF('C6 GEG Neraca Aktual'!M$25=0,"",M40+M39)</f>
        <v/>
      </c>
      <c r="N41" s="50">
        <f>IF('C6 GEG Neraca Aktual'!N$25=0,"",N40+N39)</f>
        <v/>
      </c>
      <c r="O41" s="50">
        <f>IF('C6 GEG Neraca Aktual'!O$25=0,"",O40+O39)</f>
        <v/>
      </c>
      <c r="P41" s="58">
        <f>P40+P39</f>
        <v/>
      </c>
    </row>
    <row r="42">
      <c r="B42" s="10" t="inlineStr">
        <is>
          <t xml:space="preserve">   Cek vs kas di neraca (harus 0)</t>
        </is>
      </c>
      <c r="D42" s="28">
        <f>IF('C6 GEG Neraca Aktual'!D$25=0,"",ROUND(D41-'C6 GEG Neraca Aktual'!D8,0))</f>
        <v/>
      </c>
      <c r="E42" s="28">
        <f>IF('C6 GEG Neraca Aktual'!E$25=0,"",ROUND(E41-'C6 GEG Neraca Aktual'!E8,0))</f>
        <v/>
      </c>
      <c r="F42" s="28">
        <f>IF('C6 GEG Neraca Aktual'!F$25=0,"",ROUND(F41-'C6 GEG Neraca Aktual'!F8,0))</f>
        <v/>
      </c>
      <c r="G42" s="28">
        <f>IF('C6 GEG Neraca Aktual'!G$25=0,"",ROUND(G41-'C6 GEG Neraca Aktual'!G8,0))</f>
        <v/>
      </c>
      <c r="H42" s="28">
        <f>IF('C6 GEG Neraca Aktual'!H$25=0,"",ROUND(H41-'C6 GEG Neraca Aktual'!H8,0))</f>
        <v/>
      </c>
      <c r="I42" s="28">
        <f>IF('C6 GEG Neraca Aktual'!I$25=0,"",ROUND(I41-'C6 GEG Neraca Aktual'!I8,0))</f>
        <v/>
      </c>
      <c r="J42" s="28">
        <f>IF('C6 GEG Neraca Aktual'!J$25=0,"",ROUND(J41-'C6 GEG Neraca Aktual'!J8,0))</f>
        <v/>
      </c>
      <c r="K42" s="28">
        <f>IF('C6 GEG Neraca Aktual'!K$25=0,"",ROUND(K41-'C6 GEG Neraca Aktual'!K8,0))</f>
        <v/>
      </c>
      <c r="L42" s="28">
        <f>IF('C6 GEG Neraca Aktual'!L$25=0,"",ROUND(L41-'C6 GEG Neraca Aktual'!L8,0))</f>
        <v/>
      </c>
      <c r="M42" s="28">
        <f>IF('C6 GEG Neraca Aktual'!M$25=0,"",ROUND(M41-'C6 GEG Neraca Aktual'!M8,0))</f>
        <v/>
      </c>
      <c r="N42" s="28">
        <f>IF('C6 GEG Neraca Aktual'!N$25=0,"",ROUND(N41-'C6 GEG Neraca Aktual'!N8,0))</f>
        <v/>
      </c>
      <c r="O42" s="28">
        <f>IF('C6 GEG Neraca Aktual'!O$25=0,"",ROUND(O41-'C6 GEG Neraca Aktual'!O8,0))</f>
        <v/>
      </c>
      <c r="P42" s="28">
        <f>ROUND(P41-INDEX('C6 GEG Neraca Aktual'!$D$8:$O$8,'C1 GEG Setting'!$C$6),0)</f>
        <v/>
      </c>
    </row>
    <row r="43">
      <c r="B43" s="48" t="inlineStr">
        <is>
          <t>Memo: Free cash flow (CFO + CFI)</t>
        </is>
      </c>
      <c r="C43" s="72" t="n"/>
      <c r="D43" s="50">
        <f>IF('C6 GEG Neraca Aktual'!D$25=0,"",D23+D31)</f>
        <v/>
      </c>
      <c r="E43" s="50">
        <f>IF('C6 GEG Neraca Aktual'!E$25=0,"",E23+E31)</f>
        <v/>
      </c>
      <c r="F43" s="50">
        <f>IF('C6 GEG Neraca Aktual'!F$25=0,"",F23+F31)</f>
        <v/>
      </c>
      <c r="G43" s="50">
        <f>IF('C6 GEG Neraca Aktual'!G$25=0,"",G23+G31)</f>
        <v/>
      </c>
      <c r="H43" s="50">
        <f>IF('C6 GEG Neraca Aktual'!H$25=0,"",H23+H31)</f>
        <v/>
      </c>
      <c r="I43" s="50">
        <f>IF('C6 GEG Neraca Aktual'!I$25=0,"",I23+I31)</f>
        <v/>
      </c>
      <c r="J43" s="50">
        <f>IF('C6 GEG Neraca Aktual'!J$25=0,"",J23+J31)</f>
        <v/>
      </c>
      <c r="K43" s="50">
        <f>IF('C6 GEG Neraca Aktual'!K$25=0,"",K23+K31)</f>
        <v/>
      </c>
      <c r="L43" s="50">
        <f>IF('C6 GEG Neraca Aktual'!L$25=0,"",L23+L31)</f>
        <v/>
      </c>
      <c r="M43" s="50">
        <f>IF('C6 GEG Neraca Aktual'!M$25=0,"",M23+M31)</f>
        <v/>
      </c>
      <c r="N43" s="50">
        <f>IF('C6 GEG Neraca Aktual'!N$25=0,"",N23+N31)</f>
        <v/>
      </c>
      <c r="O43" s="50">
        <f>IF('C6 GEG Neraca Aktual'!O$25=0,"",O23+O31)</f>
        <v/>
      </c>
      <c r="P43" s="50">
        <f>SUMIF($D$5:$O$5,"&lt;="&amp;'C1 GEG Setting'!$C$6,D43:O43)</f>
        <v/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P8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5" customWidth="1" min="3" max="3"/>
    <col width="13" customWidth="1" min="4" max="4"/>
    <col width="13" customWidth="1" min="5" max="5"/>
    <col width="12" customWidth="1" min="6" max="6"/>
    <col width="10" customWidth="1" min="7" max="7"/>
    <col width="5" customWidth="1" min="8" max="8"/>
    <col width="2" customWidth="1" min="9" max="9"/>
    <col width="13" customWidth="1" min="10" max="10"/>
    <col width="13" customWidth="1" min="11" max="11"/>
    <col width="12" customWidth="1" min="12" max="12"/>
    <col width="10" customWidth="1" min="13" max="13"/>
    <col width="5" customWidth="1" min="14" max="14"/>
    <col width="13" customWidth="1" min="15" max="15"/>
    <col width="11" customWidth="1" min="16" max="16"/>
  </cols>
  <sheetData>
    <row r="1">
      <c r="A1" s="1" t="inlineStr">
        <is>
          <t>GEG – Laporan Laba Rugi Bulanan: Aktual vs Budget (Rp juta)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>
        <f>"PT Global Energy Group | Bulan laporan: "&amp;'C1 GEG Setting'!$C$7&amp;" "&amp;'C1 GEG Setting'!$C$5&amp;" | F = favourable, U = unfavourable"</f>
        <v/>
      </c>
    </row>
    <row r="3"/>
    <row r="4"/>
    <row r="5" ht="30" customHeight="1">
      <c r="A5" s="16" t="inlineStr">
        <is>
          <t>Kode</t>
        </is>
      </c>
      <c r="B5" s="16" t="inlineStr">
        <is>
          <t>Uraian</t>
        </is>
      </c>
      <c r="C5" s="16" t="inlineStr">
        <is>
          <t>Tipe</t>
        </is>
      </c>
      <c r="D5" s="16" t="inlineStr">
        <is>
          <t>Bulan ini – Aktual</t>
        </is>
      </c>
      <c r="E5" s="16" t="inlineStr">
        <is>
          <t>Bulan ini – Budget</t>
        </is>
      </c>
      <c r="F5" s="16" t="inlineStr">
        <is>
          <t>Varians</t>
        </is>
      </c>
      <c r="G5" s="16" t="inlineStr">
        <is>
          <t>Varians %</t>
        </is>
      </c>
      <c r="H5" s="16" t="inlineStr">
        <is>
          <t>F/U</t>
        </is>
      </c>
      <c r="I5" s="16" t="inlineStr"/>
      <c r="J5" s="16" t="inlineStr">
        <is>
          <t>YTD – Aktual</t>
        </is>
      </c>
      <c r="K5" s="16" t="inlineStr">
        <is>
          <t>YTD – Budget</t>
        </is>
      </c>
      <c r="L5" s="16" t="inlineStr">
        <is>
          <t>Varians</t>
        </is>
      </c>
      <c r="M5" s="16" t="inlineStr">
        <is>
          <t>Varians %</t>
        </is>
      </c>
      <c r="N5" s="16" t="inlineStr">
        <is>
          <t>F/U</t>
        </is>
      </c>
      <c r="O5" s="16" t="inlineStr">
        <is>
          <t>Budget FY</t>
        </is>
      </c>
      <c r="P5" s="16" t="inlineStr">
        <is>
          <t>Capaian YTD thd FY</t>
        </is>
      </c>
    </row>
    <row r="6">
      <c r="A6" s="4" t="inlineStr">
        <is>
          <t>PENDAPATAN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45" t="inlineStr">
        <is>
          <t>4101</t>
        </is>
      </c>
      <c r="B7" s="10" t="inlineStr">
        <is>
          <t xml:space="preserve">   Penjualan batubara – Ekspor</t>
        </is>
      </c>
      <c r="C7" s="80" t="n">
        <v>1</v>
      </c>
      <c r="D7" s="28">
        <f>INDEX('C5 GEG LR Aktual'!$D$8:$O$8,'C1 GEG Setting'!$C$6)</f>
        <v/>
      </c>
      <c r="E7" s="28">
        <f>INDEX('C4 GEG LR Budget'!$D$8:$O$8,'C1 GEG Setting'!$C$6)</f>
        <v/>
      </c>
      <c r="F7" s="19">
        <f>D7-E7</f>
        <v/>
      </c>
      <c r="G7" s="24">
        <f>IFERROR(F7/ABS(E7),"")</f>
        <v/>
      </c>
      <c r="H7" s="11">
        <f>IF(ROUND(F7,0)=0,"",IF(F7*$C7&gt;0,"F","U"))</f>
        <v/>
      </c>
      <c r="J7" s="28">
        <f>SUMIF('C5 GEG LR Aktual'!$D$5:$O$5,"&lt;="&amp;'C1 GEG Setting'!$C$6,'C5 GEG LR Aktual'!$D$8:$O$8)</f>
        <v/>
      </c>
      <c r="K7" s="28">
        <f>SUMIF('C4 GEG LR Budget'!$D$5:$O$5,"&lt;="&amp;'C1 GEG Setting'!$C$6,'C4 GEG LR Budget'!$D$8:$O$8)</f>
        <v/>
      </c>
      <c r="L7" s="19">
        <f>J7-K7</f>
        <v/>
      </c>
      <c r="M7" s="24">
        <f>IFERROR(L7/ABS(K7),"")</f>
        <v/>
      </c>
      <c r="N7" s="11">
        <f>IF(ROUND(L7,0)=0,"",IF(L7*$C7&gt;0,"F","U"))</f>
        <v/>
      </c>
      <c r="O7" s="28">
        <f>'C4 GEG LR Budget'!$P$8</f>
        <v/>
      </c>
      <c r="P7" s="24">
        <f>IFERROR(J7/O7,0)</f>
        <v/>
      </c>
    </row>
    <row r="8">
      <c r="A8" s="45" t="inlineStr">
        <is>
          <t>4102</t>
        </is>
      </c>
      <c r="B8" s="10" t="inlineStr">
        <is>
          <t xml:space="preserve">   Penjualan batubara – Domestik DMO</t>
        </is>
      </c>
      <c r="C8" s="80" t="n">
        <v>1</v>
      </c>
      <c r="D8" s="28">
        <f>INDEX('C5 GEG LR Aktual'!$D$9:$O$9,'C1 GEG Setting'!$C$6)</f>
        <v/>
      </c>
      <c r="E8" s="28">
        <f>INDEX('C4 GEG LR Budget'!$D$9:$O$9,'C1 GEG Setting'!$C$6)</f>
        <v/>
      </c>
      <c r="F8" s="19">
        <f>D8-E8</f>
        <v/>
      </c>
      <c r="G8" s="24">
        <f>IFERROR(F8/ABS(E8),"")</f>
        <v/>
      </c>
      <c r="H8" s="11">
        <f>IF(ROUND(F8,0)=0,"",IF(F8*$C8&gt;0,"F","U"))</f>
        <v/>
      </c>
      <c r="J8" s="28">
        <f>SUMIF('C5 GEG LR Aktual'!$D$5:$O$5,"&lt;="&amp;'C1 GEG Setting'!$C$6,'C5 GEG LR Aktual'!$D$9:$O$9)</f>
        <v/>
      </c>
      <c r="K8" s="28">
        <f>SUMIF('C4 GEG LR Budget'!$D$5:$O$5,"&lt;="&amp;'C1 GEG Setting'!$C$6,'C4 GEG LR Budget'!$D$9:$O$9)</f>
        <v/>
      </c>
      <c r="L8" s="19">
        <f>J8-K8</f>
        <v/>
      </c>
      <c r="M8" s="24">
        <f>IFERROR(L8/ABS(K8),"")</f>
        <v/>
      </c>
      <c r="N8" s="11">
        <f>IF(ROUND(L8,0)=0,"",IF(L8*$C8&gt;0,"F","U"))</f>
        <v/>
      </c>
      <c r="O8" s="28">
        <f>'C4 GEG LR Budget'!$P$9</f>
        <v/>
      </c>
      <c r="P8" s="24">
        <f>IFERROR(J8/O8,0)</f>
        <v/>
      </c>
    </row>
    <row r="9">
      <c r="A9" s="45" t="inlineStr">
        <is>
          <t>4103</t>
        </is>
      </c>
      <c r="B9" s="10" t="inlineStr">
        <is>
          <t xml:space="preserve">   Penjualan batubara – Domestik non-DMO</t>
        </is>
      </c>
      <c r="C9" s="80" t="n">
        <v>1</v>
      </c>
      <c r="D9" s="28">
        <f>INDEX('C5 GEG LR Aktual'!$D$10:$O$10,'C1 GEG Setting'!$C$6)</f>
        <v/>
      </c>
      <c r="E9" s="28">
        <f>INDEX('C4 GEG LR Budget'!$D$10:$O$10,'C1 GEG Setting'!$C$6)</f>
        <v/>
      </c>
      <c r="F9" s="19">
        <f>D9-E9</f>
        <v/>
      </c>
      <c r="G9" s="24">
        <f>IFERROR(F9/ABS(E9),"")</f>
        <v/>
      </c>
      <c r="H9" s="11">
        <f>IF(ROUND(F9,0)=0,"",IF(F9*$C9&gt;0,"F","U"))</f>
        <v/>
      </c>
      <c r="J9" s="28">
        <f>SUMIF('C5 GEG LR Aktual'!$D$5:$O$5,"&lt;="&amp;'C1 GEG Setting'!$C$6,'C5 GEG LR Aktual'!$D$10:$O$10)</f>
        <v/>
      </c>
      <c r="K9" s="28">
        <f>SUMIF('C4 GEG LR Budget'!$D$5:$O$5,"&lt;="&amp;'C1 GEG Setting'!$C$6,'C4 GEG LR Budget'!$D$10:$O$10)</f>
        <v/>
      </c>
      <c r="L9" s="19">
        <f>J9-K9</f>
        <v/>
      </c>
      <c r="M9" s="24">
        <f>IFERROR(L9/ABS(K9),"")</f>
        <v/>
      </c>
      <c r="N9" s="11">
        <f>IF(ROUND(L9,0)=0,"",IF(L9*$C9&gt;0,"F","U"))</f>
        <v/>
      </c>
      <c r="O9" s="28">
        <f>'C4 GEG LR Budget'!$P$10</f>
        <v/>
      </c>
      <c r="P9" s="24">
        <f>IFERROR(J9/O9,0)</f>
        <v/>
      </c>
    </row>
    <row r="10">
      <c r="A10" s="45" t="inlineStr"/>
      <c r="B10" s="46" t="inlineStr">
        <is>
          <t xml:space="preserve">   Subtotal penjualan batubara</t>
        </is>
      </c>
      <c r="C10" s="80" t="n">
        <v>1</v>
      </c>
      <c r="D10" s="70">
        <f>INDEX('C5 GEG LR Aktual'!$D$11:$O$11,'C1 GEG Setting'!$C$6)</f>
        <v/>
      </c>
      <c r="E10" s="70">
        <f>INDEX('C4 GEG LR Budget'!$D$11:$O$11,'C1 GEG Setting'!$C$6)</f>
        <v/>
      </c>
      <c r="F10" s="71">
        <f>D10-E10</f>
        <v/>
      </c>
      <c r="G10" s="24">
        <f>IFERROR(F10/ABS(E10),"")</f>
        <v/>
      </c>
      <c r="H10" s="11">
        <f>IF(ROUND(F10,0)=0,"",IF(F10*$C10&gt;0,"F","U"))</f>
        <v/>
      </c>
      <c r="J10" s="70">
        <f>SUMIF('C5 GEG LR Aktual'!$D$5:$O$5,"&lt;="&amp;'C1 GEG Setting'!$C$6,'C5 GEG LR Aktual'!$D$11:$O$11)</f>
        <v/>
      </c>
      <c r="K10" s="70">
        <f>SUMIF('C4 GEG LR Budget'!$D$5:$O$5,"&lt;="&amp;'C1 GEG Setting'!$C$6,'C4 GEG LR Budget'!$D$11:$O$11)</f>
        <v/>
      </c>
      <c r="L10" s="71">
        <f>J10-K10</f>
        <v/>
      </c>
      <c r="M10" s="24">
        <f>IFERROR(L10/ABS(K10),"")</f>
        <v/>
      </c>
      <c r="N10" s="11">
        <f>IF(ROUND(L10,0)=0,"",IF(L10*$C10&gt;0,"F","U"))</f>
        <v/>
      </c>
      <c r="O10" s="28">
        <f>'C4 GEG LR Budget'!$P$11</f>
        <v/>
      </c>
      <c r="P10" s="24">
        <f>IFERROR(J10/O10,0)</f>
        <v/>
      </c>
    </row>
    <row r="11">
      <c r="A11" s="45" t="inlineStr">
        <is>
          <t>4104</t>
        </is>
      </c>
      <c r="B11" s="10" t="inlineStr">
        <is>
          <t xml:space="preserve">   Penyesuaian harga / penalti kualitas (isi negatif)</t>
        </is>
      </c>
      <c r="C11" s="80" t="n">
        <v>1</v>
      </c>
      <c r="D11" s="28">
        <f>INDEX('C5 GEG LR Aktual'!$D$12:$O$12,'C1 GEG Setting'!$C$6)</f>
        <v/>
      </c>
      <c r="E11" s="28">
        <f>INDEX('C4 GEG LR Budget'!$D$12:$O$12,'C1 GEG Setting'!$C$6)</f>
        <v/>
      </c>
      <c r="F11" s="19">
        <f>D11-E11</f>
        <v/>
      </c>
      <c r="G11" s="24">
        <f>IFERROR(F11/ABS(E11),"")</f>
        <v/>
      </c>
      <c r="H11" s="11">
        <f>IF(ROUND(F11,0)=0,"",IF(F11*$C11&gt;0,"F","U"))</f>
        <v/>
      </c>
      <c r="J11" s="28">
        <f>SUMIF('C5 GEG LR Aktual'!$D$5:$O$5,"&lt;="&amp;'C1 GEG Setting'!$C$6,'C5 GEG LR Aktual'!$D$12:$O$12)</f>
        <v/>
      </c>
      <c r="K11" s="28">
        <f>SUMIF('C4 GEG LR Budget'!$D$5:$O$5,"&lt;="&amp;'C1 GEG Setting'!$C$6,'C4 GEG LR Budget'!$D$12:$O$12)</f>
        <v/>
      </c>
      <c r="L11" s="19">
        <f>J11-K11</f>
        <v/>
      </c>
      <c r="M11" s="24">
        <f>IFERROR(L11/ABS(K11),"")</f>
        <v/>
      </c>
      <c r="N11" s="11">
        <f>IF(ROUND(L11,0)=0,"",IF(L11*$C11&gt;0,"F","U"))</f>
        <v/>
      </c>
      <c r="O11" s="28">
        <f>'C4 GEG LR Budget'!$P$12</f>
        <v/>
      </c>
      <c r="P11" s="24">
        <f>IFERROR(J11/O11,0)</f>
        <v/>
      </c>
    </row>
    <row r="12">
      <c r="A12" s="45" t="inlineStr">
        <is>
          <t>4201</t>
        </is>
      </c>
      <c r="B12" s="10" t="inlineStr">
        <is>
          <t xml:space="preserve">   Pendapatan jasa &amp; usaha lainnya</t>
        </is>
      </c>
      <c r="C12" s="80" t="n">
        <v>1</v>
      </c>
      <c r="D12" s="28">
        <f>INDEX('C5 GEG LR Aktual'!$D$13:$O$13,'C1 GEG Setting'!$C$6)</f>
        <v/>
      </c>
      <c r="E12" s="28">
        <f>INDEX('C4 GEG LR Budget'!$D$13:$O$13,'C1 GEG Setting'!$C$6)</f>
        <v/>
      </c>
      <c r="F12" s="19">
        <f>D12-E12</f>
        <v/>
      </c>
      <c r="G12" s="24">
        <f>IFERROR(F12/ABS(E12),"")</f>
        <v/>
      </c>
      <c r="H12" s="11">
        <f>IF(ROUND(F12,0)=0,"",IF(F12*$C12&gt;0,"F","U"))</f>
        <v/>
      </c>
      <c r="J12" s="28">
        <f>SUMIF('C5 GEG LR Aktual'!$D$5:$O$5,"&lt;="&amp;'C1 GEG Setting'!$C$6,'C5 GEG LR Aktual'!$D$13:$O$13)</f>
        <v/>
      </c>
      <c r="K12" s="28">
        <f>SUMIF('C4 GEG LR Budget'!$D$5:$O$5,"&lt;="&amp;'C1 GEG Setting'!$C$6,'C4 GEG LR Budget'!$D$13:$O$13)</f>
        <v/>
      </c>
      <c r="L12" s="19">
        <f>J12-K12</f>
        <v/>
      </c>
      <c r="M12" s="24">
        <f>IFERROR(L12/ABS(K12),"")</f>
        <v/>
      </c>
      <c r="N12" s="11">
        <f>IF(ROUND(L12,0)=0,"",IF(L12*$C12&gt;0,"F","U"))</f>
        <v/>
      </c>
      <c r="O12" s="28">
        <f>'C4 GEG LR Budget'!$P$13</f>
        <v/>
      </c>
      <c r="P12" s="24">
        <f>IFERROR(J12/O12,0)</f>
        <v/>
      </c>
    </row>
    <row r="13">
      <c r="A13" s="82" t="inlineStr"/>
      <c r="B13" s="31" t="inlineStr">
        <is>
          <t>PENDAPATAN BERSIH</t>
        </is>
      </c>
      <c r="C13" s="83" t="n">
        <v>1</v>
      </c>
      <c r="D13" s="84">
        <f>INDEX('C5 GEG LR Aktual'!$D$14:$O$14,'C1 GEG Setting'!$C$6)</f>
        <v/>
      </c>
      <c r="E13" s="84">
        <f>INDEX('C4 GEG LR Budget'!$D$14:$O$14,'C1 GEG Setting'!$C$6)</f>
        <v/>
      </c>
      <c r="F13" s="33">
        <f>D13-E13</f>
        <v/>
      </c>
      <c r="G13" s="85">
        <f>IFERROR(F13/ABS(E13),"")</f>
        <v/>
      </c>
      <c r="H13" s="86">
        <f>IF(ROUND(F13,0)=0,"",IF(F13*$C13&gt;0,"F","U"))</f>
        <v/>
      </c>
      <c r="I13" s="32" t="n"/>
      <c r="J13" s="84">
        <f>SUMIF('C5 GEG LR Aktual'!$D$5:$O$5,"&lt;="&amp;'C1 GEG Setting'!$C$6,'C5 GEG LR Aktual'!$D$14:$O$14)</f>
        <v/>
      </c>
      <c r="K13" s="84">
        <f>SUMIF('C4 GEG LR Budget'!$D$5:$O$5,"&lt;="&amp;'C1 GEG Setting'!$C$6,'C4 GEG LR Budget'!$D$14:$O$14)</f>
        <v/>
      </c>
      <c r="L13" s="33">
        <f>J13-K13</f>
        <v/>
      </c>
      <c r="M13" s="85">
        <f>IFERROR(L13/ABS(K13),"")</f>
        <v/>
      </c>
      <c r="N13" s="86">
        <f>IF(ROUND(L13,0)=0,"",IF(L13*$C13&gt;0,"F","U"))</f>
        <v/>
      </c>
      <c r="O13" s="87">
        <f>'C4 GEG LR Budget'!$P$14</f>
        <v/>
      </c>
      <c r="P13" s="85">
        <f>IFERROR(J13/O13,0)</f>
        <v/>
      </c>
    </row>
    <row r="14">
      <c r="A14" s="4" t="inlineStr">
        <is>
          <t>BEBAN POKOK PENDAPATAN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B15" s="35" t="inlineStr">
        <is>
          <t>A. Biaya penambangan</t>
        </is>
      </c>
    </row>
    <row r="16">
      <c r="A16" s="45" t="inlineStr">
        <is>
          <t>5101</t>
        </is>
      </c>
      <c r="B16" s="10" t="inlineStr">
        <is>
          <t xml:space="preserve">   Jasa kontraktor OB removal</t>
        </is>
      </c>
      <c r="C16" s="80" t="n">
        <v>-1</v>
      </c>
      <c r="D16" s="28">
        <f>INDEX('C5 GEG LR Aktual'!$D$17:$O$17,'C1 GEG Setting'!$C$6)</f>
        <v/>
      </c>
      <c r="E16" s="28">
        <f>INDEX('C4 GEG LR Budget'!$D$17:$O$17,'C1 GEG Setting'!$C$6)</f>
        <v/>
      </c>
      <c r="F16" s="19">
        <f>D16-E16</f>
        <v/>
      </c>
      <c r="G16" s="24">
        <f>IFERROR(F16/ABS(E16),"")</f>
        <v/>
      </c>
      <c r="H16" s="11">
        <f>IF(ROUND(F16,0)=0,"",IF(F16*$C16&gt;0,"F","U"))</f>
        <v/>
      </c>
      <c r="J16" s="28">
        <f>SUMIF('C5 GEG LR Aktual'!$D$5:$O$5,"&lt;="&amp;'C1 GEG Setting'!$C$6,'C5 GEG LR Aktual'!$D$17:$O$17)</f>
        <v/>
      </c>
      <c r="K16" s="28">
        <f>SUMIF('C4 GEG LR Budget'!$D$5:$O$5,"&lt;="&amp;'C1 GEG Setting'!$C$6,'C4 GEG LR Budget'!$D$17:$O$17)</f>
        <v/>
      </c>
      <c r="L16" s="19">
        <f>J16-K16</f>
        <v/>
      </c>
      <c r="M16" s="24">
        <f>IFERROR(L16/ABS(K16),"")</f>
        <v/>
      </c>
      <c r="N16" s="11">
        <f>IF(ROUND(L16,0)=0,"",IF(L16*$C16&gt;0,"F","U"))</f>
        <v/>
      </c>
      <c r="O16" s="28">
        <f>'C4 GEG LR Budget'!$P$17</f>
        <v/>
      </c>
      <c r="P16" s="24">
        <f>IFERROR(J16/O16,0)</f>
        <v/>
      </c>
    </row>
    <row r="17">
      <c r="A17" s="45" t="inlineStr">
        <is>
          <t>5102</t>
        </is>
      </c>
      <c r="B17" s="10" t="inlineStr">
        <is>
          <t xml:space="preserve">   Bahan bakar (BBM)</t>
        </is>
      </c>
      <c r="C17" s="80" t="n">
        <v>-1</v>
      </c>
      <c r="D17" s="28">
        <f>INDEX('C5 GEG LR Aktual'!$D$18:$O$18,'C1 GEG Setting'!$C$6)</f>
        <v/>
      </c>
      <c r="E17" s="28">
        <f>INDEX('C4 GEG LR Budget'!$D$18:$O$18,'C1 GEG Setting'!$C$6)</f>
        <v/>
      </c>
      <c r="F17" s="19">
        <f>D17-E17</f>
        <v/>
      </c>
      <c r="G17" s="24">
        <f>IFERROR(F17/ABS(E17),"")</f>
        <v/>
      </c>
      <c r="H17" s="11">
        <f>IF(ROUND(F17,0)=0,"",IF(F17*$C17&gt;0,"F","U"))</f>
        <v/>
      </c>
      <c r="J17" s="28">
        <f>SUMIF('C5 GEG LR Aktual'!$D$5:$O$5,"&lt;="&amp;'C1 GEG Setting'!$C$6,'C5 GEG LR Aktual'!$D$18:$O$18)</f>
        <v/>
      </c>
      <c r="K17" s="28">
        <f>SUMIF('C4 GEG LR Budget'!$D$5:$O$5,"&lt;="&amp;'C1 GEG Setting'!$C$6,'C4 GEG LR Budget'!$D$18:$O$18)</f>
        <v/>
      </c>
      <c r="L17" s="19">
        <f>J17-K17</f>
        <v/>
      </c>
      <c r="M17" s="24">
        <f>IFERROR(L17/ABS(K17),"")</f>
        <v/>
      </c>
      <c r="N17" s="11">
        <f>IF(ROUND(L17,0)=0,"",IF(L17*$C17&gt;0,"F","U"))</f>
        <v/>
      </c>
      <c r="O17" s="28">
        <f>'C4 GEG LR Budget'!$P$18</f>
        <v/>
      </c>
      <c r="P17" s="24">
        <f>IFERROR(J17/O17,0)</f>
        <v/>
      </c>
    </row>
    <row r="18">
      <c r="A18" s="45" t="inlineStr">
        <is>
          <t>5103</t>
        </is>
      </c>
      <c r="B18" s="10" t="inlineStr">
        <is>
          <t xml:space="preserve">   Peledakan (drill &amp; blast)</t>
        </is>
      </c>
      <c r="C18" s="80" t="n">
        <v>-1</v>
      </c>
      <c r="D18" s="28">
        <f>INDEX('C5 GEG LR Aktual'!$D$19:$O$19,'C1 GEG Setting'!$C$6)</f>
        <v/>
      </c>
      <c r="E18" s="28">
        <f>INDEX('C4 GEG LR Budget'!$D$19:$O$19,'C1 GEG Setting'!$C$6)</f>
        <v/>
      </c>
      <c r="F18" s="19">
        <f>D18-E18</f>
        <v/>
      </c>
      <c r="G18" s="24">
        <f>IFERROR(F18/ABS(E18),"")</f>
        <v/>
      </c>
      <c r="H18" s="11">
        <f>IF(ROUND(F18,0)=0,"",IF(F18*$C18&gt;0,"F","U"))</f>
        <v/>
      </c>
      <c r="J18" s="28">
        <f>SUMIF('C5 GEG LR Aktual'!$D$5:$O$5,"&lt;="&amp;'C1 GEG Setting'!$C$6,'C5 GEG LR Aktual'!$D$19:$O$19)</f>
        <v/>
      </c>
      <c r="K18" s="28">
        <f>SUMIF('C4 GEG LR Budget'!$D$5:$O$5,"&lt;="&amp;'C1 GEG Setting'!$C$6,'C4 GEG LR Budget'!$D$19:$O$19)</f>
        <v/>
      </c>
      <c r="L18" s="19">
        <f>J18-K18</f>
        <v/>
      </c>
      <c r="M18" s="24">
        <f>IFERROR(L18/ABS(K18),"")</f>
        <v/>
      </c>
      <c r="N18" s="11">
        <f>IF(ROUND(L18,0)=0,"",IF(L18*$C18&gt;0,"F","U"))</f>
        <v/>
      </c>
      <c r="O18" s="28">
        <f>'C4 GEG LR Budget'!$P$19</f>
        <v/>
      </c>
      <c r="P18" s="24">
        <f>IFERROR(J18/O18,0)</f>
        <v/>
      </c>
    </row>
    <row r="19">
      <c r="A19" s="45" t="inlineStr">
        <is>
          <t>5104</t>
        </is>
      </c>
      <c r="B19" s="10" t="inlineStr">
        <is>
          <t xml:space="preserve">   Penggalian batubara (coal getting)</t>
        </is>
      </c>
      <c r="C19" s="80" t="n">
        <v>-1</v>
      </c>
      <c r="D19" s="28">
        <f>INDEX('C5 GEG LR Aktual'!$D$20:$O$20,'C1 GEG Setting'!$C$6)</f>
        <v/>
      </c>
      <c r="E19" s="28">
        <f>INDEX('C4 GEG LR Budget'!$D$20:$O$20,'C1 GEG Setting'!$C$6)</f>
        <v/>
      </c>
      <c r="F19" s="19">
        <f>D19-E19</f>
        <v/>
      </c>
      <c r="G19" s="24">
        <f>IFERROR(F19/ABS(E19),"")</f>
        <v/>
      </c>
      <c r="H19" s="11">
        <f>IF(ROUND(F19,0)=0,"",IF(F19*$C19&gt;0,"F","U"))</f>
        <v/>
      </c>
      <c r="J19" s="28">
        <f>SUMIF('C5 GEG LR Aktual'!$D$5:$O$5,"&lt;="&amp;'C1 GEG Setting'!$C$6,'C5 GEG LR Aktual'!$D$20:$O$20)</f>
        <v/>
      </c>
      <c r="K19" s="28">
        <f>SUMIF('C4 GEG LR Budget'!$D$5:$O$5,"&lt;="&amp;'C1 GEG Setting'!$C$6,'C4 GEG LR Budget'!$D$20:$O$20)</f>
        <v/>
      </c>
      <c r="L19" s="19">
        <f>J19-K19</f>
        <v/>
      </c>
      <c r="M19" s="24">
        <f>IFERROR(L19/ABS(K19),"")</f>
        <v/>
      </c>
      <c r="N19" s="11">
        <f>IF(ROUND(L19,0)=0,"",IF(L19*$C19&gt;0,"F","U"))</f>
        <v/>
      </c>
      <c r="O19" s="28">
        <f>'C4 GEG LR Budget'!$P$20</f>
        <v/>
      </c>
      <c r="P19" s="24">
        <f>IFERROR(J19/O19,0)</f>
        <v/>
      </c>
    </row>
    <row r="20">
      <c r="A20" s="45" t="inlineStr">
        <is>
          <t>5105</t>
        </is>
      </c>
      <c r="B20" s="10" t="inlineStr">
        <is>
          <t xml:space="preserve">   Sewa alat berat &amp; sarana penunjang</t>
        </is>
      </c>
      <c r="C20" s="80" t="n">
        <v>-1</v>
      </c>
      <c r="D20" s="28">
        <f>INDEX('C5 GEG LR Aktual'!$D$21:$O$21,'C1 GEG Setting'!$C$6)</f>
        <v/>
      </c>
      <c r="E20" s="28">
        <f>INDEX('C4 GEG LR Budget'!$D$21:$O$21,'C1 GEG Setting'!$C$6)</f>
        <v/>
      </c>
      <c r="F20" s="19">
        <f>D20-E20</f>
        <v/>
      </c>
      <c r="G20" s="24">
        <f>IFERROR(F20/ABS(E20),"")</f>
        <v/>
      </c>
      <c r="H20" s="11">
        <f>IF(ROUND(F20,0)=0,"",IF(F20*$C20&gt;0,"F","U"))</f>
        <v/>
      </c>
      <c r="J20" s="28">
        <f>SUMIF('C5 GEG LR Aktual'!$D$5:$O$5,"&lt;="&amp;'C1 GEG Setting'!$C$6,'C5 GEG LR Aktual'!$D$21:$O$21)</f>
        <v/>
      </c>
      <c r="K20" s="28">
        <f>SUMIF('C4 GEG LR Budget'!$D$5:$O$5,"&lt;="&amp;'C1 GEG Setting'!$C$6,'C4 GEG LR Budget'!$D$21:$O$21)</f>
        <v/>
      </c>
      <c r="L20" s="19">
        <f>J20-K20</f>
        <v/>
      </c>
      <c r="M20" s="24">
        <f>IFERROR(L20/ABS(K20),"")</f>
        <v/>
      </c>
      <c r="N20" s="11">
        <f>IF(ROUND(L20,0)=0,"",IF(L20*$C20&gt;0,"F","U"))</f>
        <v/>
      </c>
      <c r="O20" s="28">
        <f>'C4 GEG LR Budget'!$P$21</f>
        <v/>
      </c>
      <c r="P20" s="24">
        <f>IFERROR(J20/O20,0)</f>
        <v/>
      </c>
    </row>
    <row r="21">
      <c r="A21" s="45" t="inlineStr">
        <is>
          <t>5106</t>
        </is>
      </c>
      <c r="B21" s="10" t="inlineStr">
        <is>
          <t xml:space="preserve">   Pemeliharaan jalan tambang &amp; infrastruktur</t>
        </is>
      </c>
      <c r="C21" s="80" t="n">
        <v>-1</v>
      </c>
      <c r="D21" s="28">
        <f>INDEX('C5 GEG LR Aktual'!$D$22:$O$22,'C1 GEG Setting'!$C$6)</f>
        <v/>
      </c>
      <c r="E21" s="28">
        <f>INDEX('C4 GEG LR Budget'!$D$22:$O$22,'C1 GEG Setting'!$C$6)</f>
        <v/>
      </c>
      <c r="F21" s="19">
        <f>D21-E21</f>
        <v/>
      </c>
      <c r="G21" s="24">
        <f>IFERROR(F21/ABS(E21),"")</f>
        <v/>
      </c>
      <c r="H21" s="11">
        <f>IF(ROUND(F21,0)=0,"",IF(F21*$C21&gt;0,"F","U"))</f>
        <v/>
      </c>
      <c r="J21" s="28">
        <f>SUMIF('C5 GEG LR Aktual'!$D$5:$O$5,"&lt;="&amp;'C1 GEG Setting'!$C$6,'C5 GEG LR Aktual'!$D$22:$O$22)</f>
        <v/>
      </c>
      <c r="K21" s="28">
        <f>SUMIF('C4 GEG LR Budget'!$D$5:$O$5,"&lt;="&amp;'C1 GEG Setting'!$C$6,'C4 GEG LR Budget'!$D$22:$O$22)</f>
        <v/>
      </c>
      <c r="L21" s="19">
        <f>J21-K21</f>
        <v/>
      </c>
      <c r="M21" s="24">
        <f>IFERROR(L21/ABS(K21),"")</f>
        <v/>
      </c>
      <c r="N21" s="11">
        <f>IF(ROUND(L21,0)=0,"",IF(L21*$C21&gt;0,"F","U"))</f>
        <v/>
      </c>
      <c r="O21" s="28">
        <f>'C4 GEG LR Budget'!$P$22</f>
        <v/>
      </c>
      <c r="P21" s="24">
        <f>IFERROR(J21/O21,0)</f>
        <v/>
      </c>
    </row>
    <row r="22">
      <c r="A22" s="45" t="inlineStr">
        <is>
          <t>5107</t>
        </is>
      </c>
      <c r="B22" s="10" t="inlineStr">
        <is>
          <t xml:space="preserve">   Pengelolaan air tambang (dewatering)</t>
        </is>
      </c>
      <c r="C22" s="80" t="n">
        <v>-1</v>
      </c>
      <c r="D22" s="28">
        <f>INDEX('C5 GEG LR Aktual'!$D$23:$O$23,'C1 GEG Setting'!$C$6)</f>
        <v/>
      </c>
      <c r="E22" s="28">
        <f>INDEX('C4 GEG LR Budget'!$D$23:$O$23,'C1 GEG Setting'!$C$6)</f>
        <v/>
      </c>
      <c r="F22" s="19">
        <f>D22-E22</f>
        <v/>
      </c>
      <c r="G22" s="24">
        <f>IFERROR(F22/ABS(E22),"")</f>
        <v/>
      </c>
      <c r="H22" s="11">
        <f>IF(ROUND(F22,0)=0,"",IF(F22*$C22&gt;0,"F","U"))</f>
        <v/>
      </c>
      <c r="J22" s="28">
        <f>SUMIF('C5 GEG LR Aktual'!$D$5:$O$5,"&lt;="&amp;'C1 GEG Setting'!$C$6,'C5 GEG LR Aktual'!$D$23:$O$23)</f>
        <v/>
      </c>
      <c r="K22" s="28">
        <f>SUMIF('C4 GEG LR Budget'!$D$5:$O$5,"&lt;="&amp;'C1 GEG Setting'!$C$6,'C4 GEG LR Budget'!$D$23:$O$23)</f>
        <v/>
      </c>
      <c r="L22" s="19">
        <f>J22-K22</f>
        <v/>
      </c>
      <c r="M22" s="24">
        <f>IFERROR(L22/ABS(K22),"")</f>
        <v/>
      </c>
      <c r="N22" s="11">
        <f>IF(ROUND(L22,0)=0,"",IF(L22*$C22&gt;0,"F","U"))</f>
        <v/>
      </c>
      <c r="O22" s="28">
        <f>'C4 GEG LR Budget'!$P$23</f>
        <v/>
      </c>
      <c r="P22" s="24">
        <f>IFERROR(J22/O22,0)</f>
        <v/>
      </c>
    </row>
    <row r="23">
      <c r="A23" s="45" t="inlineStr">
        <is>
          <t>5108</t>
        </is>
      </c>
      <c r="B23" s="10" t="inlineStr">
        <is>
          <t xml:space="preserve">   Survei, geologi &amp; grade control</t>
        </is>
      </c>
      <c r="C23" s="80" t="n">
        <v>-1</v>
      </c>
      <c r="D23" s="28">
        <f>INDEX('C5 GEG LR Aktual'!$D$24:$O$24,'C1 GEG Setting'!$C$6)</f>
        <v/>
      </c>
      <c r="E23" s="28">
        <f>INDEX('C4 GEG LR Budget'!$D$24:$O$24,'C1 GEG Setting'!$C$6)</f>
        <v/>
      </c>
      <c r="F23" s="19">
        <f>D23-E23</f>
        <v/>
      </c>
      <c r="G23" s="24">
        <f>IFERROR(F23/ABS(E23),"")</f>
        <v/>
      </c>
      <c r="H23" s="11">
        <f>IF(ROUND(F23,0)=0,"",IF(F23*$C23&gt;0,"F","U"))</f>
        <v/>
      </c>
      <c r="J23" s="28">
        <f>SUMIF('C5 GEG LR Aktual'!$D$5:$O$5,"&lt;="&amp;'C1 GEG Setting'!$C$6,'C5 GEG LR Aktual'!$D$24:$O$24)</f>
        <v/>
      </c>
      <c r="K23" s="28">
        <f>SUMIF('C4 GEG LR Budget'!$D$5:$O$5,"&lt;="&amp;'C1 GEG Setting'!$C$6,'C4 GEG LR Budget'!$D$24:$O$24)</f>
        <v/>
      </c>
      <c r="L23" s="19">
        <f>J23-K23</f>
        <v/>
      </c>
      <c r="M23" s="24">
        <f>IFERROR(L23/ABS(K23),"")</f>
        <v/>
      </c>
      <c r="N23" s="11">
        <f>IF(ROUND(L23,0)=0,"",IF(L23*$C23&gt;0,"F","U"))</f>
        <v/>
      </c>
      <c r="O23" s="28">
        <f>'C4 GEG LR Budget'!$P$24</f>
        <v/>
      </c>
      <c r="P23" s="24">
        <f>IFERROR(J23/O23,0)</f>
        <v/>
      </c>
    </row>
    <row r="24">
      <c r="A24" s="45" t="inlineStr"/>
      <c r="B24" s="46" t="inlineStr">
        <is>
          <t xml:space="preserve">   Subtotal biaya penambangan</t>
        </is>
      </c>
      <c r="C24" s="80" t="n">
        <v>-1</v>
      </c>
      <c r="D24" s="70">
        <f>INDEX('C5 GEG LR Aktual'!$D$25:$O$25,'C1 GEG Setting'!$C$6)</f>
        <v/>
      </c>
      <c r="E24" s="70">
        <f>INDEX('C4 GEG LR Budget'!$D$25:$O$25,'C1 GEG Setting'!$C$6)</f>
        <v/>
      </c>
      <c r="F24" s="71">
        <f>D24-E24</f>
        <v/>
      </c>
      <c r="G24" s="24">
        <f>IFERROR(F24/ABS(E24),"")</f>
        <v/>
      </c>
      <c r="H24" s="11">
        <f>IF(ROUND(F24,0)=0,"",IF(F24*$C24&gt;0,"F","U"))</f>
        <v/>
      </c>
      <c r="J24" s="70">
        <f>SUMIF('C5 GEG LR Aktual'!$D$5:$O$5,"&lt;="&amp;'C1 GEG Setting'!$C$6,'C5 GEG LR Aktual'!$D$25:$O$25)</f>
        <v/>
      </c>
      <c r="K24" s="70">
        <f>SUMIF('C4 GEG LR Budget'!$D$5:$O$5,"&lt;="&amp;'C1 GEG Setting'!$C$6,'C4 GEG LR Budget'!$D$25:$O$25)</f>
        <v/>
      </c>
      <c r="L24" s="71">
        <f>J24-K24</f>
        <v/>
      </c>
      <c r="M24" s="24">
        <f>IFERROR(L24/ABS(K24),"")</f>
        <v/>
      </c>
      <c r="N24" s="11">
        <f>IF(ROUND(L24,0)=0,"",IF(L24*$C24&gt;0,"F","U"))</f>
        <v/>
      </c>
      <c r="O24" s="28">
        <f>'C4 GEG LR Budget'!$P$25</f>
        <v/>
      </c>
      <c r="P24" s="24">
        <f>IFERROR(J24/O24,0)</f>
        <v/>
      </c>
    </row>
    <row r="25">
      <c r="B25" s="35" t="inlineStr">
        <is>
          <t>B. Pengolahan &amp; logistik</t>
        </is>
      </c>
    </row>
    <row r="26">
      <c r="A26" s="45" t="inlineStr">
        <is>
          <t>5201</t>
        </is>
      </c>
      <c r="B26" s="10" t="inlineStr">
        <is>
          <t xml:space="preserve">   Crushing &amp; pengolahan (CPP)</t>
        </is>
      </c>
      <c r="C26" s="80" t="n">
        <v>-1</v>
      </c>
      <c r="D26" s="28">
        <f>INDEX('C5 GEG LR Aktual'!$D$27:$O$27,'C1 GEG Setting'!$C$6)</f>
        <v/>
      </c>
      <c r="E26" s="28">
        <f>INDEX('C4 GEG LR Budget'!$D$27:$O$27,'C1 GEG Setting'!$C$6)</f>
        <v/>
      </c>
      <c r="F26" s="19">
        <f>D26-E26</f>
        <v/>
      </c>
      <c r="G26" s="24">
        <f>IFERROR(F26/ABS(E26),"")</f>
        <v/>
      </c>
      <c r="H26" s="11">
        <f>IF(ROUND(F26,0)=0,"",IF(F26*$C26&gt;0,"F","U"))</f>
        <v/>
      </c>
      <c r="J26" s="28">
        <f>SUMIF('C5 GEG LR Aktual'!$D$5:$O$5,"&lt;="&amp;'C1 GEG Setting'!$C$6,'C5 GEG LR Aktual'!$D$27:$O$27)</f>
        <v/>
      </c>
      <c r="K26" s="28">
        <f>SUMIF('C4 GEG LR Budget'!$D$5:$O$5,"&lt;="&amp;'C1 GEG Setting'!$C$6,'C4 GEG LR Budget'!$D$27:$O$27)</f>
        <v/>
      </c>
      <c r="L26" s="19">
        <f>J26-K26</f>
        <v/>
      </c>
      <c r="M26" s="24">
        <f>IFERROR(L26/ABS(K26),"")</f>
        <v/>
      </c>
      <c r="N26" s="11">
        <f>IF(ROUND(L26,0)=0,"",IF(L26*$C26&gt;0,"F","U"))</f>
        <v/>
      </c>
      <c r="O26" s="28">
        <f>'C4 GEG LR Budget'!$P$27</f>
        <v/>
      </c>
      <c r="P26" s="24">
        <f>IFERROR(J26/O26,0)</f>
        <v/>
      </c>
    </row>
    <row r="27">
      <c r="A27" s="45" t="inlineStr">
        <is>
          <t>5202</t>
        </is>
      </c>
      <c r="B27" s="10" t="inlineStr">
        <is>
          <t xml:space="preserve">   Hauling tambang – pelabuhan</t>
        </is>
      </c>
      <c r="C27" s="80" t="n">
        <v>-1</v>
      </c>
      <c r="D27" s="28">
        <f>INDEX('C5 GEG LR Aktual'!$D$28:$O$28,'C1 GEG Setting'!$C$6)</f>
        <v/>
      </c>
      <c r="E27" s="28">
        <f>INDEX('C4 GEG LR Budget'!$D$28:$O$28,'C1 GEG Setting'!$C$6)</f>
        <v/>
      </c>
      <c r="F27" s="19">
        <f>D27-E27</f>
        <v/>
      </c>
      <c r="G27" s="24">
        <f>IFERROR(F27/ABS(E27),"")</f>
        <v/>
      </c>
      <c r="H27" s="11">
        <f>IF(ROUND(F27,0)=0,"",IF(F27*$C27&gt;0,"F","U"))</f>
        <v/>
      </c>
      <c r="J27" s="28">
        <f>SUMIF('C5 GEG LR Aktual'!$D$5:$O$5,"&lt;="&amp;'C1 GEG Setting'!$C$6,'C5 GEG LR Aktual'!$D$28:$O$28)</f>
        <v/>
      </c>
      <c r="K27" s="28">
        <f>SUMIF('C4 GEG LR Budget'!$D$5:$O$5,"&lt;="&amp;'C1 GEG Setting'!$C$6,'C4 GEG LR Budget'!$D$28:$O$28)</f>
        <v/>
      </c>
      <c r="L27" s="19">
        <f>J27-K27</f>
        <v/>
      </c>
      <c r="M27" s="24">
        <f>IFERROR(L27/ABS(K27),"")</f>
        <v/>
      </c>
      <c r="N27" s="11">
        <f>IF(ROUND(L27,0)=0,"",IF(L27*$C27&gt;0,"F","U"))</f>
        <v/>
      </c>
      <c r="O27" s="28">
        <f>'C4 GEG LR Budget'!$P$28</f>
        <v/>
      </c>
      <c r="P27" s="24">
        <f>IFERROR(J27/O27,0)</f>
        <v/>
      </c>
    </row>
    <row r="28">
      <c r="A28" s="45" t="inlineStr">
        <is>
          <t>5203</t>
        </is>
      </c>
      <c r="B28" s="10" t="inlineStr">
        <is>
          <t xml:space="preserve">   Penanganan pelabuhan &amp; stockpile</t>
        </is>
      </c>
      <c r="C28" s="80" t="n">
        <v>-1</v>
      </c>
      <c r="D28" s="28">
        <f>INDEX('C5 GEG LR Aktual'!$D$29:$O$29,'C1 GEG Setting'!$C$6)</f>
        <v/>
      </c>
      <c r="E28" s="28">
        <f>INDEX('C4 GEG LR Budget'!$D$29:$O$29,'C1 GEG Setting'!$C$6)</f>
        <v/>
      </c>
      <c r="F28" s="19">
        <f>D28-E28</f>
        <v/>
      </c>
      <c r="G28" s="24">
        <f>IFERROR(F28/ABS(E28),"")</f>
        <v/>
      </c>
      <c r="H28" s="11">
        <f>IF(ROUND(F28,0)=0,"",IF(F28*$C28&gt;0,"F","U"))</f>
        <v/>
      </c>
      <c r="J28" s="28">
        <f>SUMIF('C5 GEG LR Aktual'!$D$5:$O$5,"&lt;="&amp;'C1 GEG Setting'!$C$6,'C5 GEG LR Aktual'!$D$29:$O$29)</f>
        <v/>
      </c>
      <c r="K28" s="28">
        <f>SUMIF('C4 GEG LR Budget'!$D$5:$O$5,"&lt;="&amp;'C1 GEG Setting'!$C$6,'C4 GEG LR Budget'!$D$29:$O$29)</f>
        <v/>
      </c>
      <c r="L28" s="19">
        <f>J28-K28</f>
        <v/>
      </c>
      <c r="M28" s="24">
        <f>IFERROR(L28/ABS(K28),"")</f>
        <v/>
      </c>
      <c r="N28" s="11">
        <f>IF(ROUND(L28,0)=0,"",IF(L28*$C28&gt;0,"F","U"))</f>
        <v/>
      </c>
      <c r="O28" s="28">
        <f>'C4 GEG LR Budget'!$P$29</f>
        <v/>
      </c>
      <c r="P28" s="24">
        <f>IFERROR(J28/O28,0)</f>
        <v/>
      </c>
    </row>
    <row r="29">
      <c r="A29" s="45" t="inlineStr">
        <is>
          <t>5204</t>
        </is>
      </c>
      <c r="B29" s="10" t="inlineStr">
        <is>
          <t xml:space="preserve">   Tongkang &amp; transshipment (barging)</t>
        </is>
      </c>
      <c r="C29" s="80" t="n">
        <v>-1</v>
      </c>
      <c r="D29" s="28">
        <f>INDEX('C5 GEG LR Aktual'!$D$30:$O$30,'C1 GEG Setting'!$C$6)</f>
        <v/>
      </c>
      <c r="E29" s="28">
        <f>INDEX('C4 GEG LR Budget'!$D$30:$O$30,'C1 GEG Setting'!$C$6)</f>
        <v/>
      </c>
      <c r="F29" s="19">
        <f>D29-E29</f>
        <v/>
      </c>
      <c r="G29" s="24">
        <f>IFERROR(F29/ABS(E29),"")</f>
        <v/>
      </c>
      <c r="H29" s="11">
        <f>IF(ROUND(F29,0)=0,"",IF(F29*$C29&gt;0,"F","U"))</f>
        <v/>
      </c>
      <c r="J29" s="28">
        <f>SUMIF('C5 GEG LR Aktual'!$D$5:$O$5,"&lt;="&amp;'C1 GEG Setting'!$C$6,'C5 GEG LR Aktual'!$D$30:$O$30)</f>
        <v/>
      </c>
      <c r="K29" s="28">
        <f>SUMIF('C4 GEG LR Budget'!$D$5:$O$5,"&lt;="&amp;'C1 GEG Setting'!$C$6,'C4 GEG LR Budget'!$D$30:$O$30)</f>
        <v/>
      </c>
      <c r="L29" s="19">
        <f>J29-K29</f>
        <v/>
      </c>
      <c r="M29" s="24">
        <f>IFERROR(L29/ABS(K29),"")</f>
        <v/>
      </c>
      <c r="N29" s="11">
        <f>IF(ROUND(L29,0)=0,"",IF(L29*$C29&gt;0,"F","U"))</f>
        <v/>
      </c>
      <c r="O29" s="28">
        <f>'C4 GEG LR Budget'!$P$30</f>
        <v/>
      </c>
      <c r="P29" s="24">
        <f>IFERROR(J29/O29,0)</f>
        <v/>
      </c>
    </row>
    <row r="30">
      <c r="A30" s="45" t="inlineStr"/>
      <c r="B30" s="46" t="inlineStr">
        <is>
          <t xml:space="preserve">   Subtotal pengolahan &amp; logistik</t>
        </is>
      </c>
      <c r="C30" s="80" t="n">
        <v>-1</v>
      </c>
      <c r="D30" s="70">
        <f>INDEX('C5 GEG LR Aktual'!$D$31:$O$31,'C1 GEG Setting'!$C$6)</f>
        <v/>
      </c>
      <c r="E30" s="70">
        <f>INDEX('C4 GEG LR Budget'!$D$31:$O$31,'C1 GEG Setting'!$C$6)</f>
        <v/>
      </c>
      <c r="F30" s="71">
        <f>D30-E30</f>
        <v/>
      </c>
      <c r="G30" s="24">
        <f>IFERROR(F30/ABS(E30),"")</f>
        <v/>
      </c>
      <c r="H30" s="11">
        <f>IF(ROUND(F30,0)=0,"",IF(F30*$C30&gt;0,"F","U"))</f>
        <v/>
      </c>
      <c r="J30" s="70">
        <f>SUMIF('C5 GEG LR Aktual'!$D$5:$O$5,"&lt;="&amp;'C1 GEG Setting'!$C$6,'C5 GEG LR Aktual'!$D$31:$O$31)</f>
        <v/>
      </c>
      <c r="K30" s="70">
        <f>SUMIF('C4 GEG LR Budget'!$D$5:$O$5,"&lt;="&amp;'C1 GEG Setting'!$C$6,'C4 GEG LR Budget'!$D$31:$O$31)</f>
        <v/>
      </c>
      <c r="L30" s="71">
        <f>J30-K30</f>
        <v/>
      </c>
      <c r="M30" s="24">
        <f>IFERROR(L30/ABS(K30),"")</f>
        <v/>
      </c>
      <c r="N30" s="11">
        <f>IF(ROUND(L30,0)=0,"",IF(L30*$C30&gt;0,"F","U"))</f>
        <v/>
      </c>
      <c r="O30" s="28">
        <f>'C4 GEG LR Budget'!$P$31</f>
        <v/>
      </c>
      <c r="P30" s="24">
        <f>IFERROR(J30/O30,0)</f>
        <v/>
      </c>
    </row>
    <row r="31">
      <c r="B31" s="35" t="inlineStr">
        <is>
          <t>C. Royalti</t>
        </is>
      </c>
    </row>
    <row r="32">
      <c r="A32" s="45" t="inlineStr">
        <is>
          <t>5301</t>
        </is>
      </c>
      <c r="B32" s="10" t="inlineStr">
        <is>
          <t xml:space="preserve">   Royalti / PNBP (DHPB)</t>
        </is>
      </c>
      <c r="C32" s="80" t="n">
        <v>-1</v>
      </c>
      <c r="D32" s="28">
        <f>INDEX('C5 GEG LR Aktual'!$D$33:$O$33,'C1 GEG Setting'!$C$6)</f>
        <v/>
      </c>
      <c r="E32" s="28">
        <f>INDEX('C4 GEG LR Budget'!$D$33:$O$33,'C1 GEG Setting'!$C$6)</f>
        <v/>
      </c>
      <c r="F32" s="19">
        <f>D32-E32</f>
        <v/>
      </c>
      <c r="G32" s="24">
        <f>IFERROR(F32/ABS(E32),"")</f>
        <v/>
      </c>
      <c r="H32" s="11">
        <f>IF(ROUND(F32,0)=0,"",IF(F32*$C32&gt;0,"F","U"))</f>
        <v/>
      </c>
      <c r="J32" s="28">
        <f>SUMIF('C5 GEG LR Aktual'!$D$5:$O$5,"&lt;="&amp;'C1 GEG Setting'!$C$6,'C5 GEG LR Aktual'!$D$33:$O$33)</f>
        <v/>
      </c>
      <c r="K32" s="28">
        <f>SUMIF('C4 GEG LR Budget'!$D$5:$O$5,"&lt;="&amp;'C1 GEG Setting'!$C$6,'C4 GEG LR Budget'!$D$33:$O$33)</f>
        <v/>
      </c>
      <c r="L32" s="19">
        <f>J32-K32</f>
        <v/>
      </c>
      <c r="M32" s="24">
        <f>IFERROR(L32/ABS(K32),"")</f>
        <v/>
      </c>
      <c r="N32" s="11">
        <f>IF(ROUND(L32,0)=0,"",IF(L32*$C32&gt;0,"F","U"))</f>
        <v/>
      </c>
      <c r="O32" s="28">
        <f>'C4 GEG LR Budget'!$P$33</f>
        <v/>
      </c>
      <c r="P32" s="24">
        <f>IFERROR(J32/O32,0)</f>
        <v/>
      </c>
    </row>
    <row r="33">
      <c r="B33" s="35" t="inlineStr">
        <is>
          <t>D. Overhead site</t>
        </is>
      </c>
    </row>
    <row r="34">
      <c r="A34" s="45" t="inlineStr">
        <is>
          <t>5401</t>
        </is>
      </c>
      <c r="B34" s="10" t="inlineStr">
        <is>
          <t xml:space="preserve">   Gaji &amp; tunjangan karyawan site</t>
        </is>
      </c>
      <c r="C34" s="80" t="n">
        <v>-1</v>
      </c>
      <c r="D34" s="28">
        <f>INDEX('C5 GEG LR Aktual'!$D$35:$O$35,'C1 GEG Setting'!$C$6)</f>
        <v/>
      </c>
      <c r="E34" s="28">
        <f>INDEX('C4 GEG LR Budget'!$D$35:$O$35,'C1 GEG Setting'!$C$6)</f>
        <v/>
      </c>
      <c r="F34" s="19">
        <f>D34-E34</f>
        <v/>
      </c>
      <c r="G34" s="24">
        <f>IFERROR(F34/ABS(E34),"")</f>
        <v/>
      </c>
      <c r="H34" s="11">
        <f>IF(ROUND(F34,0)=0,"",IF(F34*$C34&gt;0,"F","U"))</f>
        <v/>
      </c>
      <c r="J34" s="28">
        <f>SUMIF('C5 GEG LR Aktual'!$D$5:$O$5,"&lt;="&amp;'C1 GEG Setting'!$C$6,'C5 GEG LR Aktual'!$D$35:$O$35)</f>
        <v/>
      </c>
      <c r="K34" s="28">
        <f>SUMIF('C4 GEG LR Budget'!$D$5:$O$5,"&lt;="&amp;'C1 GEG Setting'!$C$6,'C4 GEG LR Budget'!$D$35:$O$35)</f>
        <v/>
      </c>
      <c r="L34" s="19">
        <f>J34-K34</f>
        <v/>
      </c>
      <c r="M34" s="24">
        <f>IFERROR(L34/ABS(K34),"")</f>
        <v/>
      </c>
      <c r="N34" s="11">
        <f>IF(ROUND(L34,0)=0,"",IF(L34*$C34&gt;0,"F","U"))</f>
        <v/>
      </c>
      <c r="O34" s="28">
        <f>'C4 GEG LR Budget'!$P$35</f>
        <v/>
      </c>
      <c r="P34" s="24">
        <f>IFERROR(J34/O34,0)</f>
        <v/>
      </c>
    </row>
    <row r="35">
      <c r="A35" s="45" t="inlineStr">
        <is>
          <t>5402</t>
        </is>
      </c>
      <c r="B35" s="10" t="inlineStr">
        <is>
          <t xml:space="preserve">   Camp, mess &amp; katering</t>
        </is>
      </c>
      <c r="C35" s="80" t="n">
        <v>-1</v>
      </c>
      <c r="D35" s="28">
        <f>INDEX('C5 GEG LR Aktual'!$D$36:$O$36,'C1 GEG Setting'!$C$6)</f>
        <v/>
      </c>
      <c r="E35" s="28">
        <f>INDEX('C4 GEG LR Budget'!$D$36:$O$36,'C1 GEG Setting'!$C$6)</f>
        <v/>
      </c>
      <c r="F35" s="19">
        <f>D35-E35</f>
        <v/>
      </c>
      <c r="G35" s="24">
        <f>IFERROR(F35/ABS(E35),"")</f>
        <v/>
      </c>
      <c r="H35" s="11">
        <f>IF(ROUND(F35,0)=0,"",IF(F35*$C35&gt;0,"F","U"))</f>
        <v/>
      </c>
      <c r="J35" s="28">
        <f>SUMIF('C5 GEG LR Aktual'!$D$5:$O$5,"&lt;="&amp;'C1 GEG Setting'!$C$6,'C5 GEG LR Aktual'!$D$36:$O$36)</f>
        <v/>
      </c>
      <c r="K35" s="28">
        <f>SUMIF('C4 GEG LR Budget'!$D$5:$O$5,"&lt;="&amp;'C1 GEG Setting'!$C$6,'C4 GEG LR Budget'!$D$36:$O$36)</f>
        <v/>
      </c>
      <c r="L35" s="19">
        <f>J35-K35</f>
        <v/>
      </c>
      <c r="M35" s="24">
        <f>IFERROR(L35/ABS(K35),"")</f>
        <v/>
      </c>
      <c r="N35" s="11">
        <f>IF(ROUND(L35,0)=0,"",IF(L35*$C35&gt;0,"F","U"))</f>
        <v/>
      </c>
      <c r="O35" s="28">
        <f>'C4 GEG LR Budget'!$P$36</f>
        <v/>
      </c>
      <c r="P35" s="24">
        <f>IFERROR(J35/O35,0)</f>
        <v/>
      </c>
    </row>
    <row r="36">
      <c r="A36" s="45" t="inlineStr">
        <is>
          <t>5403</t>
        </is>
      </c>
      <c r="B36" s="10" t="inlineStr">
        <is>
          <t xml:space="preserve">   K3 / HSE</t>
        </is>
      </c>
      <c r="C36" s="80" t="n">
        <v>-1</v>
      </c>
      <c r="D36" s="28">
        <f>INDEX('C5 GEG LR Aktual'!$D$37:$O$37,'C1 GEG Setting'!$C$6)</f>
        <v/>
      </c>
      <c r="E36" s="28">
        <f>INDEX('C4 GEG LR Budget'!$D$37:$O$37,'C1 GEG Setting'!$C$6)</f>
        <v/>
      </c>
      <c r="F36" s="19">
        <f>D36-E36</f>
        <v/>
      </c>
      <c r="G36" s="24">
        <f>IFERROR(F36/ABS(E36),"")</f>
        <v/>
      </c>
      <c r="H36" s="11">
        <f>IF(ROUND(F36,0)=0,"",IF(F36*$C36&gt;0,"F","U"))</f>
        <v/>
      </c>
      <c r="J36" s="28">
        <f>SUMIF('C5 GEG LR Aktual'!$D$5:$O$5,"&lt;="&amp;'C1 GEG Setting'!$C$6,'C5 GEG LR Aktual'!$D$37:$O$37)</f>
        <v/>
      </c>
      <c r="K36" s="28">
        <f>SUMIF('C4 GEG LR Budget'!$D$5:$O$5,"&lt;="&amp;'C1 GEG Setting'!$C$6,'C4 GEG LR Budget'!$D$37:$O$37)</f>
        <v/>
      </c>
      <c r="L36" s="19">
        <f>J36-K36</f>
        <v/>
      </c>
      <c r="M36" s="24">
        <f>IFERROR(L36/ABS(K36),"")</f>
        <v/>
      </c>
      <c r="N36" s="11">
        <f>IF(ROUND(L36,0)=0,"",IF(L36*$C36&gt;0,"F","U"))</f>
        <v/>
      </c>
      <c r="O36" s="28">
        <f>'C4 GEG LR Budget'!$P$37</f>
        <v/>
      </c>
      <c r="P36" s="24">
        <f>IFERROR(J36/O36,0)</f>
        <v/>
      </c>
    </row>
    <row r="37">
      <c r="A37" s="45" t="inlineStr">
        <is>
          <t>5404</t>
        </is>
      </c>
      <c r="B37" s="10" t="inlineStr">
        <is>
          <t xml:space="preserve">   Lingkungan &amp; reklamasi (provisi)</t>
        </is>
      </c>
      <c r="C37" s="80" t="n">
        <v>-1</v>
      </c>
      <c r="D37" s="28">
        <f>INDEX('C5 GEG LR Aktual'!$D$38:$O$38,'C1 GEG Setting'!$C$6)</f>
        <v/>
      </c>
      <c r="E37" s="28">
        <f>INDEX('C4 GEG LR Budget'!$D$38:$O$38,'C1 GEG Setting'!$C$6)</f>
        <v/>
      </c>
      <c r="F37" s="19">
        <f>D37-E37</f>
        <v/>
      </c>
      <c r="G37" s="24">
        <f>IFERROR(F37/ABS(E37),"")</f>
        <v/>
      </c>
      <c r="H37" s="11">
        <f>IF(ROUND(F37,0)=0,"",IF(F37*$C37&gt;0,"F","U"))</f>
        <v/>
      </c>
      <c r="J37" s="28">
        <f>SUMIF('C5 GEG LR Aktual'!$D$5:$O$5,"&lt;="&amp;'C1 GEG Setting'!$C$6,'C5 GEG LR Aktual'!$D$38:$O$38)</f>
        <v/>
      </c>
      <c r="K37" s="28">
        <f>SUMIF('C4 GEG LR Budget'!$D$5:$O$5,"&lt;="&amp;'C1 GEG Setting'!$C$6,'C4 GEG LR Budget'!$D$38:$O$38)</f>
        <v/>
      </c>
      <c r="L37" s="19">
        <f>J37-K37</f>
        <v/>
      </c>
      <c r="M37" s="24">
        <f>IFERROR(L37/ABS(K37),"")</f>
        <v/>
      </c>
      <c r="N37" s="11">
        <f>IF(ROUND(L37,0)=0,"",IF(L37*$C37&gt;0,"F","U"))</f>
        <v/>
      </c>
      <c r="O37" s="28">
        <f>'C4 GEG LR Budget'!$P$38</f>
        <v/>
      </c>
      <c r="P37" s="24">
        <f>IFERROR(J37/O37,0)</f>
        <v/>
      </c>
    </row>
    <row r="38">
      <c r="A38" s="45" t="inlineStr">
        <is>
          <t>5405</t>
        </is>
      </c>
      <c r="B38" s="10" t="inlineStr">
        <is>
          <t xml:space="preserve">   PPM / CSR</t>
        </is>
      </c>
      <c r="C38" s="80" t="n">
        <v>-1</v>
      </c>
      <c r="D38" s="28">
        <f>INDEX('C5 GEG LR Aktual'!$D$39:$O$39,'C1 GEG Setting'!$C$6)</f>
        <v/>
      </c>
      <c r="E38" s="28">
        <f>INDEX('C4 GEG LR Budget'!$D$39:$O$39,'C1 GEG Setting'!$C$6)</f>
        <v/>
      </c>
      <c r="F38" s="19">
        <f>D38-E38</f>
        <v/>
      </c>
      <c r="G38" s="24">
        <f>IFERROR(F38/ABS(E38),"")</f>
        <v/>
      </c>
      <c r="H38" s="11">
        <f>IF(ROUND(F38,0)=0,"",IF(F38*$C38&gt;0,"F","U"))</f>
        <v/>
      </c>
      <c r="J38" s="28">
        <f>SUMIF('C5 GEG LR Aktual'!$D$5:$O$5,"&lt;="&amp;'C1 GEG Setting'!$C$6,'C5 GEG LR Aktual'!$D$39:$O$39)</f>
        <v/>
      </c>
      <c r="K38" s="28">
        <f>SUMIF('C4 GEG LR Budget'!$D$5:$O$5,"&lt;="&amp;'C1 GEG Setting'!$C$6,'C4 GEG LR Budget'!$D$39:$O$39)</f>
        <v/>
      </c>
      <c r="L38" s="19">
        <f>J38-K38</f>
        <v/>
      </c>
      <c r="M38" s="24">
        <f>IFERROR(L38/ABS(K38),"")</f>
        <v/>
      </c>
      <c r="N38" s="11">
        <f>IF(ROUND(L38,0)=0,"",IF(L38*$C38&gt;0,"F","U"))</f>
        <v/>
      </c>
      <c r="O38" s="28">
        <f>'C4 GEG LR Budget'!$P$39</f>
        <v/>
      </c>
      <c r="P38" s="24">
        <f>IFERROR(J38/O38,0)</f>
        <v/>
      </c>
    </row>
    <row r="39">
      <c r="A39" s="45" t="inlineStr">
        <is>
          <t>5406</t>
        </is>
      </c>
      <c r="B39" s="10" t="inlineStr">
        <is>
          <t xml:space="preserve">   Iuran tetap &amp; kompensasi lahan</t>
        </is>
      </c>
      <c r="C39" s="80" t="n">
        <v>-1</v>
      </c>
      <c r="D39" s="28">
        <f>INDEX('C5 GEG LR Aktual'!$D$40:$O$40,'C1 GEG Setting'!$C$6)</f>
        <v/>
      </c>
      <c r="E39" s="28">
        <f>INDEX('C4 GEG LR Budget'!$D$40:$O$40,'C1 GEG Setting'!$C$6)</f>
        <v/>
      </c>
      <c r="F39" s="19">
        <f>D39-E39</f>
        <v/>
      </c>
      <c r="G39" s="24">
        <f>IFERROR(F39/ABS(E39),"")</f>
        <v/>
      </c>
      <c r="H39" s="11">
        <f>IF(ROUND(F39,0)=0,"",IF(F39*$C39&gt;0,"F","U"))</f>
        <v/>
      </c>
      <c r="J39" s="28">
        <f>SUMIF('C5 GEG LR Aktual'!$D$5:$O$5,"&lt;="&amp;'C1 GEG Setting'!$C$6,'C5 GEG LR Aktual'!$D$40:$O$40)</f>
        <v/>
      </c>
      <c r="K39" s="28">
        <f>SUMIF('C4 GEG LR Budget'!$D$5:$O$5,"&lt;="&amp;'C1 GEG Setting'!$C$6,'C4 GEG LR Budget'!$D$40:$O$40)</f>
        <v/>
      </c>
      <c r="L39" s="19">
        <f>J39-K39</f>
        <v/>
      </c>
      <c r="M39" s="24">
        <f>IFERROR(L39/ABS(K39),"")</f>
        <v/>
      </c>
      <c r="N39" s="11">
        <f>IF(ROUND(L39,0)=0,"",IF(L39*$C39&gt;0,"F","U"))</f>
        <v/>
      </c>
      <c r="O39" s="28">
        <f>'C4 GEG LR Budget'!$P$40</f>
        <v/>
      </c>
      <c r="P39" s="24">
        <f>IFERROR(J39/O39,0)</f>
        <v/>
      </c>
    </row>
    <row r="40">
      <c r="A40" s="45" t="inlineStr"/>
      <c r="B40" s="46" t="inlineStr">
        <is>
          <t xml:space="preserve">   Subtotal overhead site</t>
        </is>
      </c>
      <c r="C40" s="80" t="n">
        <v>-1</v>
      </c>
      <c r="D40" s="70">
        <f>INDEX('C5 GEG LR Aktual'!$D$41:$O$41,'C1 GEG Setting'!$C$6)</f>
        <v/>
      </c>
      <c r="E40" s="70">
        <f>INDEX('C4 GEG LR Budget'!$D$41:$O$41,'C1 GEG Setting'!$C$6)</f>
        <v/>
      </c>
      <c r="F40" s="71">
        <f>D40-E40</f>
        <v/>
      </c>
      <c r="G40" s="24">
        <f>IFERROR(F40/ABS(E40),"")</f>
        <v/>
      </c>
      <c r="H40" s="11">
        <f>IF(ROUND(F40,0)=0,"",IF(F40*$C40&gt;0,"F","U"))</f>
        <v/>
      </c>
      <c r="J40" s="70">
        <f>SUMIF('C5 GEG LR Aktual'!$D$5:$O$5,"&lt;="&amp;'C1 GEG Setting'!$C$6,'C5 GEG LR Aktual'!$D$41:$O$41)</f>
        <v/>
      </c>
      <c r="K40" s="70">
        <f>SUMIF('C4 GEG LR Budget'!$D$5:$O$5,"&lt;="&amp;'C1 GEG Setting'!$C$6,'C4 GEG LR Budget'!$D$41:$O$41)</f>
        <v/>
      </c>
      <c r="L40" s="71">
        <f>J40-K40</f>
        <v/>
      </c>
      <c r="M40" s="24">
        <f>IFERROR(L40/ABS(K40),"")</f>
        <v/>
      </c>
      <c r="N40" s="11">
        <f>IF(ROUND(L40,0)=0,"",IF(L40*$C40&gt;0,"F","U"))</f>
        <v/>
      </c>
      <c r="O40" s="28">
        <f>'C4 GEG LR Budget'!$P$41</f>
        <v/>
      </c>
      <c r="P40" s="24">
        <f>IFERROR(J40/O40,0)</f>
        <v/>
      </c>
    </row>
    <row r="41">
      <c r="B41" s="35" t="inlineStr">
        <is>
          <t>E. Penyusutan &amp; amortisasi</t>
        </is>
      </c>
    </row>
    <row r="42">
      <c r="A42" s="45" t="inlineStr">
        <is>
          <t>5501</t>
        </is>
      </c>
      <c r="B42" s="10" t="inlineStr">
        <is>
          <t xml:space="preserve">   Penyusutan aset tetap</t>
        </is>
      </c>
      <c r="C42" s="80" t="n">
        <v>-1</v>
      </c>
      <c r="D42" s="28">
        <f>INDEX('C5 GEG LR Aktual'!$D$43:$O$43,'C1 GEG Setting'!$C$6)</f>
        <v/>
      </c>
      <c r="E42" s="28">
        <f>INDEX('C4 GEG LR Budget'!$D$43:$O$43,'C1 GEG Setting'!$C$6)</f>
        <v/>
      </c>
      <c r="F42" s="19">
        <f>D42-E42</f>
        <v/>
      </c>
      <c r="G42" s="24">
        <f>IFERROR(F42/ABS(E42),"")</f>
        <v/>
      </c>
      <c r="H42" s="11">
        <f>IF(ROUND(F42,0)=0,"",IF(F42*$C42&gt;0,"F","U"))</f>
        <v/>
      </c>
      <c r="J42" s="28">
        <f>SUMIF('C5 GEG LR Aktual'!$D$5:$O$5,"&lt;="&amp;'C1 GEG Setting'!$C$6,'C5 GEG LR Aktual'!$D$43:$O$43)</f>
        <v/>
      </c>
      <c r="K42" s="28">
        <f>SUMIF('C4 GEG LR Budget'!$D$5:$O$5,"&lt;="&amp;'C1 GEG Setting'!$C$6,'C4 GEG LR Budget'!$D$43:$O$43)</f>
        <v/>
      </c>
      <c r="L42" s="19">
        <f>J42-K42</f>
        <v/>
      </c>
      <c r="M42" s="24">
        <f>IFERROR(L42/ABS(K42),"")</f>
        <v/>
      </c>
      <c r="N42" s="11">
        <f>IF(ROUND(L42,0)=0,"",IF(L42*$C42&gt;0,"F","U"))</f>
        <v/>
      </c>
      <c r="O42" s="28">
        <f>'C4 GEG LR Budget'!$P$43</f>
        <v/>
      </c>
      <c r="P42" s="24">
        <f>IFERROR(J42/O42,0)</f>
        <v/>
      </c>
    </row>
    <row r="43">
      <c r="A43" s="45" t="inlineStr">
        <is>
          <t>5502</t>
        </is>
      </c>
      <c r="B43" s="10" t="inlineStr">
        <is>
          <t xml:space="preserve">   Amortisasi properti pertambangan</t>
        </is>
      </c>
      <c r="C43" s="80" t="n">
        <v>-1</v>
      </c>
      <c r="D43" s="28">
        <f>INDEX('C5 GEG LR Aktual'!$D$44:$O$44,'C1 GEG Setting'!$C$6)</f>
        <v/>
      </c>
      <c r="E43" s="28">
        <f>INDEX('C4 GEG LR Budget'!$D$44:$O$44,'C1 GEG Setting'!$C$6)</f>
        <v/>
      </c>
      <c r="F43" s="19">
        <f>D43-E43</f>
        <v/>
      </c>
      <c r="G43" s="24">
        <f>IFERROR(F43/ABS(E43),"")</f>
        <v/>
      </c>
      <c r="H43" s="11">
        <f>IF(ROUND(F43,0)=0,"",IF(F43*$C43&gt;0,"F","U"))</f>
        <v/>
      </c>
      <c r="J43" s="28">
        <f>SUMIF('C5 GEG LR Aktual'!$D$5:$O$5,"&lt;="&amp;'C1 GEG Setting'!$C$6,'C5 GEG LR Aktual'!$D$44:$O$44)</f>
        <v/>
      </c>
      <c r="K43" s="28">
        <f>SUMIF('C4 GEG LR Budget'!$D$5:$O$5,"&lt;="&amp;'C1 GEG Setting'!$C$6,'C4 GEG LR Budget'!$D$44:$O$44)</f>
        <v/>
      </c>
      <c r="L43" s="19">
        <f>J43-K43</f>
        <v/>
      </c>
      <c r="M43" s="24">
        <f>IFERROR(L43/ABS(K43),"")</f>
        <v/>
      </c>
      <c r="N43" s="11">
        <f>IF(ROUND(L43,0)=0,"",IF(L43*$C43&gt;0,"F","U"))</f>
        <v/>
      </c>
      <c r="O43" s="28">
        <f>'C4 GEG LR Budget'!$P$44</f>
        <v/>
      </c>
      <c r="P43" s="24">
        <f>IFERROR(J43/O43,0)</f>
        <v/>
      </c>
    </row>
    <row r="44">
      <c r="A44" s="45" t="inlineStr">
        <is>
          <t>5503</t>
        </is>
      </c>
      <c r="B44" s="10" t="inlineStr">
        <is>
          <t xml:space="preserve">   Amortisasi biaya pengupasan tangguhan</t>
        </is>
      </c>
      <c r="C44" s="80" t="n">
        <v>-1</v>
      </c>
      <c r="D44" s="28">
        <f>INDEX('C5 GEG LR Aktual'!$D$45:$O$45,'C1 GEG Setting'!$C$6)</f>
        <v/>
      </c>
      <c r="E44" s="28">
        <f>INDEX('C4 GEG LR Budget'!$D$45:$O$45,'C1 GEG Setting'!$C$6)</f>
        <v/>
      </c>
      <c r="F44" s="19">
        <f>D44-E44</f>
        <v/>
      </c>
      <c r="G44" s="24">
        <f>IFERROR(F44/ABS(E44),"")</f>
        <v/>
      </c>
      <c r="H44" s="11">
        <f>IF(ROUND(F44,0)=0,"",IF(F44*$C44&gt;0,"F","U"))</f>
        <v/>
      </c>
      <c r="J44" s="28">
        <f>SUMIF('C5 GEG LR Aktual'!$D$5:$O$5,"&lt;="&amp;'C1 GEG Setting'!$C$6,'C5 GEG LR Aktual'!$D$45:$O$45)</f>
        <v/>
      </c>
      <c r="K44" s="28">
        <f>SUMIF('C4 GEG LR Budget'!$D$5:$O$5,"&lt;="&amp;'C1 GEG Setting'!$C$6,'C4 GEG LR Budget'!$D$45:$O$45)</f>
        <v/>
      </c>
      <c r="L44" s="19">
        <f>J44-K44</f>
        <v/>
      </c>
      <c r="M44" s="24">
        <f>IFERROR(L44/ABS(K44),"")</f>
        <v/>
      </c>
      <c r="N44" s="11">
        <f>IF(ROUND(L44,0)=0,"",IF(L44*$C44&gt;0,"F","U"))</f>
        <v/>
      </c>
      <c r="O44" s="28">
        <f>'C4 GEG LR Budget'!$P$45</f>
        <v/>
      </c>
      <c r="P44" s="24">
        <f>IFERROR(J44/O44,0)</f>
        <v/>
      </c>
    </row>
    <row r="45">
      <c r="A45" s="45" t="inlineStr"/>
      <c r="B45" s="46" t="inlineStr">
        <is>
          <t xml:space="preserve">   Subtotal penyusutan &amp; amortisasi</t>
        </is>
      </c>
      <c r="C45" s="80" t="n">
        <v>-1</v>
      </c>
      <c r="D45" s="70">
        <f>INDEX('C5 GEG LR Aktual'!$D$46:$O$46,'C1 GEG Setting'!$C$6)</f>
        <v/>
      </c>
      <c r="E45" s="70">
        <f>INDEX('C4 GEG LR Budget'!$D$46:$O$46,'C1 GEG Setting'!$C$6)</f>
        <v/>
      </c>
      <c r="F45" s="71">
        <f>D45-E45</f>
        <v/>
      </c>
      <c r="G45" s="24">
        <f>IFERROR(F45/ABS(E45),"")</f>
        <v/>
      </c>
      <c r="H45" s="11">
        <f>IF(ROUND(F45,0)=0,"",IF(F45*$C45&gt;0,"F","U"))</f>
        <v/>
      </c>
      <c r="J45" s="70">
        <f>SUMIF('C5 GEG LR Aktual'!$D$5:$O$5,"&lt;="&amp;'C1 GEG Setting'!$C$6,'C5 GEG LR Aktual'!$D$46:$O$46)</f>
        <v/>
      </c>
      <c r="K45" s="70">
        <f>SUMIF('C4 GEG LR Budget'!$D$5:$O$5,"&lt;="&amp;'C1 GEG Setting'!$C$6,'C4 GEG LR Budget'!$D$46:$O$46)</f>
        <v/>
      </c>
      <c r="L45" s="71">
        <f>J45-K45</f>
        <v/>
      </c>
      <c r="M45" s="24">
        <f>IFERROR(L45/ABS(K45),"")</f>
        <v/>
      </c>
      <c r="N45" s="11">
        <f>IF(ROUND(L45,0)=0,"",IF(L45*$C45&gt;0,"F","U"))</f>
        <v/>
      </c>
      <c r="O45" s="28">
        <f>'C4 GEG LR Budget'!$P$46</f>
        <v/>
      </c>
      <c r="P45" s="24">
        <f>IFERROR(J45/O45,0)</f>
        <v/>
      </c>
    </row>
    <row r="46">
      <c r="A46" s="45" t="inlineStr"/>
      <c r="B46" s="46" t="inlineStr">
        <is>
          <t xml:space="preserve">   Total biaya produksi</t>
        </is>
      </c>
      <c r="C46" s="80" t="n">
        <v>-1</v>
      </c>
      <c r="D46" s="70">
        <f>INDEX('C5 GEG LR Aktual'!$D$47:$O$47,'C1 GEG Setting'!$C$6)</f>
        <v/>
      </c>
      <c r="E46" s="70">
        <f>INDEX('C4 GEG LR Budget'!$D$47:$O$47,'C1 GEG Setting'!$C$6)</f>
        <v/>
      </c>
      <c r="F46" s="71">
        <f>D46-E46</f>
        <v/>
      </c>
      <c r="G46" s="24">
        <f>IFERROR(F46/ABS(E46),"")</f>
        <v/>
      </c>
      <c r="H46" s="11">
        <f>IF(ROUND(F46,0)=0,"",IF(F46*$C46&gt;0,"F","U"))</f>
        <v/>
      </c>
      <c r="J46" s="70">
        <f>SUMIF('C5 GEG LR Aktual'!$D$5:$O$5,"&lt;="&amp;'C1 GEG Setting'!$C$6,'C5 GEG LR Aktual'!$D$47:$O$47)</f>
        <v/>
      </c>
      <c r="K46" s="70">
        <f>SUMIF('C4 GEG LR Budget'!$D$5:$O$5,"&lt;="&amp;'C1 GEG Setting'!$C$6,'C4 GEG LR Budget'!$D$47:$O$47)</f>
        <v/>
      </c>
      <c r="L46" s="71">
        <f>J46-K46</f>
        <v/>
      </c>
      <c r="M46" s="24">
        <f>IFERROR(L46/ABS(K46),"")</f>
        <v/>
      </c>
      <c r="N46" s="11">
        <f>IF(ROUND(L46,0)=0,"",IF(L46*$C46&gt;0,"F","U"))</f>
        <v/>
      </c>
      <c r="O46" s="28">
        <f>'C4 GEG LR Budget'!$P$47</f>
        <v/>
      </c>
      <c r="P46" s="24">
        <f>IFERROR(J46/O46,0)</f>
        <v/>
      </c>
    </row>
    <row r="47">
      <c r="A47" s="45" t="inlineStr">
        <is>
          <t>5601</t>
        </is>
      </c>
      <c r="B47" s="10" t="inlineStr">
        <is>
          <t xml:space="preserve">   Perubahan persediaan batubara (awal – akhir)</t>
        </is>
      </c>
      <c r="C47" s="80" t="n">
        <v>-1</v>
      </c>
      <c r="D47" s="28">
        <f>INDEX('C5 GEG LR Aktual'!$D$48:$O$48,'C1 GEG Setting'!$C$6)</f>
        <v/>
      </c>
      <c r="E47" s="28">
        <f>INDEX('C4 GEG LR Budget'!$D$48:$O$48,'C1 GEG Setting'!$C$6)</f>
        <v/>
      </c>
      <c r="F47" s="19">
        <f>D47-E47</f>
        <v/>
      </c>
      <c r="G47" s="24">
        <f>IFERROR(F47/ABS(E47),"")</f>
        <v/>
      </c>
      <c r="H47" s="11">
        <f>IF(ROUND(F47,0)=0,"",IF(F47*$C47&gt;0,"F","U"))</f>
        <v/>
      </c>
      <c r="J47" s="28">
        <f>SUMIF('C5 GEG LR Aktual'!$D$5:$O$5,"&lt;="&amp;'C1 GEG Setting'!$C$6,'C5 GEG LR Aktual'!$D$48:$O$48)</f>
        <v/>
      </c>
      <c r="K47" s="28">
        <f>SUMIF('C4 GEG LR Budget'!$D$5:$O$5,"&lt;="&amp;'C1 GEG Setting'!$C$6,'C4 GEG LR Budget'!$D$48:$O$48)</f>
        <v/>
      </c>
      <c r="L47" s="19">
        <f>J47-K47</f>
        <v/>
      </c>
      <c r="M47" s="24">
        <f>IFERROR(L47/ABS(K47),"")</f>
        <v/>
      </c>
      <c r="N47" s="11">
        <f>IF(ROUND(L47,0)=0,"",IF(L47*$C47&gt;0,"F","U"))</f>
        <v/>
      </c>
      <c r="O47" s="28">
        <f>'C4 GEG LR Budget'!$P$48</f>
        <v/>
      </c>
      <c r="P47" s="24">
        <f>IFERROR(J47/O47,0)</f>
        <v/>
      </c>
    </row>
    <row r="48">
      <c r="A48" s="82" t="inlineStr"/>
      <c r="B48" s="31" t="inlineStr">
        <is>
          <t>BEBAN POKOK PENDAPATAN</t>
        </is>
      </c>
      <c r="C48" s="83" t="n">
        <v>-1</v>
      </c>
      <c r="D48" s="84">
        <f>INDEX('C5 GEG LR Aktual'!$D$49:$O$49,'C1 GEG Setting'!$C$6)</f>
        <v/>
      </c>
      <c r="E48" s="84">
        <f>INDEX('C4 GEG LR Budget'!$D$49:$O$49,'C1 GEG Setting'!$C$6)</f>
        <v/>
      </c>
      <c r="F48" s="33">
        <f>D48-E48</f>
        <v/>
      </c>
      <c r="G48" s="85">
        <f>IFERROR(F48/ABS(E48),"")</f>
        <v/>
      </c>
      <c r="H48" s="86">
        <f>IF(ROUND(F48,0)=0,"",IF(F48*$C48&gt;0,"F","U"))</f>
        <v/>
      </c>
      <c r="I48" s="32" t="n"/>
      <c r="J48" s="84">
        <f>SUMIF('C5 GEG LR Aktual'!$D$5:$O$5,"&lt;="&amp;'C1 GEG Setting'!$C$6,'C5 GEG LR Aktual'!$D$49:$O$49)</f>
        <v/>
      </c>
      <c r="K48" s="84">
        <f>SUMIF('C4 GEG LR Budget'!$D$5:$O$5,"&lt;="&amp;'C1 GEG Setting'!$C$6,'C4 GEG LR Budget'!$D$49:$O$49)</f>
        <v/>
      </c>
      <c r="L48" s="33">
        <f>J48-K48</f>
        <v/>
      </c>
      <c r="M48" s="85">
        <f>IFERROR(L48/ABS(K48),"")</f>
        <v/>
      </c>
      <c r="N48" s="86">
        <f>IF(ROUND(L48,0)=0,"",IF(L48*$C48&gt;0,"F","U"))</f>
        <v/>
      </c>
      <c r="O48" s="87">
        <f>'C4 GEG LR Budget'!$P$49</f>
        <v/>
      </c>
      <c r="P48" s="85">
        <f>IFERROR(J48/O48,0)</f>
        <v/>
      </c>
    </row>
    <row r="49">
      <c r="A49" s="82" t="inlineStr"/>
      <c r="B49" s="31" t="inlineStr">
        <is>
          <t>LABA KOTOR</t>
        </is>
      </c>
      <c r="C49" s="83" t="n">
        <v>1</v>
      </c>
      <c r="D49" s="84">
        <f>INDEX('C5 GEG LR Aktual'!$D$50:$O$50,'C1 GEG Setting'!$C$6)</f>
        <v/>
      </c>
      <c r="E49" s="84">
        <f>INDEX('C4 GEG LR Budget'!$D$50:$O$50,'C1 GEG Setting'!$C$6)</f>
        <v/>
      </c>
      <c r="F49" s="33">
        <f>D49-E49</f>
        <v/>
      </c>
      <c r="G49" s="85">
        <f>IFERROR(F49/ABS(E49),"")</f>
        <v/>
      </c>
      <c r="H49" s="86">
        <f>IF(ROUND(F49,0)=0,"",IF(F49*$C49&gt;0,"F","U"))</f>
        <v/>
      </c>
      <c r="I49" s="32" t="n"/>
      <c r="J49" s="84">
        <f>SUMIF('C5 GEG LR Aktual'!$D$5:$O$5,"&lt;="&amp;'C1 GEG Setting'!$C$6,'C5 GEG LR Aktual'!$D$50:$O$50)</f>
        <v/>
      </c>
      <c r="K49" s="84">
        <f>SUMIF('C4 GEG LR Budget'!$D$5:$O$5,"&lt;="&amp;'C1 GEG Setting'!$C$6,'C4 GEG LR Budget'!$D$50:$O$50)</f>
        <v/>
      </c>
      <c r="L49" s="33">
        <f>J49-K49</f>
        <v/>
      </c>
      <c r="M49" s="85">
        <f>IFERROR(L49/ABS(K49),"")</f>
        <v/>
      </c>
      <c r="N49" s="86">
        <f>IF(ROUND(L49,0)=0,"",IF(L49*$C49&gt;0,"F","U"))</f>
        <v/>
      </c>
      <c r="O49" s="87">
        <f>'C4 GEG LR Budget'!$P$50</f>
        <v/>
      </c>
      <c r="P49" s="85">
        <f>IFERROR(J49/O49,0)</f>
        <v/>
      </c>
    </row>
    <row r="50">
      <c r="A50" s="45" t="inlineStr"/>
      <c r="B50" s="37" t="inlineStr">
        <is>
          <t xml:space="preserve">   Marjin laba kotor</t>
        </is>
      </c>
      <c r="D50" s="29">
        <f>IFERROR(D49/D13,0)</f>
        <v/>
      </c>
      <c r="E50" s="29">
        <f>IFERROR(E49/E13,0)</f>
        <v/>
      </c>
      <c r="F50" s="29">
        <f>D50-E50</f>
        <v/>
      </c>
      <c r="J50" s="29">
        <f>IFERROR(J49/J13,0)</f>
        <v/>
      </c>
      <c r="K50" s="29">
        <f>IFERROR(K49/K13,0)</f>
        <v/>
      </c>
      <c r="L50" s="29">
        <f>J50-K50</f>
        <v/>
      </c>
      <c r="O50" s="29">
        <f>IFERROR(O49/O13,0)</f>
        <v/>
      </c>
    </row>
    <row r="51">
      <c r="A51" s="4" t="inlineStr">
        <is>
          <t>BEBAN USAHA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</row>
    <row r="52">
      <c r="B52" s="35" t="inlineStr">
        <is>
          <t>Beban penjualan</t>
        </is>
      </c>
    </row>
    <row r="53">
      <c r="A53" s="45" t="inlineStr">
        <is>
          <t>6101</t>
        </is>
      </c>
      <c r="B53" s="10" t="inlineStr">
        <is>
          <t xml:space="preserve">   Pengapalan laut (penjualan CIF)</t>
        </is>
      </c>
      <c r="C53" s="80" t="n">
        <v>-1</v>
      </c>
      <c r="D53" s="28">
        <f>INDEX('C5 GEG LR Aktual'!$D$54:$O$54,'C1 GEG Setting'!$C$6)</f>
        <v/>
      </c>
      <c r="E53" s="28">
        <f>INDEX('C4 GEG LR Budget'!$D$54:$O$54,'C1 GEG Setting'!$C$6)</f>
        <v/>
      </c>
      <c r="F53" s="19">
        <f>D53-E53</f>
        <v/>
      </c>
      <c r="G53" s="24">
        <f>IFERROR(F53/ABS(E53),"")</f>
        <v/>
      </c>
      <c r="H53" s="11">
        <f>IF(ROUND(F53,0)=0,"",IF(F53*$C53&gt;0,"F","U"))</f>
        <v/>
      </c>
      <c r="J53" s="28">
        <f>SUMIF('C5 GEG LR Aktual'!$D$5:$O$5,"&lt;="&amp;'C1 GEG Setting'!$C$6,'C5 GEG LR Aktual'!$D$54:$O$54)</f>
        <v/>
      </c>
      <c r="K53" s="28">
        <f>SUMIF('C4 GEG LR Budget'!$D$5:$O$5,"&lt;="&amp;'C1 GEG Setting'!$C$6,'C4 GEG LR Budget'!$D$54:$O$54)</f>
        <v/>
      </c>
      <c r="L53" s="19">
        <f>J53-K53</f>
        <v/>
      </c>
      <c r="M53" s="24">
        <f>IFERROR(L53/ABS(K53),"")</f>
        <v/>
      </c>
      <c r="N53" s="11">
        <f>IF(ROUND(L53,0)=0,"",IF(L53*$C53&gt;0,"F","U"))</f>
        <v/>
      </c>
      <c r="O53" s="28">
        <f>'C4 GEG LR Budget'!$P$54</f>
        <v/>
      </c>
      <c r="P53" s="24">
        <f>IFERROR(J53/O53,0)</f>
        <v/>
      </c>
    </row>
    <row r="54">
      <c r="A54" s="45" t="inlineStr">
        <is>
          <t>6102</t>
        </is>
      </c>
      <c r="B54" s="10" t="inlineStr">
        <is>
          <t xml:space="preserve">   Komisi agen penjualan</t>
        </is>
      </c>
      <c r="C54" s="80" t="n">
        <v>-1</v>
      </c>
      <c r="D54" s="28">
        <f>INDEX('C5 GEG LR Aktual'!$D$55:$O$55,'C1 GEG Setting'!$C$6)</f>
        <v/>
      </c>
      <c r="E54" s="28">
        <f>INDEX('C4 GEG LR Budget'!$D$55:$O$55,'C1 GEG Setting'!$C$6)</f>
        <v/>
      </c>
      <c r="F54" s="19">
        <f>D54-E54</f>
        <v/>
      </c>
      <c r="G54" s="24">
        <f>IFERROR(F54/ABS(E54),"")</f>
        <v/>
      </c>
      <c r="H54" s="11">
        <f>IF(ROUND(F54,0)=0,"",IF(F54*$C54&gt;0,"F","U"))</f>
        <v/>
      </c>
      <c r="J54" s="28">
        <f>SUMIF('C5 GEG LR Aktual'!$D$5:$O$5,"&lt;="&amp;'C1 GEG Setting'!$C$6,'C5 GEG LR Aktual'!$D$55:$O$55)</f>
        <v/>
      </c>
      <c r="K54" s="28">
        <f>SUMIF('C4 GEG LR Budget'!$D$5:$O$5,"&lt;="&amp;'C1 GEG Setting'!$C$6,'C4 GEG LR Budget'!$D$55:$O$55)</f>
        <v/>
      </c>
      <c r="L54" s="19">
        <f>J54-K54</f>
        <v/>
      </c>
      <c r="M54" s="24">
        <f>IFERROR(L54/ABS(K54),"")</f>
        <v/>
      </c>
      <c r="N54" s="11">
        <f>IF(ROUND(L54,0)=0,"",IF(L54*$C54&gt;0,"F","U"))</f>
        <v/>
      </c>
      <c r="O54" s="28">
        <f>'C4 GEG LR Budget'!$P$55</f>
        <v/>
      </c>
      <c r="P54" s="24">
        <f>IFERROR(J54/O54,0)</f>
        <v/>
      </c>
    </row>
    <row r="55">
      <c r="A55" s="45" t="inlineStr">
        <is>
          <t>6103</t>
        </is>
      </c>
      <c r="B55" s="10" t="inlineStr">
        <is>
          <t xml:space="preserve">   Surveyor independen &amp; analisa kualitas</t>
        </is>
      </c>
      <c r="C55" s="80" t="n">
        <v>-1</v>
      </c>
      <c r="D55" s="28">
        <f>INDEX('C5 GEG LR Aktual'!$D$56:$O$56,'C1 GEG Setting'!$C$6)</f>
        <v/>
      </c>
      <c r="E55" s="28">
        <f>INDEX('C4 GEG LR Budget'!$D$56:$O$56,'C1 GEG Setting'!$C$6)</f>
        <v/>
      </c>
      <c r="F55" s="19">
        <f>D55-E55</f>
        <v/>
      </c>
      <c r="G55" s="24">
        <f>IFERROR(F55/ABS(E55),"")</f>
        <v/>
      </c>
      <c r="H55" s="11">
        <f>IF(ROUND(F55,0)=0,"",IF(F55*$C55&gt;0,"F","U"))</f>
        <v/>
      </c>
      <c r="J55" s="28">
        <f>SUMIF('C5 GEG LR Aktual'!$D$5:$O$5,"&lt;="&amp;'C1 GEG Setting'!$C$6,'C5 GEG LR Aktual'!$D$56:$O$56)</f>
        <v/>
      </c>
      <c r="K55" s="28">
        <f>SUMIF('C4 GEG LR Budget'!$D$5:$O$5,"&lt;="&amp;'C1 GEG Setting'!$C$6,'C4 GEG LR Budget'!$D$56:$O$56)</f>
        <v/>
      </c>
      <c r="L55" s="19">
        <f>J55-K55</f>
        <v/>
      </c>
      <c r="M55" s="24">
        <f>IFERROR(L55/ABS(K55),"")</f>
        <v/>
      </c>
      <c r="N55" s="11">
        <f>IF(ROUND(L55,0)=0,"",IF(L55*$C55&gt;0,"F","U"))</f>
        <v/>
      </c>
      <c r="O55" s="28">
        <f>'C4 GEG LR Budget'!$P$56</f>
        <v/>
      </c>
      <c r="P55" s="24">
        <f>IFERROR(J55/O55,0)</f>
        <v/>
      </c>
    </row>
    <row r="56">
      <c r="A56" s="45" t="inlineStr">
        <is>
          <t>6104</t>
        </is>
      </c>
      <c r="B56" s="10" t="inlineStr">
        <is>
          <t xml:space="preserve">   Demurrage</t>
        </is>
      </c>
      <c r="C56" s="80" t="n">
        <v>-1</v>
      </c>
      <c r="D56" s="28">
        <f>INDEX('C5 GEG LR Aktual'!$D$57:$O$57,'C1 GEG Setting'!$C$6)</f>
        <v/>
      </c>
      <c r="E56" s="28">
        <f>INDEX('C4 GEG LR Budget'!$D$57:$O$57,'C1 GEG Setting'!$C$6)</f>
        <v/>
      </c>
      <c r="F56" s="19">
        <f>D56-E56</f>
        <v/>
      </c>
      <c r="G56" s="24">
        <f>IFERROR(F56/ABS(E56),"")</f>
        <v/>
      </c>
      <c r="H56" s="11">
        <f>IF(ROUND(F56,0)=0,"",IF(F56*$C56&gt;0,"F","U"))</f>
        <v/>
      </c>
      <c r="J56" s="28">
        <f>SUMIF('C5 GEG LR Aktual'!$D$5:$O$5,"&lt;="&amp;'C1 GEG Setting'!$C$6,'C5 GEG LR Aktual'!$D$57:$O$57)</f>
        <v/>
      </c>
      <c r="K56" s="28">
        <f>SUMIF('C4 GEG LR Budget'!$D$5:$O$5,"&lt;="&amp;'C1 GEG Setting'!$C$6,'C4 GEG LR Budget'!$D$57:$O$57)</f>
        <v/>
      </c>
      <c r="L56" s="19">
        <f>J56-K56</f>
        <v/>
      </c>
      <c r="M56" s="24">
        <f>IFERROR(L56/ABS(K56),"")</f>
        <v/>
      </c>
      <c r="N56" s="11">
        <f>IF(ROUND(L56,0)=0,"",IF(L56*$C56&gt;0,"F","U"))</f>
        <v/>
      </c>
      <c r="O56" s="28">
        <f>'C4 GEG LR Budget'!$P$57</f>
        <v/>
      </c>
      <c r="P56" s="24">
        <f>IFERROR(J56/O56,0)</f>
        <v/>
      </c>
    </row>
    <row r="57">
      <c r="A57" s="45" t="inlineStr">
        <is>
          <t>6105</t>
        </is>
      </c>
      <c r="B57" s="10" t="inlineStr">
        <is>
          <t xml:space="preserve">   Dokumen ekspor &amp; pungutan</t>
        </is>
      </c>
      <c r="C57" s="80" t="n">
        <v>-1</v>
      </c>
      <c r="D57" s="28">
        <f>INDEX('C5 GEG LR Aktual'!$D$58:$O$58,'C1 GEG Setting'!$C$6)</f>
        <v/>
      </c>
      <c r="E57" s="28">
        <f>INDEX('C4 GEG LR Budget'!$D$58:$O$58,'C1 GEG Setting'!$C$6)</f>
        <v/>
      </c>
      <c r="F57" s="19">
        <f>D57-E57</f>
        <v/>
      </c>
      <c r="G57" s="24">
        <f>IFERROR(F57/ABS(E57),"")</f>
        <v/>
      </c>
      <c r="H57" s="11">
        <f>IF(ROUND(F57,0)=0,"",IF(F57*$C57&gt;0,"F","U"))</f>
        <v/>
      </c>
      <c r="J57" s="28">
        <f>SUMIF('C5 GEG LR Aktual'!$D$5:$O$5,"&lt;="&amp;'C1 GEG Setting'!$C$6,'C5 GEG LR Aktual'!$D$58:$O$58)</f>
        <v/>
      </c>
      <c r="K57" s="28">
        <f>SUMIF('C4 GEG LR Budget'!$D$5:$O$5,"&lt;="&amp;'C1 GEG Setting'!$C$6,'C4 GEG LR Budget'!$D$58:$O$58)</f>
        <v/>
      </c>
      <c r="L57" s="19">
        <f>J57-K57</f>
        <v/>
      </c>
      <c r="M57" s="24">
        <f>IFERROR(L57/ABS(K57),"")</f>
        <v/>
      </c>
      <c r="N57" s="11">
        <f>IF(ROUND(L57,0)=0,"",IF(L57*$C57&gt;0,"F","U"))</f>
        <v/>
      </c>
      <c r="O57" s="28">
        <f>'C4 GEG LR Budget'!$P$58</f>
        <v/>
      </c>
      <c r="P57" s="24">
        <f>IFERROR(J57/O57,0)</f>
        <v/>
      </c>
    </row>
    <row r="58">
      <c r="A58" s="45" t="inlineStr">
        <is>
          <t>6106</t>
        </is>
      </c>
      <c r="B58" s="10" t="inlineStr">
        <is>
          <t xml:space="preserve">   Pemasaran &amp; promosi</t>
        </is>
      </c>
      <c r="C58" s="80" t="n">
        <v>-1</v>
      </c>
      <c r="D58" s="28">
        <f>INDEX('C5 GEG LR Aktual'!$D$59:$O$59,'C1 GEG Setting'!$C$6)</f>
        <v/>
      </c>
      <c r="E58" s="28">
        <f>INDEX('C4 GEG LR Budget'!$D$59:$O$59,'C1 GEG Setting'!$C$6)</f>
        <v/>
      </c>
      <c r="F58" s="19">
        <f>D58-E58</f>
        <v/>
      </c>
      <c r="G58" s="24">
        <f>IFERROR(F58/ABS(E58),"")</f>
        <v/>
      </c>
      <c r="H58" s="11">
        <f>IF(ROUND(F58,0)=0,"",IF(F58*$C58&gt;0,"F","U"))</f>
        <v/>
      </c>
      <c r="J58" s="28">
        <f>SUMIF('C5 GEG LR Aktual'!$D$5:$O$5,"&lt;="&amp;'C1 GEG Setting'!$C$6,'C5 GEG LR Aktual'!$D$59:$O$59)</f>
        <v/>
      </c>
      <c r="K58" s="28">
        <f>SUMIF('C4 GEG LR Budget'!$D$5:$O$5,"&lt;="&amp;'C1 GEG Setting'!$C$6,'C4 GEG LR Budget'!$D$59:$O$59)</f>
        <v/>
      </c>
      <c r="L58" s="19">
        <f>J58-K58</f>
        <v/>
      </c>
      <c r="M58" s="24">
        <f>IFERROR(L58/ABS(K58),"")</f>
        <v/>
      </c>
      <c r="N58" s="11">
        <f>IF(ROUND(L58,0)=0,"",IF(L58*$C58&gt;0,"F","U"))</f>
        <v/>
      </c>
      <c r="O58" s="28">
        <f>'C4 GEG LR Budget'!$P$59</f>
        <v/>
      </c>
      <c r="P58" s="24">
        <f>IFERROR(J58/O58,0)</f>
        <v/>
      </c>
    </row>
    <row r="59">
      <c r="A59" s="45" t="inlineStr"/>
      <c r="B59" s="46" t="inlineStr">
        <is>
          <t xml:space="preserve">   Subtotal beban penjualan</t>
        </is>
      </c>
      <c r="C59" s="80" t="n">
        <v>-1</v>
      </c>
      <c r="D59" s="70">
        <f>INDEX('C5 GEG LR Aktual'!$D$60:$O$60,'C1 GEG Setting'!$C$6)</f>
        <v/>
      </c>
      <c r="E59" s="70">
        <f>INDEX('C4 GEG LR Budget'!$D$60:$O$60,'C1 GEG Setting'!$C$6)</f>
        <v/>
      </c>
      <c r="F59" s="71">
        <f>D59-E59</f>
        <v/>
      </c>
      <c r="G59" s="24">
        <f>IFERROR(F59/ABS(E59),"")</f>
        <v/>
      </c>
      <c r="H59" s="11">
        <f>IF(ROUND(F59,0)=0,"",IF(F59*$C59&gt;0,"F","U"))</f>
        <v/>
      </c>
      <c r="J59" s="70">
        <f>SUMIF('C5 GEG LR Aktual'!$D$5:$O$5,"&lt;="&amp;'C1 GEG Setting'!$C$6,'C5 GEG LR Aktual'!$D$60:$O$60)</f>
        <v/>
      </c>
      <c r="K59" s="70">
        <f>SUMIF('C4 GEG LR Budget'!$D$5:$O$5,"&lt;="&amp;'C1 GEG Setting'!$C$6,'C4 GEG LR Budget'!$D$60:$O$60)</f>
        <v/>
      </c>
      <c r="L59" s="71">
        <f>J59-K59</f>
        <v/>
      </c>
      <c r="M59" s="24">
        <f>IFERROR(L59/ABS(K59),"")</f>
        <v/>
      </c>
      <c r="N59" s="11">
        <f>IF(ROUND(L59,0)=0,"",IF(L59*$C59&gt;0,"F","U"))</f>
        <v/>
      </c>
      <c r="O59" s="28">
        <f>'C4 GEG LR Budget'!$P$60</f>
        <v/>
      </c>
      <c r="P59" s="24">
        <f>IFERROR(J59/O59,0)</f>
        <v/>
      </c>
    </row>
    <row r="60">
      <c r="B60" s="35" t="inlineStr">
        <is>
          <t>Beban umum &amp; administrasi</t>
        </is>
      </c>
    </row>
    <row r="61">
      <c r="A61" s="45" t="inlineStr">
        <is>
          <t>6201</t>
        </is>
      </c>
      <c r="B61" s="10" t="inlineStr">
        <is>
          <t xml:space="preserve">   Gaji &amp; tunjangan kantor pusat</t>
        </is>
      </c>
      <c r="C61" s="80" t="n">
        <v>-1</v>
      </c>
      <c r="D61" s="28">
        <f>INDEX('C5 GEG LR Aktual'!$D$62:$O$62,'C1 GEG Setting'!$C$6)</f>
        <v/>
      </c>
      <c r="E61" s="28">
        <f>INDEX('C4 GEG LR Budget'!$D$62:$O$62,'C1 GEG Setting'!$C$6)</f>
        <v/>
      </c>
      <c r="F61" s="19">
        <f>D61-E61</f>
        <v/>
      </c>
      <c r="G61" s="24">
        <f>IFERROR(F61/ABS(E61),"")</f>
        <v/>
      </c>
      <c r="H61" s="11">
        <f>IF(ROUND(F61,0)=0,"",IF(F61*$C61&gt;0,"F","U"))</f>
        <v/>
      </c>
      <c r="J61" s="28">
        <f>SUMIF('C5 GEG LR Aktual'!$D$5:$O$5,"&lt;="&amp;'C1 GEG Setting'!$C$6,'C5 GEG LR Aktual'!$D$62:$O$62)</f>
        <v/>
      </c>
      <c r="K61" s="28">
        <f>SUMIF('C4 GEG LR Budget'!$D$5:$O$5,"&lt;="&amp;'C1 GEG Setting'!$C$6,'C4 GEG LR Budget'!$D$62:$O$62)</f>
        <v/>
      </c>
      <c r="L61" s="19">
        <f>J61-K61</f>
        <v/>
      </c>
      <c r="M61" s="24">
        <f>IFERROR(L61/ABS(K61),"")</f>
        <v/>
      </c>
      <c r="N61" s="11">
        <f>IF(ROUND(L61,0)=0,"",IF(L61*$C61&gt;0,"F","U"))</f>
        <v/>
      </c>
      <c r="O61" s="28">
        <f>'C4 GEG LR Budget'!$P$62</f>
        <v/>
      </c>
      <c r="P61" s="24">
        <f>IFERROR(J61/O61,0)</f>
        <v/>
      </c>
    </row>
    <row r="62">
      <c r="A62" s="45" t="inlineStr">
        <is>
          <t>6202</t>
        </is>
      </c>
      <c r="B62" s="10" t="inlineStr">
        <is>
          <t xml:space="preserve">   Jasa profesional</t>
        </is>
      </c>
      <c r="C62" s="80" t="n">
        <v>-1</v>
      </c>
      <c r="D62" s="28">
        <f>INDEX('C5 GEG LR Aktual'!$D$63:$O$63,'C1 GEG Setting'!$C$6)</f>
        <v/>
      </c>
      <c r="E62" s="28">
        <f>INDEX('C4 GEG LR Budget'!$D$63:$O$63,'C1 GEG Setting'!$C$6)</f>
        <v/>
      </c>
      <c r="F62" s="19">
        <f>D62-E62</f>
        <v/>
      </c>
      <c r="G62" s="24">
        <f>IFERROR(F62/ABS(E62),"")</f>
        <v/>
      </c>
      <c r="H62" s="11">
        <f>IF(ROUND(F62,0)=0,"",IF(F62*$C62&gt;0,"F","U"))</f>
        <v/>
      </c>
      <c r="J62" s="28">
        <f>SUMIF('C5 GEG LR Aktual'!$D$5:$O$5,"&lt;="&amp;'C1 GEG Setting'!$C$6,'C5 GEG LR Aktual'!$D$63:$O$63)</f>
        <v/>
      </c>
      <c r="K62" s="28">
        <f>SUMIF('C4 GEG LR Budget'!$D$5:$O$5,"&lt;="&amp;'C1 GEG Setting'!$C$6,'C4 GEG LR Budget'!$D$63:$O$63)</f>
        <v/>
      </c>
      <c r="L62" s="19">
        <f>J62-K62</f>
        <v/>
      </c>
      <c r="M62" s="24">
        <f>IFERROR(L62/ABS(K62),"")</f>
        <v/>
      </c>
      <c r="N62" s="11">
        <f>IF(ROUND(L62,0)=0,"",IF(L62*$C62&gt;0,"F","U"))</f>
        <v/>
      </c>
      <c r="O62" s="28">
        <f>'C4 GEG LR Budget'!$P$63</f>
        <v/>
      </c>
      <c r="P62" s="24">
        <f>IFERROR(J62/O62,0)</f>
        <v/>
      </c>
    </row>
    <row r="63">
      <c r="A63" s="45" t="inlineStr">
        <is>
          <t>6203</t>
        </is>
      </c>
      <c r="B63" s="10" t="inlineStr">
        <is>
          <t xml:space="preserve">   Sewa kantor</t>
        </is>
      </c>
      <c r="C63" s="80" t="n">
        <v>-1</v>
      </c>
      <c r="D63" s="28">
        <f>INDEX('C5 GEG LR Aktual'!$D$64:$O$64,'C1 GEG Setting'!$C$6)</f>
        <v/>
      </c>
      <c r="E63" s="28">
        <f>INDEX('C4 GEG LR Budget'!$D$64:$O$64,'C1 GEG Setting'!$C$6)</f>
        <v/>
      </c>
      <c r="F63" s="19">
        <f>D63-E63</f>
        <v/>
      </c>
      <c r="G63" s="24">
        <f>IFERROR(F63/ABS(E63),"")</f>
        <v/>
      </c>
      <c r="H63" s="11">
        <f>IF(ROUND(F63,0)=0,"",IF(F63*$C63&gt;0,"F","U"))</f>
        <v/>
      </c>
      <c r="J63" s="28">
        <f>SUMIF('C5 GEG LR Aktual'!$D$5:$O$5,"&lt;="&amp;'C1 GEG Setting'!$C$6,'C5 GEG LR Aktual'!$D$64:$O$64)</f>
        <v/>
      </c>
      <c r="K63" s="28">
        <f>SUMIF('C4 GEG LR Budget'!$D$5:$O$5,"&lt;="&amp;'C1 GEG Setting'!$C$6,'C4 GEG LR Budget'!$D$64:$O$64)</f>
        <v/>
      </c>
      <c r="L63" s="19">
        <f>J63-K63</f>
        <v/>
      </c>
      <c r="M63" s="24">
        <f>IFERROR(L63/ABS(K63),"")</f>
        <v/>
      </c>
      <c r="N63" s="11">
        <f>IF(ROUND(L63,0)=0,"",IF(L63*$C63&gt;0,"F","U"))</f>
        <v/>
      </c>
      <c r="O63" s="28">
        <f>'C4 GEG LR Budget'!$P$64</f>
        <v/>
      </c>
      <c r="P63" s="24">
        <f>IFERROR(J63/O63,0)</f>
        <v/>
      </c>
    </row>
    <row r="64">
      <c r="A64" s="45" t="inlineStr">
        <is>
          <t>6204</t>
        </is>
      </c>
      <c r="B64" s="10" t="inlineStr">
        <is>
          <t xml:space="preserve">   Perjalanan dinas</t>
        </is>
      </c>
      <c r="C64" s="80" t="n">
        <v>-1</v>
      </c>
      <c r="D64" s="28">
        <f>INDEX('C5 GEG LR Aktual'!$D$65:$O$65,'C1 GEG Setting'!$C$6)</f>
        <v/>
      </c>
      <c r="E64" s="28">
        <f>INDEX('C4 GEG LR Budget'!$D$65:$O$65,'C1 GEG Setting'!$C$6)</f>
        <v/>
      </c>
      <c r="F64" s="19">
        <f>D64-E64</f>
        <v/>
      </c>
      <c r="G64" s="24">
        <f>IFERROR(F64/ABS(E64),"")</f>
        <v/>
      </c>
      <c r="H64" s="11">
        <f>IF(ROUND(F64,0)=0,"",IF(F64*$C64&gt;0,"F","U"))</f>
        <v/>
      </c>
      <c r="J64" s="28">
        <f>SUMIF('C5 GEG LR Aktual'!$D$5:$O$5,"&lt;="&amp;'C1 GEG Setting'!$C$6,'C5 GEG LR Aktual'!$D$65:$O$65)</f>
        <v/>
      </c>
      <c r="K64" s="28">
        <f>SUMIF('C4 GEG LR Budget'!$D$5:$O$5,"&lt;="&amp;'C1 GEG Setting'!$C$6,'C4 GEG LR Budget'!$D$65:$O$65)</f>
        <v/>
      </c>
      <c r="L64" s="19">
        <f>J64-K64</f>
        <v/>
      </c>
      <c r="M64" s="24">
        <f>IFERROR(L64/ABS(K64),"")</f>
        <v/>
      </c>
      <c r="N64" s="11">
        <f>IF(ROUND(L64,0)=0,"",IF(L64*$C64&gt;0,"F","U"))</f>
        <v/>
      </c>
      <c r="O64" s="28">
        <f>'C4 GEG LR Budget'!$P$65</f>
        <v/>
      </c>
      <c r="P64" s="24">
        <f>IFERROR(J64/O64,0)</f>
        <v/>
      </c>
    </row>
    <row r="65">
      <c r="A65" s="45" t="inlineStr">
        <is>
          <t>6205</t>
        </is>
      </c>
      <c r="B65" s="10" t="inlineStr">
        <is>
          <t xml:space="preserve">   Asuransi</t>
        </is>
      </c>
      <c r="C65" s="80" t="n">
        <v>-1</v>
      </c>
      <c r="D65" s="28">
        <f>INDEX('C5 GEG LR Aktual'!$D$66:$O$66,'C1 GEG Setting'!$C$6)</f>
        <v/>
      </c>
      <c r="E65" s="28">
        <f>INDEX('C4 GEG LR Budget'!$D$66:$O$66,'C1 GEG Setting'!$C$6)</f>
        <v/>
      </c>
      <c r="F65" s="19">
        <f>D65-E65</f>
        <v/>
      </c>
      <c r="G65" s="24">
        <f>IFERROR(F65/ABS(E65),"")</f>
        <v/>
      </c>
      <c r="H65" s="11">
        <f>IF(ROUND(F65,0)=0,"",IF(F65*$C65&gt;0,"F","U"))</f>
        <v/>
      </c>
      <c r="J65" s="28">
        <f>SUMIF('C5 GEG LR Aktual'!$D$5:$O$5,"&lt;="&amp;'C1 GEG Setting'!$C$6,'C5 GEG LR Aktual'!$D$66:$O$66)</f>
        <v/>
      </c>
      <c r="K65" s="28">
        <f>SUMIF('C4 GEG LR Budget'!$D$5:$O$5,"&lt;="&amp;'C1 GEG Setting'!$C$6,'C4 GEG LR Budget'!$D$66:$O$66)</f>
        <v/>
      </c>
      <c r="L65" s="19">
        <f>J65-K65</f>
        <v/>
      </c>
      <c r="M65" s="24">
        <f>IFERROR(L65/ABS(K65),"")</f>
        <v/>
      </c>
      <c r="N65" s="11">
        <f>IF(ROUND(L65,0)=0,"",IF(L65*$C65&gt;0,"F","U"))</f>
        <v/>
      </c>
      <c r="O65" s="28">
        <f>'C4 GEG LR Budget'!$P$66</f>
        <v/>
      </c>
      <c r="P65" s="24">
        <f>IFERROR(J65/O65,0)</f>
        <v/>
      </c>
    </row>
    <row r="66">
      <c r="A66" s="45" t="inlineStr">
        <is>
          <t>6206</t>
        </is>
      </c>
      <c r="B66" s="10" t="inlineStr">
        <is>
          <t xml:space="preserve">   Pajak, perizinan &amp; iuran</t>
        </is>
      </c>
      <c r="C66" s="80" t="n">
        <v>-1</v>
      </c>
      <c r="D66" s="28">
        <f>INDEX('C5 GEG LR Aktual'!$D$67:$O$67,'C1 GEG Setting'!$C$6)</f>
        <v/>
      </c>
      <c r="E66" s="28">
        <f>INDEX('C4 GEG LR Budget'!$D$67:$O$67,'C1 GEG Setting'!$C$6)</f>
        <v/>
      </c>
      <c r="F66" s="19">
        <f>D66-E66</f>
        <v/>
      </c>
      <c r="G66" s="24">
        <f>IFERROR(F66/ABS(E66),"")</f>
        <v/>
      </c>
      <c r="H66" s="11">
        <f>IF(ROUND(F66,0)=0,"",IF(F66*$C66&gt;0,"F","U"))</f>
        <v/>
      </c>
      <c r="J66" s="28">
        <f>SUMIF('C5 GEG LR Aktual'!$D$5:$O$5,"&lt;="&amp;'C1 GEG Setting'!$C$6,'C5 GEG LR Aktual'!$D$67:$O$67)</f>
        <v/>
      </c>
      <c r="K66" s="28">
        <f>SUMIF('C4 GEG LR Budget'!$D$5:$O$5,"&lt;="&amp;'C1 GEG Setting'!$C$6,'C4 GEG LR Budget'!$D$67:$O$67)</f>
        <v/>
      </c>
      <c r="L66" s="19">
        <f>J66-K66</f>
        <v/>
      </c>
      <c r="M66" s="24">
        <f>IFERROR(L66/ABS(K66),"")</f>
        <v/>
      </c>
      <c r="N66" s="11">
        <f>IF(ROUND(L66,0)=0,"",IF(L66*$C66&gt;0,"F","U"))</f>
        <v/>
      </c>
      <c r="O66" s="28">
        <f>'C4 GEG LR Budget'!$P$67</f>
        <v/>
      </c>
      <c r="P66" s="24">
        <f>IFERROR(J66/O66,0)</f>
        <v/>
      </c>
    </row>
    <row r="67">
      <c r="A67" s="45" t="inlineStr">
        <is>
          <t>6207</t>
        </is>
      </c>
      <c r="B67" s="10" t="inlineStr">
        <is>
          <t xml:space="preserve">   Teknologi informasi &amp; komunikasi</t>
        </is>
      </c>
      <c r="C67" s="80" t="n">
        <v>-1</v>
      </c>
      <c r="D67" s="28">
        <f>INDEX('C5 GEG LR Aktual'!$D$68:$O$68,'C1 GEG Setting'!$C$6)</f>
        <v/>
      </c>
      <c r="E67" s="28">
        <f>INDEX('C4 GEG LR Budget'!$D$68:$O$68,'C1 GEG Setting'!$C$6)</f>
        <v/>
      </c>
      <c r="F67" s="19">
        <f>D67-E67</f>
        <v/>
      </c>
      <c r="G67" s="24">
        <f>IFERROR(F67/ABS(E67),"")</f>
        <v/>
      </c>
      <c r="H67" s="11">
        <f>IF(ROUND(F67,0)=0,"",IF(F67*$C67&gt;0,"F","U"))</f>
        <v/>
      </c>
      <c r="J67" s="28">
        <f>SUMIF('C5 GEG LR Aktual'!$D$5:$O$5,"&lt;="&amp;'C1 GEG Setting'!$C$6,'C5 GEG LR Aktual'!$D$68:$O$68)</f>
        <v/>
      </c>
      <c r="K67" s="28">
        <f>SUMIF('C4 GEG LR Budget'!$D$5:$O$5,"&lt;="&amp;'C1 GEG Setting'!$C$6,'C4 GEG LR Budget'!$D$68:$O$68)</f>
        <v/>
      </c>
      <c r="L67" s="19">
        <f>J67-K67</f>
        <v/>
      </c>
      <c r="M67" s="24">
        <f>IFERROR(L67/ABS(K67),"")</f>
        <v/>
      </c>
      <c r="N67" s="11">
        <f>IF(ROUND(L67,0)=0,"",IF(L67*$C67&gt;0,"F","U"))</f>
        <v/>
      </c>
      <c r="O67" s="28">
        <f>'C4 GEG LR Budget'!$P$68</f>
        <v/>
      </c>
      <c r="P67" s="24">
        <f>IFERROR(J67/O67,0)</f>
        <v/>
      </c>
    </row>
    <row r="68">
      <c r="A68" s="45" t="inlineStr">
        <is>
          <t>6208</t>
        </is>
      </c>
      <c r="B68" s="10" t="inlineStr">
        <is>
          <t xml:space="preserve">   Penyusutan aset kantor</t>
        </is>
      </c>
      <c r="C68" s="80" t="n">
        <v>-1</v>
      </c>
      <c r="D68" s="28">
        <f>INDEX('C5 GEG LR Aktual'!$D$69:$O$69,'C1 GEG Setting'!$C$6)</f>
        <v/>
      </c>
      <c r="E68" s="28">
        <f>INDEX('C4 GEG LR Budget'!$D$69:$O$69,'C1 GEG Setting'!$C$6)</f>
        <v/>
      </c>
      <c r="F68" s="19">
        <f>D68-E68</f>
        <v/>
      </c>
      <c r="G68" s="24">
        <f>IFERROR(F68/ABS(E68),"")</f>
        <v/>
      </c>
      <c r="H68" s="11">
        <f>IF(ROUND(F68,0)=0,"",IF(F68*$C68&gt;0,"F","U"))</f>
        <v/>
      </c>
      <c r="J68" s="28">
        <f>SUMIF('C5 GEG LR Aktual'!$D$5:$O$5,"&lt;="&amp;'C1 GEG Setting'!$C$6,'C5 GEG LR Aktual'!$D$69:$O$69)</f>
        <v/>
      </c>
      <c r="K68" s="28">
        <f>SUMIF('C4 GEG LR Budget'!$D$5:$O$5,"&lt;="&amp;'C1 GEG Setting'!$C$6,'C4 GEG LR Budget'!$D$69:$O$69)</f>
        <v/>
      </c>
      <c r="L68" s="19">
        <f>J68-K68</f>
        <v/>
      </c>
      <c r="M68" s="24">
        <f>IFERROR(L68/ABS(K68),"")</f>
        <v/>
      </c>
      <c r="N68" s="11">
        <f>IF(ROUND(L68,0)=0,"",IF(L68*$C68&gt;0,"F","U"))</f>
        <v/>
      </c>
      <c r="O68" s="28">
        <f>'C4 GEG LR Budget'!$P$69</f>
        <v/>
      </c>
      <c r="P68" s="24">
        <f>IFERROR(J68/O68,0)</f>
        <v/>
      </c>
    </row>
    <row r="69">
      <c r="A69" s="45" t="inlineStr">
        <is>
          <t>6209</t>
        </is>
      </c>
      <c r="B69" s="10" t="inlineStr">
        <is>
          <t xml:space="preserve">   Beban umum lainnya</t>
        </is>
      </c>
      <c r="C69" s="80" t="n">
        <v>-1</v>
      </c>
      <c r="D69" s="28">
        <f>INDEX('C5 GEG LR Aktual'!$D$70:$O$70,'C1 GEG Setting'!$C$6)</f>
        <v/>
      </c>
      <c r="E69" s="28">
        <f>INDEX('C4 GEG LR Budget'!$D$70:$O$70,'C1 GEG Setting'!$C$6)</f>
        <v/>
      </c>
      <c r="F69" s="19">
        <f>D69-E69</f>
        <v/>
      </c>
      <c r="G69" s="24">
        <f>IFERROR(F69/ABS(E69),"")</f>
        <v/>
      </c>
      <c r="H69" s="11">
        <f>IF(ROUND(F69,0)=0,"",IF(F69*$C69&gt;0,"F","U"))</f>
        <v/>
      </c>
      <c r="J69" s="28">
        <f>SUMIF('C5 GEG LR Aktual'!$D$5:$O$5,"&lt;="&amp;'C1 GEG Setting'!$C$6,'C5 GEG LR Aktual'!$D$70:$O$70)</f>
        <v/>
      </c>
      <c r="K69" s="28">
        <f>SUMIF('C4 GEG LR Budget'!$D$5:$O$5,"&lt;="&amp;'C1 GEG Setting'!$C$6,'C4 GEG LR Budget'!$D$70:$O$70)</f>
        <v/>
      </c>
      <c r="L69" s="19">
        <f>J69-K69</f>
        <v/>
      </c>
      <c r="M69" s="24">
        <f>IFERROR(L69/ABS(K69),"")</f>
        <v/>
      </c>
      <c r="N69" s="11">
        <f>IF(ROUND(L69,0)=0,"",IF(L69*$C69&gt;0,"F","U"))</f>
        <v/>
      </c>
      <c r="O69" s="28">
        <f>'C4 GEG LR Budget'!$P$70</f>
        <v/>
      </c>
      <c r="P69" s="24">
        <f>IFERROR(J69/O69,0)</f>
        <v/>
      </c>
    </row>
    <row r="70">
      <c r="A70" s="45" t="inlineStr"/>
      <c r="B70" s="46" t="inlineStr">
        <is>
          <t xml:space="preserve">   Subtotal beban umum &amp; administrasi</t>
        </is>
      </c>
      <c r="C70" s="80" t="n">
        <v>-1</v>
      </c>
      <c r="D70" s="70">
        <f>INDEX('C5 GEG LR Aktual'!$D$71:$O$71,'C1 GEG Setting'!$C$6)</f>
        <v/>
      </c>
      <c r="E70" s="70">
        <f>INDEX('C4 GEG LR Budget'!$D$71:$O$71,'C1 GEG Setting'!$C$6)</f>
        <v/>
      </c>
      <c r="F70" s="71">
        <f>D70-E70</f>
        <v/>
      </c>
      <c r="G70" s="24">
        <f>IFERROR(F70/ABS(E70),"")</f>
        <v/>
      </c>
      <c r="H70" s="11">
        <f>IF(ROUND(F70,0)=0,"",IF(F70*$C70&gt;0,"F","U"))</f>
        <v/>
      </c>
      <c r="J70" s="70">
        <f>SUMIF('C5 GEG LR Aktual'!$D$5:$O$5,"&lt;="&amp;'C1 GEG Setting'!$C$6,'C5 GEG LR Aktual'!$D$71:$O$71)</f>
        <v/>
      </c>
      <c r="K70" s="70">
        <f>SUMIF('C4 GEG LR Budget'!$D$5:$O$5,"&lt;="&amp;'C1 GEG Setting'!$C$6,'C4 GEG LR Budget'!$D$71:$O$71)</f>
        <v/>
      </c>
      <c r="L70" s="71">
        <f>J70-K70</f>
        <v/>
      </c>
      <c r="M70" s="24">
        <f>IFERROR(L70/ABS(K70),"")</f>
        <v/>
      </c>
      <c r="N70" s="11">
        <f>IF(ROUND(L70,0)=0,"",IF(L70*$C70&gt;0,"F","U"))</f>
        <v/>
      </c>
      <c r="O70" s="28">
        <f>'C4 GEG LR Budget'!$P$71</f>
        <v/>
      </c>
      <c r="P70" s="24">
        <f>IFERROR(J70/O70,0)</f>
        <v/>
      </c>
    </row>
    <row r="71">
      <c r="A71" s="82" t="inlineStr"/>
      <c r="B71" s="31" t="inlineStr">
        <is>
          <t>TOTAL BEBAN USAHA</t>
        </is>
      </c>
      <c r="C71" s="83" t="n">
        <v>-1</v>
      </c>
      <c r="D71" s="84">
        <f>INDEX('C5 GEG LR Aktual'!$D$72:$O$72,'C1 GEG Setting'!$C$6)</f>
        <v/>
      </c>
      <c r="E71" s="84">
        <f>INDEX('C4 GEG LR Budget'!$D$72:$O$72,'C1 GEG Setting'!$C$6)</f>
        <v/>
      </c>
      <c r="F71" s="33">
        <f>D71-E71</f>
        <v/>
      </c>
      <c r="G71" s="85">
        <f>IFERROR(F71/ABS(E71),"")</f>
        <v/>
      </c>
      <c r="H71" s="86">
        <f>IF(ROUND(F71,0)=0,"",IF(F71*$C71&gt;0,"F","U"))</f>
        <v/>
      </c>
      <c r="I71" s="32" t="n"/>
      <c r="J71" s="84">
        <f>SUMIF('C5 GEG LR Aktual'!$D$5:$O$5,"&lt;="&amp;'C1 GEG Setting'!$C$6,'C5 GEG LR Aktual'!$D$72:$O$72)</f>
        <v/>
      </c>
      <c r="K71" s="84">
        <f>SUMIF('C4 GEG LR Budget'!$D$5:$O$5,"&lt;="&amp;'C1 GEG Setting'!$C$6,'C4 GEG LR Budget'!$D$72:$O$72)</f>
        <v/>
      </c>
      <c r="L71" s="33">
        <f>J71-K71</f>
        <v/>
      </c>
      <c r="M71" s="85">
        <f>IFERROR(L71/ABS(K71),"")</f>
        <v/>
      </c>
      <c r="N71" s="86">
        <f>IF(ROUND(L71,0)=0,"",IF(L71*$C71&gt;0,"F","U"))</f>
        <v/>
      </c>
      <c r="O71" s="87">
        <f>'C4 GEG LR Budget'!$P$72</f>
        <v/>
      </c>
      <c r="P71" s="85">
        <f>IFERROR(J71/O71,0)</f>
        <v/>
      </c>
    </row>
    <row r="72">
      <c r="A72" s="82" t="inlineStr"/>
      <c r="B72" s="31" t="inlineStr">
        <is>
          <t>LABA USAHA</t>
        </is>
      </c>
      <c r="C72" s="83" t="n">
        <v>1</v>
      </c>
      <c r="D72" s="84">
        <f>INDEX('C5 GEG LR Aktual'!$D$73:$O$73,'C1 GEG Setting'!$C$6)</f>
        <v/>
      </c>
      <c r="E72" s="84">
        <f>INDEX('C4 GEG LR Budget'!$D$73:$O$73,'C1 GEG Setting'!$C$6)</f>
        <v/>
      </c>
      <c r="F72" s="33">
        <f>D72-E72</f>
        <v/>
      </c>
      <c r="G72" s="85">
        <f>IFERROR(F72/ABS(E72),"")</f>
        <v/>
      </c>
      <c r="H72" s="86">
        <f>IF(ROUND(F72,0)=0,"",IF(F72*$C72&gt;0,"F","U"))</f>
        <v/>
      </c>
      <c r="I72" s="32" t="n"/>
      <c r="J72" s="84">
        <f>SUMIF('C5 GEG LR Aktual'!$D$5:$O$5,"&lt;="&amp;'C1 GEG Setting'!$C$6,'C5 GEG LR Aktual'!$D$73:$O$73)</f>
        <v/>
      </c>
      <c r="K72" s="84">
        <f>SUMIF('C4 GEG LR Budget'!$D$5:$O$5,"&lt;="&amp;'C1 GEG Setting'!$C$6,'C4 GEG LR Budget'!$D$73:$O$73)</f>
        <v/>
      </c>
      <c r="L72" s="33">
        <f>J72-K72</f>
        <v/>
      </c>
      <c r="M72" s="85">
        <f>IFERROR(L72/ABS(K72),"")</f>
        <v/>
      </c>
      <c r="N72" s="86">
        <f>IF(ROUND(L72,0)=0,"",IF(L72*$C72&gt;0,"F","U"))</f>
        <v/>
      </c>
      <c r="O72" s="87">
        <f>'C4 GEG LR Budget'!$P$73</f>
        <v/>
      </c>
      <c r="P72" s="85">
        <f>IFERROR(J72/O72,0)</f>
        <v/>
      </c>
    </row>
    <row r="73">
      <c r="A73" s="45" t="inlineStr"/>
      <c r="B73" s="37" t="inlineStr">
        <is>
          <t xml:space="preserve">   Marjin laba usaha</t>
        </is>
      </c>
      <c r="D73" s="29">
        <f>IFERROR(D72/D13,0)</f>
        <v/>
      </c>
      <c r="E73" s="29">
        <f>IFERROR(E72/E13,0)</f>
        <v/>
      </c>
      <c r="F73" s="29">
        <f>D73-E73</f>
        <v/>
      </c>
      <c r="J73" s="29">
        <f>IFERROR(J72/J13,0)</f>
        <v/>
      </c>
      <c r="K73" s="29">
        <f>IFERROR(K72/K13,0)</f>
        <v/>
      </c>
      <c r="L73" s="29">
        <f>J73-K73</f>
        <v/>
      </c>
      <c r="O73" s="29">
        <f>IFERROR(O72/O13,0)</f>
        <v/>
      </c>
    </row>
    <row r="74">
      <c r="A74" s="4" t="inlineStr">
        <is>
          <t>PENDAPATAN (BEBAN) LAIN-LAIN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</row>
    <row r="75">
      <c r="A75" s="45" t="inlineStr">
        <is>
          <t>7101</t>
        </is>
      </c>
      <c r="B75" s="10" t="inlineStr">
        <is>
          <t xml:space="preserve">   Pendapatan bunga</t>
        </is>
      </c>
      <c r="C75" s="80" t="n">
        <v>1</v>
      </c>
      <c r="D75" s="28">
        <f>INDEX('C5 GEG LR Aktual'!$D$76:$O$76,'C1 GEG Setting'!$C$6)</f>
        <v/>
      </c>
      <c r="E75" s="28">
        <f>INDEX('C4 GEG LR Budget'!$D$76:$O$76,'C1 GEG Setting'!$C$6)</f>
        <v/>
      </c>
      <c r="F75" s="19">
        <f>D75-E75</f>
        <v/>
      </c>
      <c r="G75" s="24">
        <f>IFERROR(F75/ABS(E75),"")</f>
        <v/>
      </c>
      <c r="H75" s="11">
        <f>IF(ROUND(F75,0)=0,"",IF(F75*$C75&gt;0,"F","U"))</f>
        <v/>
      </c>
      <c r="J75" s="28">
        <f>SUMIF('C5 GEG LR Aktual'!$D$5:$O$5,"&lt;="&amp;'C1 GEG Setting'!$C$6,'C5 GEG LR Aktual'!$D$76:$O$76)</f>
        <v/>
      </c>
      <c r="K75" s="28">
        <f>SUMIF('C4 GEG LR Budget'!$D$5:$O$5,"&lt;="&amp;'C1 GEG Setting'!$C$6,'C4 GEG LR Budget'!$D$76:$O$76)</f>
        <v/>
      </c>
      <c r="L75" s="19">
        <f>J75-K75</f>
        <v/>
      </c>
      <c r="M75" s="24">
        <f>IFERROR(L75/ABS(K75),"")</f>
        <v/>
      </c>
      <c r="N75" s="11">
        <f>IF(ROUND(L75,0)=0,"",IF(L75*$C75&gt;0,"F","U"))</f>
        <v/>
      </c>
      <c r="O75" s="28">
        <f>'C4 GEG LR Budget'!$P$76</f>
        <v/>
      </c>
      <c r="P75" s="24">
        <f>IFERROR(J75/O75,0)</f>
        <v/>
      </c>
    </row>
    <row r="76">
      <c r="A76" s="45" t="inlineStr">
        <is>
          <t>7201</t>
        </is>
      </c>
      <c r="B76" s="10" t="inlineStr">
        <is>
          <t xml:space="preserve">   Beban keuangan (isi negatif)</t>
        </is>
      </c>
      <c r="C76" s="80" t="n">
        <v>1</v>
      </c>
      <c r="D76" s="28">
        <f>INDEX('C5 GEG LR Aktual'!$D$77:$O$77,'C1 GEG Setting'!$C$6)</f>
        <v/>
      </c>
      <c r="E76" s="28">
        <f>INDEX('C4 GEG LR Budget'!$D$77:$O$77,'C1 GEG Setting'!$C$6)</f>
        <v/>
      </c>
      <c r="F76" s="19">
        <f>D76-E76</f>
        <v/>
      </c>
      <c r="G76" s="24">
        <f>IFERROR(F76/ABS(E76),"")</f>
        <v/>
      </c>
      <c r="H76" s="11">
        <f>IF(ROUND(F76,0)=0,"",IF(F76*$C76&gt;0,"F","U"))</f>
        <v/>
      </c>
      <c r="J76" s="28">
        <f>SUMIF('C5 GEG LR Aktual'!$D$5:$O$5,"&lt;="&amp;'C1 GEG Setting'!$C$6,'C5 GEG LR Aktual'!$D$77:$O$77)</f>
        <v/>
      </c>
      <c r="K76" s="28">
        <f>SUMIF('C4 GEG LR Budget'!$D$5:$O$5,"&lt;="&amp;'C1 GEG Setting'!$C$6,'C4 GEG LR Budget'!$D$77:$O$77)</f>
        <v/>
      </c>
      <c r="L76" s="19">
        <f>J76-K76</f>
        <v/>
      </c>
      <c r="M76" s="24">
        <f>IFERROR(L76/ABS(K76),"")</f>
        <v/>
      </c>
      <c r="N76" s="11">
        <f>IF(ROUND(L76,0)=0,"",IF(L76*$C76&gt;0,"F","U"))</f>
        <v/>
      </c>
      <c r="O76" s="28">
        <f>'C4 GEG LR Budget'!$P$77</f>
        <v/>
      </c>
      <c r="P76" s="24">
        <f>IFERROR(J76/O76,0)</f>
        <v/>
      </c>
    </row>
    <row r="77">
      <c r="A77" s="45" t="inlineStr">
        <is>
          <t>7301</t>
        </is>
      </c>
      <c r="B77" s="10" t="inlineStr">
        <is>
          <t xml:space="preserve">   Laba (rugi) selisih kurs</t>
        </is>
      </c>
      <c r="C77" s="80" t="n">
        <v>1</v>
      </c>
      <c r="D77" s="28">
        <f>INDEX('C5 GEG LR Aktual'!$D$78:$O$78,'C1 GEG Setting'!$C$6)</f>
        <v/>
      </c>
      <c r="E77" s="28">
        <f>INDEX('C4 GEG LR Budget'!$D$78:$O$78,'C1 GEG Setting'!$C$6)</f>
        <v/>
      </c>
      <c r="F77" s="19">
        <f>D77-E77</f>
        <v/>
      </c>
      <c r="G77" s="24">
        <f>IFERROR(F77/ABS(E77),"")</f>
        <v/>
      </c>
      <c r="H77" s="11">
        <f>IF(ROUND(F77,0)=0,"",IF(F77*$C77&gt;0,"F","U"))</f>
        <v/>
      </c>
      <c r="J77" s="28">
        <f>SUMIF('C5 GEG LR Aktual'!$D$5:$O$5,"&lt;="&amp;'C1 GEG Setting'!$C$6,'C5 GEG LR Aktual'!$D$78:$O$78)</f>
        <v/>
      </c>
      <c r="K77" s="28">
        <f>SUMIF('C4 GEG LR Budget'!$D$5:$O$5,"&lt;="&amp;'C1 GEG Setting'!$C$6,'C4 GEG LR Budget'!$D$78:$O$78)</f>
        <v/>
      </c>
      <c r="L77" s="19">
        <f>J77-K77</f>
        <v/>
      </c>
      <c r="M77" s="24">
        <f>IFERROR(L77/ABS(K77),"")</f>
        <v/>
      </c>
      <c r="N77" s="11">
        <f>IF(ROUND(L77,0)=0,"",IF(L77*$C77&gt;0,"F","U"))</f>
        <v/>
      </c>
      <c r="O77" s="28">
        <f>'C4 GEG LR Budget'!$P$78</f>
        <v/>
      </c>
      <c r="P77" s="24">
        <f>IFERROR(J77/O77,0)</f>
        <v/>
      </c>
    </row>
    <row r="78">
      <c r="A78" s="45" t="inlineStr">
        <is>
          <t>7401</t>
        </is>
      </c>
      <c r="B78" s="10" t="inlineStr">
        <is>
          <t xml:space="preserve">   Lain-lain – neto</t>
        </is>
      </c>
      <c r="C78" s="80" t="n">
        <v>1</v>
      </c>
      <c r="D78" s="28">
        <f>INDEX('C5 GEG LR Aktual'!$D$79:$O$79,'C1 GEG Setting'!$C$6)</f>
        <v/>
      </c>
      <c r="E78" s="28">
        <f>INDEX('C4 GEG LR Budget'!$D$79:$O$79,'C1 GEG Setting'!$C$6)</f>
        <v/>
      </c>
      <c r="F78" s="19">
        <f>D78-E78</f>
        <v/>
      </c>
      <c r="G78" s="24">
        <f>IFERROR(F78/ABS(E78),"")</f>
        <v/>
      </c>
      <c r="H78" s="11">
        <f>IF(ROUND(F78,0)=0,"",IF(F78*$C78&gt;0,"F","U"))</f>
        <v/>
      </c>
      <c r="J78" s="28">
        <f>SUMIF('C5 GEG LR Aktual'!$D$5:$O$5,"&lt;="&amp;'C1 GEG Setting'!$C$6,'C5 GEG LR Aktual'!$D$79:$O$79)</f>
        <v/>
      </c>
      <c r="K78" s="28">
        <f>SUMIF('C4 GEG LR Budget'!$D$5:$O$5,"&lt;="&amp;'C1 GEG Setting'!$C$6,'C4 GEG LR Budget'!$D$79:$O$79)</f>
        <v/>
      </c>
      <c r="L78" s="19">
        <f>J78-K78</f>
        <v/>
      </c>
      <c r="M78" s="24">
        <f>IFERROR(L78/ABS(K78),"")</f>
        <v/>
      </c>
      <c r="N78" s="11">
        <f>IF(ROUND(L78,0)=0,"",IF(L78*$C78&gt;0,"F","U"))</f>
        <v/>
      </c>
      <c r="O78" s="28">
        <f>'C4 GEG LR Budget'!$P$79</f>
        <v/>
      </c>
      <c r="P78" s="24">
        <f>IFERROR(J78/O78,0)</f>
        <v/>
      </c>
    </row>
    <row r="79">
      <c r="A79" s="45" t="inlineStr"/>
      <c r="B79" s="46" t="inlineStr">
        <is>
          <t xml:space="preserve">   Jumlah pendapatan (beban) lain-lain</t>
        </is>
      </c>
      <c r="C79" s="80" t="n">
        <v>1</v>
      </c>
      <c r="D79" s="70">
        <f>INDEX('C5 GEG LR Aktual'!$D$80:$O$80,'C1 GEG Setting'!$C$6)</f>
        <v/>
      </c>
      <c r="E79" s="70">
        <f>INDEX('C4 GEG LR Budget'!$D$80:$O$80,'C1 GEG Setting'!$C$6)</f>
        <v/>
      </c>
      <c r="F79" s="71">
        <f>D79-E79</f>
        <v/>
      </c>
      <c r="G79" s="24">
        <f>IFERROR(F79/ABS(E79),"")</f>
        <v/>
      </c>
      <c r="H79" s="11">
        <f>IF(ROUND(F79,0)=0,"",IF(F79*$C79&gt;0,"F","U"))</f>
        <v/>
      </c>
      <c r="J79" s="70">
        <f>SUMIF('C5 GEG LR Aktual'!$D$5:$O$5,"&lt;="&amp;'C1 GEG Setting'!$C$6,'C5 GEG LR Aktual'!$D$80:$O$80)</f>
        <v/>
      </c>
      <c r="K79" s="70">
        <f>SUMIF('C4 GEG LR Budget'!$D$5:$O$5,"&lt;="&amp;'C1 GEG Setting'!$C$6,'C4 GEG LR Budget'!$D$80:$O$80)</f>
        <v/>
      </c>
      <c r="L79" s="71">
        <f>J79-K79</f>
        <v/>
      </c>
      <c r="M79" s="24">
        <f>IFERROR(L79/ABS(K79),"")</f>
        <v/>
      </c>
      <c r="N79" s="11">
        <f>IF(ROUND(L79,0)=0,"",IF(L79*$C79&gt;0,"F","U"))</f>
        <v/>
      </c>
      <c r="O79" s="28">
        <f>'C4 GEG LR Budget'!$P$80</f>
        <v/>
      </c>
      <c r="P79" s="24">
        <f>IFERROR(J79/O79,0)</f>
        <v/>
      </c>
    </row>
    <row r="80">
      <c r="A80" s="82" t="inlineStr"/>
      <c r="B80" s="31" t="inlineStr">
        <is>
          <t>LABA SEBELUM PAJAK</t>
        </is>
      </c>
      <c r="C80" s="83" t="n">
        <v>1</v>
      </c>
      <c r="D80" s="84">
        <f>INDEX('C5 GEG LR Aktual'!$D$81:$O$81,'C1 GEG Setting'!$C$6)</f>
        <v/>
      </c>
      <c r="E80" s="84">
        <f>INDEX('C4 GEG LR Budget'!$D$81:$O$81,'C1 GEG Setting'!$C$6)</f>
        <v/>
      </c>
      <c r="F80" s="33">
        <f>D80-E80</f>
        <v/>
      </c>
      <c r="G80" s="85">
        <f>IFERROR(F80/ABS(E80),"")</f>
        <v/>
      </c>
      <c r="H80" s="86">
        <f>IF(ROUND(F80,0)=0,"",IF(F80*$C80&gt;0,"F","U"))</f>
        <v/>
      </c>
      <c r="I80" s="32" t="n"/>
      <c r="J80" s="84">
        <f>SUMIF('C5 GEG LR Aktual'!$D$5:$O$5,"&lt;="&amp;'C1 GEG Setting'!$C$6,'C5 GEG LR Aktual'!$D$81:$O$81)</f>
        <v/>
      </c>
      <c r="K80" s="84">
        <f>SUMIF('C4 GEG LR Budget'!$D$5:$O$5,"&lt;="&amp;'C1 GEG Setting'!$C$6,'C4 GEG LR Budget'!$D$81:$O$81)</f>
        <v/>
      </c>
      <c r="L80" s="33">
        <f>J80-K80</f>
        <v/>
      </c>
      <c r="M80" s="85">
        <f>IFERROR(L80/ABS(K80),"")</f>
        <v/>
      </c>
      <c r="N80" s="86">
        <f>IF(ROUND(L80,0)=0,"",IF(L80*$C80&gt;0,"F","U"))</f>
        <v/>
      </c>
      <c r="O80" s="87">
        <f>'C4 GEG LR Budget'!$P$81</f>
        <v/>
      </c>
      <c r="P80" s="85">
        <f>IFERROR(J80/O80,0)</f>
        <v/>
      </c>
    </row>
    <row r="81">
      <c r="A81" s="45" t="inlineStr">
        <is>
          <t>8101</t>
        </is>
      </c>
      <c r="B81" s="10" t="inlineStr">
        <is>
          <t xml:space="preserve">   Beban pajak penghasilan</t>
        </is>
      </c>
      <c r="C81" s="80" t="n">
        <v>-1</v>
      </c>
      <c r="D81" s="28">
        <f>INDEX('C5 GEG LR Aktual'!$D$82:$O$82,'C1 GEG Setting'!$C$6)</f>
        <v/>
      </c>
      <c r="E81" s="28">
        <f>INDEX('C4 GEG LR Budget'!$D$82:$O$82,'C1 GEG Setting'!$C$6)</f>
        <v/>
      </c>
      <c r="F81" s="19">
        <f>D81-E81</f>
        <v/>
      </c>
      <c r="G81" s="24">
        <f>IFERROR(F81/ABS(E81),"")</f>
        <v/>
      </c>
      <c r="H81" s="11">
        <f>IF(ROUND(F81,0)=0,"",IF(F81*$C81&gt;0,"F","U"))</f>
        <v/>
      </c>
      <c r="J81" s="28">
        <f>SUMIF('C5 GEG LR Aktual'!$D$5:$O$5,"&lt;="&amp;'C1 GEG Setting'!$C$6,'C5 GEG LR Aktual'!$D$82:$O$82)</f>
        <v/>
      </c>
      <c r="K81" s="28">
        <f>SUMIF('C4 GEG LR Budget'!$D$5:$O$5,"&lt;="&amp;'C1 GEG Setting'!$C$6,'C4 GEG LR Budget'!$D$82:$O$82)</f>
        <v/>
      </c>
      <c r="L81" s="19">
        <f>J81-K81</f>
        <v/>
      </c>
      <c r="M81" s="24">
        <f>IFERROR(L81/ABS(K81),"")</f>
        <v/>
      </c>
      <c r="N81" s="11">
        <f>IF(ROUND(L81,0)=0,"",IF(L81*$C81&gt;0,"F","U"))</f>
        <v/>
      </c>
      <c r="O81" s="28">
        <f>'C4 GEG LR Budget'!$P$82</f>
        <v/>
      </c>
      <c r="P81" s="24">
        <f>IFERROR(J81/O81,0)</f>
        <v/>
      </c>
    </row>
    <row r="82">
      <c r="A82" s="82" t="inlineStr"/>
      <c r="B82" s="31" t="inlineStr">
        <is>
          <t>LABA BERSIH</t>
        </is>
      </c>
      <c r="C82" s="83" t="n">
        <v>1</v>
      </c>
      <c r="D82" s="84">
        <f>INDEX('C5 GEG LR Aktual'!$D$83:$O$83,'C1 GEG Setting'!$C$6)</f>
        <v/>
      </c>
      <c r="E82" s="84">
        <f>INDEX('C4 GEG LR Budget'!$D$83:$O$83,'C1 GEG Setting'!$C$6)</f>
        <v/>
      </c>
      <c r="F82" s="33">
        <f>D82-E82</f>
        <v/>
      </c>
      <c r="G82" s="85">
        <f>IFERROR(F82/ABS(E82),"")</f>
        <v/>
      </c>
      <c r="H82" s="86">
        <f>IF(ROUND(F82,0)=0,"",IF(F82*$C82&gt;0,"F","U"))</f>
        <v/>
      </c>
      <c r="I82" s="32" t="n"/>
      <c r="J82" s="84">
        <f>SUMIF('C5 GEG LR Aktual'!$D$5:$O$5,"&lt;="&amp;'C1 GEG Setting'!$C$6,'C5 GEG LR Aktual'!$D$83:$O$83)</f>
        <v/>
      </c>
      <c r="K82" s="84">
        <f>SUMIF('C4 GEG LR Budget'!$D$5:$O$5,"&lt;="&amp;'C1 GEG Setting'!$C$6,'C4 GEG LR Budget'!$D$83:$O$83)</f>
        <v/>
      </c>
      <c r="L82" s="33">
        <f>J82-K82</f>
        <v/>
      </c>
      <c r="M82" s="85">
        <f>IFERROR(L82/ABS(K82),"")</f>
        <v/>
      </c>
      <c r="N82" s="86">
        <f>IF(ROUND(L82,0)=0,"",IF(L82*$C82&gt;0,"F","U"))</f>
        <v/>
      </c>
      <c r="O82" s="87">
        <f>'C4 GEG LR Budget'!$P$83</f>
        <v/>
      </c>
      <c r="P82" s="85">
        <f>IFERROR(J82/O82,0)</f>
        <v/>
      </c>
    </row>
    <row r="83">
      <c r="A83" s="45" t="inlineStr"/>
      <c r="B83" s="37" t="inlineStr">
        <is>
          <t xml:space="preserve">   Marjin laba bersih</t>
        </is>
      </c>
      <c r="D83" s="29">
        <f>IFERROR(D82/D13,0)</f>
        <v/>
      </c>
      <c r="E83" s="29">
        <f>IFERROR(E82/E13,0)</f>
        <v/>
      </c>
      <c r="F83" s="29">
        <f>D83-E83</f>
        <v/>
      </c>
      <c r="J83" s="29">
        <f>IFERROR(J82/J13,0)</f>
        <v/>
      </c>
      <c r="K83" s="29">
        <f>IFERROR(K82/K13,0)</f>
        <v/>
      </c>
      <c r="L83" s="29">
        <f>J83-K83</f>
        <v/>
      </c>
      <c r="O83" s="29">
        <f>IFERROR(O82/O13,0)</f>
        <v/>
      </c>
    </row>
    <row r="84">
      <c r="A84" s="4" t="inlineStr">
        <is>
          <t>MEMO</t>
        </is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</row>
    <row r="85">
      <c r="A85" s="45" t="inlineStr"/>
      <c r="B85" s="46" t="inlineStr">
        <is>
          <t xml:space="preserve">   EBITDA (laba usaha + penyusutan &amp; amortisasi)</t>
        </is>
      </c>
      <c r="C85" s="80" t="n">
        <v>1</v>
      </c>
      <c r="D85" s="70">
        <f>INDEX('C5 GEG LR Aktual'!$D$86:$O$86,'C1 GEG Setting'!$C$6)</f>
        <v/>
      </c>
      <c r="E85" s="70">
        <f>INDEX('C4 GEG LR Budget'!$D$86:$O$86,'C1 GEG Setting'!$C$6)</f>
        <v/>
      </c>
      <c r="F85" s="71">
        <f>D85-E85</f>
        <v/>
      </c>
      <c r="G85" s="24">
        <f>IFERROR(F85/ABS(E85),"")</f>
        <v/>
      </c>
      <c r="H85" s="11">
        <f>IF(ROUND(F85,0)=0,"",IF(F85*$C85&gt;0,"F","U"))</f>
        <v/>
      </c>
      <c r="J85" s="70">
        <f>SUMIF('C5 GEG LR Aktual'!$D$5:$O$5,"&lt;="&amp;'C1 GEG Setting'!$C$6,'C5 GEG LR Aktual'!$D$86:$O$86)</f>
        <v/>
      </c>
      <c r="K85" s="70">
        <f>SUMIF('C4 GEG LR Budget'!$D$5:$O$5,"&lt;="&amp;'C1 GEG Setting'!$C$6,'C4 GEG LR Budget'!$D$86:$O$86)</f>
        <v/>
      </c>
      <c r="L85" s="71">
        <f>J85-K85</f>
        <v/>
      </c>
      <c r="M85" s="24">
        <f>IFERROR(L85/ABS(K85),"")</f>
        <v/>
      </c>
      <c r="N85" s="11">
        <f>IF(ROUND(L85,0)=0,"",IF(L85*$C85&gt;0,"F","U"))</f>
        <v/>
      </c>
      <c r="O85" s="28">
        <f>'C4 GEG LR Budget'!$P$86</f>
        <v/>
      </c>
      <c r="P85" s="24">
        <f>IFERROR(J85/O85,0)</f>
        <v/>
      </c>
    </row>
    <row r="86">
      <c r="A86" s="45" t="inlineStr"/>
      <c r="B86" s="37" t="inlineStr">
        <is>
          <t xml:space="preserve">   Marjin EBITDA</t>
        </is>
      </c>
      <c r="D86" s="29">
        <f>IFERROR(D85/D13,0)</f>
        <v/>
      </c>
      <c r="E86" s="29">
        <f>IFERROR(E85/E13,0)</f>
        <v/>
      </c>
      <c r="F86" s="29">
        <f>D86-E86</f>
        <v/>
      </c>
      <c r="J86" s="29">
        <f>IFERROR(J85/J13,0)</f>
        <v/>
      </c>
      <c r="K86" s="29">
        <f>IFERROR(K85/K13,0)</f>
        <v/>
      </c>
      <c r="L86" s="29">
        <f>J86-K86</f>
        <v/>
      </c>
      <c r="O86" s="29">
        <f>IFERROR(O85/O13,0)</f>
        <v/>
      </c>
    </row>
  </sheetData>
  <conditionalFormatting sqref="H6:H87">
    <cfRule type="cellIs" priority="1" operator="equal" dxfId="0">
      <formula>"F"</formula>
    </cfRule>
    <cfRule type="cellIs" priority="2" operator="equal" dxfId="1">
      <formula>"U"</formula>
    </cfRule>
  </conditionalFormatting>
  <conditionalFormatting sqref="N6:N87">
    <cfRule type="cellIs" priority="3" operator="equal" dxfId="0">
      <formula>"F"</formula>
    </cfRule>
    <cfRule type="cellIs" priority="4" operator="equal" dxfId="1">
      <formula>"U"</formula>
    </cfRule>
  </conditionalFormatting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N3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5" customWidth="1" min="3" max="3"/>
    <col width="14" customWidth="1" min="4" max="4"/>
    <col width="14" customWidth="1" min="5" max="5"/>
    <col width="13" customWidth="1" min="6" max="6"/>
    <col width="10" customWidth="1" min="7" max="7"/>
    <col width="14" customWidth="1" min="8" max="8"/>
    <col width="2" customWidth="1" min="9" max="9"/>
    <col width="14" customWidth="1" min="10" max="10"/>
    <col width="14" customWidth="1" min="11" max="11"/>
    <col width="13" customWidth="1" min="12" max="12"/>
    <col width="10" customWidth="1" min="13" max="13"/>
    <col width="14" customWidth="1" min="14" max="14"/>
  </cols>
  <sheetData>
    <row r="1">
      <c r="A1" s="1" t="inlineStr">
        <is>
          <t>GEG – Laporan Operasional Bulanan: Aktual vs Budget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>
        <f>"Bulan laporan: "&amp;'C1 GEG Setting'!$C$7&amp;" "&amp;'C1 GEG Setting'!$C$5&amp;" | Polaritas H = makin tinggi makin baik, L = makin rendah makin baik"</f>
        <v/>
      </c>
    </row>
    <row r="3"/>
    <row r="4"/>
    <row r="5" ht="30" customHeight="1">
      <c r="A5" s="16" t="inlineStr">
        <is>
          <t>Parameter</t>
        </is>
      </c>
      <c r="B5" s="16" t="inlineStr">
        <is>
          <t>Satuan</t>
        </is>
      </c>
      <c r="C5" s="16" t="inlineStr">
        <is>
          <t>Pol.</t>
        </is>
      </c>
      <c r="D5" s="16" t="inlineStr">
        <is>
          <t>Bulan ini – Aktual</t>
        </is>
      </c>
      <c r="E5" s="16" t="inlineStr">
        <is>
          <t>Bulan ini – Budget</t>
        </is>
      </c>
      <c r="F5" s="16" t="inlineStr">
        <is>
          <t>Varians</t>
        </is>
      </c>
      <c r="G5" s="16" t="inlineStr">
        <is>
          <t>Varians %</t>
        </is>
      </c>
      <c r="H5" s="16" t="inlineStr">
        <is>
          <t>Status</t>
        </is>
      </c>
      <c r="I5" s="16" t="inlineStr"/>
      <c r="J5" s="16" t="inlineStr">
        <is>
          <t>YTD – Aktual</t>
        </is>
      </c>
      <c r="K5" s="16" t="inlineStr">
        <is>
          <t>YTD – Budget</t>
        </is>
      </c>
      <c r="L5" s="16" t="inlineStr">
        <is>
          <t>Varians</t>
        </is>
      </c>
      <c r="M5" s="16" t="inlineStr">
        <is>
          <t>Varians %</t>
        </is>
      </c>
      <c r="N5" s="16" t="inlineStr">
        <is>
          <t>Status</t>
        </is>
      </c>
    </row>
    <row r="6">
      <c r="A6" s="4" t="inlineStr">
        <is>
          <t>PRODUKSI &amp; OPERASI TAMBANG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10" t="inlineStr">
        <is>
          <t>OB removal</t>
        </is>
      </c>
      <c r="B7" s="3" t="inlineStr">
        <is>
          <t>bcm</t>
        </is>
      </c>
      <c r="C7" s="62" t="inlineStr">
        <is>
          <t>H</t>
        </is>
      </c>
      <c r="D7" s="28">
        <f>INDEX('C3 GEG Ops Aktual'!$D$8:$O$8,'C1 GEG Setting'!$C$6)</f>
        <v/>
      </c>
      <c r="E7" s="28">
        <f>INDEX('C2 GEG Ops Budget'!$D$8:$O$8,'C1 GEG Setting'!$C$6)</f>
        <v/>
      </c>
      <c r="F7" s="19">
        <f>D7-E7</f>
        <v/>
      </c>
      <c r="G7" s="24">
        <f>IFERROR(F7/ABS(E7),"")</f>
        <v/>
      </c>
      <c r="H7" s="11">
        <f>IF($C7="","",IF(OR(AND($C7="H",D7&gt;=E7),AND($C7="L",D7&lt;=E7)),"Tercapai","Tidak tercapai"))</f>
        <v/>
      </c>
      <c r="J7" s="28">
        <f>SUMIF('C3 GEG Ops Aktual'!$D$5:$O$5,"&lt;="&amp;'C1 GEG Setting'!$C$6,'C3 GEG Ops Aktual'!$D$8:$O$8)</f>
        <v/>
      </c>
      <c r="K7" s="28">
        <f>SUMIF('C2 GEG Ops Budget'!$D$5:$O$5,"&lt;="&amp;'C1 GEG Setting'!$C$6,'C2 GEG Ops Budget'!$D$8:$O$8)</f>
        <v/>
      </c>
      <c r="L7" s="19">
        <f>J7-K7</f>
        <v/>
      </c>
      <c r="M7" s="24">
        <f>IFERROR(L7/ABS(K7),"")</f>
        <v/>
      </c>
      <c r="N7" s="11">
        <f>IF($C7="","",IF(OR(AND($C7="H",J7&gt;=K7),AND($C7="L",J7&lt;=K7)),"Tercapai","Tidak tercapai"))</f>
        <v/>
      </c>
    </row>
    <row r="8">
      <c r="A8" s="10" t="inlineStr">
        <is>
          <t>Produksi batubara (coal getting / ROM)</t>
        </is>
      </c>
      <c r="B8" s="3" t="inlineStr">
        <is>
          <t>ton</t>
        </is>
      </c>
      <c r="C8" s="62" t="inlineStr">
        <is>
          <t>H</t>
        </is>
      </c>
      <c r="D8" s="28">
        <f>INDEX('C3 GEG Ops Aktual'!$D$9:$O$9,'C1 GEG Setting'!$C$6)</f>
        <v/>
      </c>
      <c r="E8" s="28">
        <f>INDEX('C2 GEG Ops Budget'!$D$9:$O$9,'C1 GEG Setting'!$C$6)</f>
        <v/>
      </c>
      <c r="F8" s="19">
        <f>D8-E8</f>
        <v/>
      </c>
      <c r="G8" s="24">
        <f>IFERROR(F8/ABS(E8),"")</f>
        <v/>
      </c>
      <c r="H8" s="11">
        <f>IF($C8="","",IF(OR(AND($C8="H",D8&gt;=E8),AND($C8="L",D8&lt;=E8)),"Tercapai","Tidak tercapai"))</f>
        <v/>
      </c>
      <c r="J8" s="28">
        <f>SUMIF('C3 GEG Ops Aktual'!$D$5:$O$5,"&lt;="&amp;'C1 GEG Setting'!$C$6,'C3 GEG Ops Aktual'!$D$9:$O$9)</f>
        <v/>
      </c>
      <c r="K8" s="28">
        <f>SUMIF('C2 GEG Ops Budget'!$D$5:$O$5,"&lt;="&amp;'C1 GEG Setting'!$C$6,'C2 GEG Ops Budget'!$D$9:$O$9)</f>
        <v/>
      </c>
      <c r="L8" s="19">
        <f>J8-K8</f>
        <v/>
      </c>
      <c r="M8" s="24">
        <f>IFERROR(L8/ABS(K8),"")</f>
        <v/>
      </c>
      <c r="N8" s="11">
        <f>IF($C8="","",IF(OR(AND($C8="H",J8&gt;=K8),AND($C8="L",J8&lt;=K8)),"Tercapai","Tidak tercapai"))</f>
        <v/>
      </c>
    </row>
    <row r="9">
      <c r="A9" s="10" t="inlineStr">
        <is>
          <t>Stripping ratio</t>
        </is>
      </c>
      <c r="B9" s="3" t="inlineStr">
        <is>
          <t>bcm/t</t>
        </is>
      </c>
      <c r="C9" s="62" t="inlineStr">
        <is>
          <t>L</t>
        </is>
      </c>
      <c r="D9" s="47">
        <f>IFERROR(D7/D8,0)</f>
        <v/>
      </c>
      <c r="E9" s="47">
        <f>IFERROR(E7/E8,0)</f>
        <v/>
      </c>
      <c r="F9" s="47">
        <f>D9-E9</f>
        <v/>
      </c>
      <c r="G9" s="24">
        <f>IFERROR(F9/ABS(E9),"")</f>
        <v/>
      </c>
      <c r="H9" s="11">
        <f>IF($C9="","",IF(OR(AND($C9="H",D9&gt;=E9),AND($C9="L",D9&lt;=E9)),"Tercapai","Tidak tercapai"))</f>
        <v/>
      </c>
      <c r="J9" s="47">
        <f>IFERROR(J7/J8,0)</f>
        <v/>
      </c>
      <c r="K9" s="47">
        <f>IFERROR(K7/K8,0)</f>
        <v/>
      </c>
      <c r="L9" s="47">
        <f>J9-K9</f>
        <v/>
      </c>
      <c r="M9" s="24">
        <f>IFERROR(L9/ABS(K9),"")</f>
        <v/>
      </c>
      <c r="N9" s="11">
        <f>IF($C9="","",IF(OR(AND($C9="H",J9&gt;=K9),AND($C9="L",J9&lt;=K9)),"Tercapai","Tidak tercapai"))</f>
        <v/>
      </c>
    </row>
    <row r="10">
      <c r="A10" s="10" t="inlineStr">
        <is>
          <t>Hauling batubara ke pelabuhan</t>
        </is>
      </c>
      <c r="B10" s="3" t="inlineStr">
        <is>
          <t>ton</t>
        </is>
      </c>
      <c r="C10" s="62" t="inlineStr">
        <is>
          <t>H</t>
        </is>
      </c>
      <c r="D10" s="28">
        <f>INDEX('C3 GEG Ops Aktual'!$D$11:$O$11,'C1 GEG Setting'!$C$6)</f>
        <v/>
      </c>
      <c r="E10" s="28">
        <f>INDEX('C2 GEG Ops Budget'!$D$11:$O$11,'C1 GEG Setting'!$C$6)</f>
        <v/>
      </c>
      <c r="F10" s="19">
        <f>D10-E10</f>
        <v/>
      </c>
      <c r="G10" s="24">
        <f>IFERROR(F10/ABS(E10),"")</f>
        <v/>
      </c>
      <c r="H10" s="11">
        <f>IF($C10="","",IF(OR(AND($C10="H",D10&gt;=E10),AND($C10="L",D10&lt;=E10)),"Tercapai","Tidak tercapai"))</f>
        <v/>
      </c>
      <c r="J10" s="28">
        <f>SUMIF('C3 GEG Ops Aktual'!$D$5:$O$5,"&lt;="&amp;'C1 GEG Setting'!$C$6,'C3 GEG Ops Aktual'!$D$11:$O$11)</f>
        <v/>
      </c>
      <c r="K10" s="28">
        <f>SUMIF('C2 GEG Ops Budget'!$D$5:$O$5,"&lt;="&amp;'C1 GEG Setting'!$C$6,'C2 GEG Ops Budget'!$D$11:$O$11)</f>
        <v/>
      </c>
      <c r="L10" s="19">
        <f>J10-K10</f>
        <v/>
      </c>
      <c r="M10" s="24">
        <f>IFERROR(L10/ABS(K10),"")</f>
        <v/>
      </c>
      <c r="N10" s="11">
        <f>IF($C10="","",IF(OR(AND($C10="H",J10&gt;=K10),AND($C10="L",J10&lt;=K10)),"Tercapai","Tidak tercapai"))</f>
        <v/>
      </c>
    </row>
    <row r="11">
      <c r="A11" s="10" t="inlineStr">
        <is>
          <t>Jarak hauling rata-rata</t>
        </is>
      </c>
      <c r="B11" s="3" t="inlineStr">
        <is>
          <t>km</t>
        </is>
      </c>
      <c r="C11" s="62" t="inlineStr">
        <is>
          <t>L</t>
        </is>
      </c>
      <c r="D11" s="88">
        <f>INDEX('C3 GEG Ops Aktual'!$D$12:$O$12,'C1 GEG Setting'!$C$6)</f>
        <v/>
      </c>
      <c r="E11" s="88">
        <f>INDEX('C2 GEG Ops Budget'!$D$12:$O$12,'C1 GEG Setting'!$C$6)</f>
        <v/>
      </c>
      <c r="F11" s="89">
        <f>D11-E11</f>
        <v/>
      </c>
      <c r="G11" s="24">
        <f>IFERROR(F11/ABS(E11),"")</f>
        <v/>
      </c>
      <c r="H11" s="11">
        <f>IF($C11="","",IF(OR(AND($C11="H",D11&gt;=E11),AND($C11="L",D11&lt;=E11)),"Tercapai","Tidak tercapai"))</f>
        <v/>
      </c>
      <c r="J11" s="88">
        <f>IFERROR(SUMPRODUCT(('C3 GEG Ops Aktual'!$D$5:$O$5&lt;='C1 GEG Setting'!$C$6)*'C3 GEG Ops Aktual'!$D$12:$O$12*'C3 GEG Ops Aktual'!$D$11:$O$11)/SUMIF('C3 GEG Ops Aktual'!$D$5:$O$5,"&lt;="&amp;'C1 GEG Setting'!$C$6,'C3 GEG Ops Aktual'!$D$11:$O$11),0)</f>
        <v/>
      </c>
      <c r="K11" s="88">
        <f>IFERROR(SUMPRODUCT(('C2 GEG Ops Budget'!$D$5:$O$5&lt;='C1 GEG Setting'!$C$6)*'C2 GEG Ops Budget'!$D$12:$O$12*'C2 GEG Ops Budget'!$D$11:$O$11)/SUMIF('C2 GEG Ops Budget'!$D$5:$O$5,"&lt;="&amp;'C1 GEG Setting'!$C$6,'C2 GEG Ops Budget'!$D$11:$O$11),0)</f>
        <v/>
      </c>
      <c r="L11" s="89">
        <f>J11-K11</f>
        <v/>
      </c>
      <c r="M11" s="24">
        <f>IFERROR(L11/ABS(K11),"")</f>
        <v/>
      </c>
      <c r="N11" s="11">
        <f>IF($C11="","",IF(OR(AND($C11="H",J11&gt;=K11),AND($C11="L",J11&lt;=K11)),"Tercapai","Tidak tercapai"))</f>
        <v/>
      </c>
    </row>
    <row r="12">
      <c r="A12" s="10" t="inlineStr">
        <is>
          <t>Barging / pemuatan tongkang</t>
        </is>
      </c>
      <c r="B12" s="3" t="inlineStr">
        <is>
          <t>ton</t>
        </is>
      </c>
      <c r="C12" s="62" t="inlineStr">
        <is>
          <t>H</t>
        </is>
      </c>
      <c r="D12" s="28">
        <f>INDEX('C3 GEG Ops Aktual'!$D$13:$O$13,'C1 GEG Setting'!$C$6)</f>
        <v/>
      </c>
      <c r="E12" s="28">
        <f>INDEX('C2 GEG Ops Budget'!$D$13:$O$13,'C1 GEG Setting'!$C$6)</f>
        <v/>
      </c>
      <c r="F12" s="19">
        <f>D12-E12</f>
        <v/>
      </c>
      <c r="G12" s="24">
        <f>IFERROR(F12/ABS(E12),"")</f>
        <v/>
      </c>
      <c r="H12" s="11">
        <f>IF($C12="","",IF(OR(AND($C12="H",D12&gt;=E12),AND($C12="L",D12&lt;=E12)),"Tercapai","Tidak tercapai"))</f>
        <v/>
      </c>
      <c r="J12" s="28">
        <f>SUMIF('C3 GEG Ops Aktual'!$D$5:$O$5,"&lt;="&amp;'C1 GEG Setting'!$C$6,'C3 GEG Ops Aktual'!$D$13:$O$13)</f>
        <v/>
      </c>
      <c r="K12" s="28">
        <f>SUMIF('C2 GEG Ops Budget'!$D$5:$O$5,"&lt;="&amp;'C1 GEG Setting'!$C$6,'C2 GEG Ops Budget'!$D$13:$O$13)</f>
        <v/>
      </c>
      <c r="L12" s="19">
        <f>J12-K12</f>
        <v/>
      </c>
      <c r="M12" s="24">
        <f>IFERROR(L12/ABS(K12),"")</f>
        <v/>
      </c>
      <c r="N12" s="11">
        <f>IF($C12="","",IF(OR(AND($C12="H",J12&gt;=K12),AND($C12="L",J12&lt;=K12)),"Tercapai","Tidak tercapai"))</f>
        <v/>
      </c>
    </row>
    <row r="13">
      <c r="A13" s="10" t="inlineStr">
        <is>
          <t>Stok batubara akhir bulan (ROM + pelabuhan)</t>
        </is>
      </c>
      <c r="B13" s="3" t="inlineStr">
        <is>
          <t>ton</t>
        </is>
      </c>
      <c r="C13" s="62" t="inlineStr"/>
      <c r="D13" s="28">
        <f>INDEX('C3 GEG Ops Aktual'!$D$14:$O$14,'C1 GEG Setting'!$C$6)</f>
        <v/>
      </c>
      <c r="E13" s="28">
        <f>INDEX('C2 GEG Ops Budget'!$D$14:$O$14,'C1 GEG Setting'!$C$6)</f>
        <v/>
      </c>
      <c r="F13" s="19">
        <f>D13-E13</f>
        <v/>
      </c>
      <c r="G13" s="24">
        <f>IFERROR(F13/ABS(E13),"")</f>
        <v/>
      </c>
      <c r="H13" s="11">
        <f>IF($C13="","",IF(OR(AND($C13="H",D13&gt;=E13),AND($C13="L",D13&lt;=E13)),"Tercapai","Tidak tercapai"))</f>
        <v/>
      </c>
      <c r="J13" s="28">
        <f>INDEX('C3 GEG Ops Aktual'!$D$14:$O$14,'C1 GEG Setting'!$C$6)</f>
        <v/>
      </c>
      <c r="K13" s="28">
        <f>INDEX('C2 GEG Ops Budget'!$D$14:$O$14,'C1 GEG Setting'!$C$6)</f>
        <v/>
      </c>
      <c r="L13" s="19">
        <f>J13-K13</f>
        <v/>
      </c>
      <c r="M13" s="24">
        <f>IFERROR(L13/ABS(K13),"")</f>
        <v/>
      </c>
      <c r="N13" s="11">
        <f>IF($C13="","",IF(OR(AND($C13="H",J13&gt;=K13),AND($C13="L",J13&lt;=K13)),"Tercapai","Tidak tercapai"))</f>
        <v/>
      </c>
    </row>
    <row r="14">
      <c r="A14" s="4" t="inlineStr">
        <is>
          <t>PENJUALAN &amp; HARGA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10" t="inlineStr">
        <is>
          <t>Penjualan – Ekspor</t>
        </is>
      </c>
      <c r="B15" s="3" t="inlineStr">
        <is>
          <t>ton</t>
        </is>
      </c>
      <c r="C15" s="62" t="inlineStr">
        <is>
          <t>H</t>
        </is>
      </c>
      <c r="D15" s="28">
        <f>INDEX('C3 GEG Ops Aktual'!$D$16:$O$16,'C1 GEG Setting'!$C$6)</f>
        <v/>
      </c>
      <c r="E15" s="28">
        <f>INDEX('C2 GEG Ops Budget'!$D$16:$O$16,'C1 GEG Setting'!$C$6)</f>
        <v/>
      </c>
      <c r="F15" s="19">
        <f>D15-E15</f>
        <v/>
      </c>
      <c r="G15" s="24">
        <f>IFERROR(F15/ABS(E15),"")</f>
        <v/>
      </c>
      <c r="H15" s="11">
        <f>IF($C15="","",IF(OR(AND($C15="H",D15&gt;=E15),AND($C15="L",D15&lt;=E15)),"Tercapai","Tidak tercapai"))</f>
        <v/>
      </c>
      <c r="J15" s="28">
        <f>SUMIF('C3 GEG Ops Aktual'!$D$5:$O$5,"&lt;="&amp;'C1 GEG Setting'!$C$6,'C3 GEG Ops Aktual'!$D$16:$O$16)</f>
        <v/>
      </c>
      <c r="K15" s="28">
        <f>SUMIF('C2 GEG Ops Budget'!$D$5:$O$5,"&lt;="&amp;'C1 GEG Setting'!$C$6,'C2 GEG Ops Budget'!$D$16:$O$16)</f>
        <v/>
      </c>
      <c r="L15" s="19">
        <f>J15-K15</f>
        <v/>
      </c>
      <c r="M15" s="24">
        <f>IFERROR(L15/ABS(K15),"")</f>
        <v/>
      </c>
      <c r="N15" s="11">
        <f>IF($C15="","",IF(OR(AND($C15="H",J15&gt;=K15),AND($C15="L",J15&lt;=K15)),"Tercapai","Tidak tercapai"))</f>
        <v/>
      </c>
    </row>
    <row r="16">
      <c r="A16" s="10" t="inlineStr">
        <is>
          <t>Penjualan – Domestik DMO</t>
        </is>
      </c>
      <c r="B16" s="3" t="inlineStr">
        <is>
          <t>ton</t>
        </is>
      </c>
      <c r="C16" s="62" t="inlineStr">
        <is>
          <t>H</t>
        </is>
      </c>
      <c r="D16" s="28">
        <f>INDEX('C3 GEG Ops Aktual'!$D$17:$O$17,'C1 GEG Setting'!$C$6)</f>
        <v/>
      </c>
      <c r="E16" s="28">
        <f>INDEX('C2 GEG Ops Budget'!$D$17:$O$17,'C1 GEG Setting'!$C$6)</f>
        <v/>
      </c>
      <c r="F16" s="19">
        <f>D16-E16</f>
        <v/>
      </c>
      <c r="G16" s="24">
        <f>IFERROR(F16/ABS(E16),"")</f>
        <v/>
      </c>
      <c r="H16" s="11">
        <f>IF($C16="","",IF(OR(AND($C16="H",D16&gt;=E16),AND($C16="L",D16&lt;=E16)),"Tercapai","Tidak tercapai"))</f>
        <v/>
      </c>
      <c r="J16" s="28">
        <f>SUMIF('C3 GEG Ops Aktual'!$D$5:$O$5,"&lt;="&amp;'C1 GEG Setting'!$C$6,'C3 GEG Ops Aktual'!$D$17:$O$17)</f>
        <v/>
      </c>
      <c r="K16" s="28">
        <f>SUMIF('C2 GEG Ops Budget'!$D$5:$O$5,"&lt;="&amp;'C1 GEG Setting'!$C$6,'C2 GEG Ops Budget'!$D$17:$O$17)</f>
        <v/>
      </c>
      <c r="L16" s="19">
        <f>J16-K16</f>
        <v/>
      </c>
      <c r="M16" s="24">
        <f>IFERROR(L16/ABS(K16),"")</f>
        <v/>
      </c>
      <c r="N16" s="11">
        <f>IF($C16="","",IF(OR(AND($C16="H",J16&gt;=K16),AND($C16="L",J16&lt;=K16)),"Tercapai","Tidak tercapai"))</f>
        <v/>
      </c>
    </row>
    <row r="17">
      <c r="A17" s="10" t="inlineStr">
        <is>
          <t>Penjualan – Domestik non-DMO</t>
        </is>
      </c>
      <c r="B17" s="3" t="inlineStr">
        <is>
          <t>ton</t>
        </is>
      </c>
      <c r="C17" s="62" t="inlineStr">
        <is>
          <t>H</t>
        </is>
      </c>
      <c r="D17" s="28">
        <f>INDEX('C3 GEG Ops Aktual'!$D$18:$O$18,'C1 GEG Setting'!$C$6)</f>
        <v/>
      </c>
      <c r="E17" s="28">
        <f>INDEX('C2 GEG Ops Budget'!$D$18:$O$18,'C1 GEG Setting'!$C$6)</f>
        <v/>
      </c>
      <c r="F17" s="19">
        <f>D17-E17</f>
        <v/>
      </c>
      <c r="G17" s="24">
        <f>IFERROR(F17/ABS(E17),"")</f>
        <v/>
      </c>
      <c r="H17" s="11">
        <f>IF($C17="","",IF(OR(AND($C17="H",D17&gt;=E17),AND($C17="L",D17&lt;=E17)),"Tercapai","Tidak tercapai"))</f>
        <v/>
      </c>
      <c r="J17" s="28">
        <f>SUMIF('C3 GEG Ops Aktual'!$D$5:$O$5,"&lt;="&amp;'C1 GEG Setting'!$C$6,'C3 GEG Ops Aktual'!$D$18:$O$18)</f>
        <v/>
      </c>
      <c r="K17" s="28">
        <f>SUMIF('C2 GEG Ops Budget'!$D$5:$O$5,"&lt;="&amp;'C1 GEG Setting'!$C$6,'C2 GEG Ops Budget'!$D$18:$O$18)</f>
        <v/>
      </c>
      <c r="L17" s="19">
        <f>J17-K17</f>
        <v/>
      </c>
      <c r="M17" s="24">
        <f>IFERROR(L17/ABS(K17),"")</f>
        <v/>
      </c>
      <c r="N17" s="11">
        <f>IF($C17="","",IF(OR(AND($C17="H",J17&gt;=K17),AND($C17="L",J17&lt;=K17)),"Tercapai","Tidak tercapai"))</f>
        <v/>
      </c>
    </row>
    <row r="18">
      <c r="A18" s="10" t="inlineStr">
        <is>
          <t>Total penjualan</t>
        </is>
      </c>
      <c r="B18" s="3" t="inlineStr">
        <is>
          <t>ton</t>
        </is>
      </c>
      <c r="C18" s="62" t="inlineStr">
        <is>
          <t>H</t>
        </is>
      </c>
      <c r="D18" s="19">
        <f>D15+D16+D17</f>
        <v/>
      </c>
      <c r="E18" s="19">
        <f>E15+E16+E17</f>
        <v/>
      </c>
      <c r="F18" s="19">
        <f>D18-E18</f>
        <v/>
      </c>
      <c r="G18" s="24">
        <f>IFERROR(F18/ABS(E18),"")</f>
        <v/>
      </c>
      <c r="H18" s="11">
        <f>IF($C18="","",IF(OR(AND($C18="H",D18&gt;=E18),AND($C18="L",D18&lt;=E18)),"Tercapai","Tidak tercapai"))</f>
        <v/>
      </c>
      <c r="J18" s="19">
        <f>J15+J16+J17</f>
        <v/>
      </c>
      <c r="K18" s="19">
        <f>K15+K16+K17</f>
        <v/>
      </c>
      <c r="L18" s="19">
        <f>J18-K18</f>
        <v/>
      </c>
      <c r="M18" s="24">
        <f>IFERROR(L18/ABS(K18),"")</f>
        <v/>
      </c>
      <c r="N18" s="11">
        <f>IF($C18="","",IF(OR(AND($C18="H",J18&gt;=K18),AND($C18="L",J18&lt;=K18)),"Tercapai","Tidak tercapai"))</f>
        <v/>
      </c>
    </row>
    <row r="19">
      <c r="A19" s="10" t="inlineStr">
        <is>
          <t>ASP – Ekspor</t>
        </is>
      </c>
      <c r="B19" s="3" t="inlineStr">
        <is>
          <t>USD/t</t>
        </is>
      </c>
      <c r="C19" s="62" t="inlineStr">
        <is>
          <t>H</t>
        </is>
      </c>
      <c r="D19" s="39">
        <f>INDEX('C3 GEG Ops Aktual'!$D$20:$O$20,'C1 GEG Setting'!$C$6)</f>
        <v/>
      </c>
      <c r="E19" s="39">
        <f>INDEX('C2 GEG Ops Budget'!$D$20:$O$20,'C1 GEG Setting'!$C$6)</f>
        <v/>
      </c>
      <c r="F19" s="47">
        <f>D19-E19</f>
        <v/>
      </c>
      <c r="G19" s="24">
        <f>IFERROR(F19/ABS(E19),"")</f>
        <v/>
      </c>
      <c r="H19" s="11">
        <f>IF($C19="","",IF(OR(AND($C19="H",D19&gt;=E19),AND($C19="L",D19&lt;=E19)),"Tercapai","Tidak tercapai"))</f>
        <v/>
      </c>
      <c r="J19" s="39">
        <f>IFERROR(SUMPRODUCT(('C3 GEG Ops Aktual'!$D$5:$O$5&lt;='C1 GEG Setting'!$C$6)*'C3 GEG Ops Aktual'!$D$20:$O$20*'C3 GEG Ops Aktual'!$D$16:$O$16)/SUMIF('C3 GEG Ops Aktual'!$D$5:$O$5,"&lt;="&amp;'C1 GEG Setting'!$C$6,'C3 GEG Ops Aktual'!$D$16:$O$16),0)</f>
        <v/>
      </c>
      <c r="K19" s="39">
        <f>IFERROR(SUMPRODUCT(('C2 GEG Ops Budget'!$D$5:$O$5&lt;='C1 GEG Setting'!$C$6)*'C2 GEG Ops Budget'!$D$20:$O$20*'C2 GEG Ops Budget'!$D$16:$O$16)/SUMIF('C2 GEG Ops Budget'!$D$5:$O$5,"&lt;="&amp;'C1 GEG Setting'!$C$6,'C2 GEG Ops Budget'!$D$16:$O$16),0)</f>
        <v/>
      </c>
      <c r="L19" s="47">
        <f>J19-K19</f>
        <v/>
      </c>
      <c r="M19" s="24">
        <f>IFERROR(L19/ABS(K19),"")</f>
        <v/>
      </c>
      <c r="N19" s="11">
        <f>IF($C19="","",IF(OR(AND($C19="H",J19&gt;=K19),AND($C19="L",J19&lt;=K19)),"Tercapai","Tidak tercapai"))</f>
        <v/>
      </c>
    </row>
    <row r="20">
      <c r="A20" s="10" t="inlineStr">
        <is>
          <t>ASP – Domestik DMO</t>
        </is>
      </c>
      <c r="B20" s="3" t="inlineStr">
        <is>
          <t>USD/t</t>
        </is>
      </c>
      <c r="C20" s="62" t="inlineStr">
        <is>
          <t>H</t>
        </is>
      </c>
      <c r="D20" s="39">
        <f>INDEX('C3 GEG Ops Aktual'!$D$21:$O$21,'C1 GEG Setting'!$C$6)</f>
        <v/>
      </c>
      <c r="E20" s="39">
        <f>INDEX('C2 GEG Ops Budget'!$D$21:$O$21,'C1 GEG Setting'!$C$6)</f>
        <v/>
      </c>
      <c r="F20" s="47">
        <f>D20-E20</f>
        <v/>
      </c>
      <c r="G20" s="24">
        <f>IFERROR(F20/ABS(E20),"")</f>
        <v/>
      </c>
      <c r="H20" s="11">
        <f>IF($C20="","",IF(OR(AND($C20="H",D20&gt;=E20),AND($C20="L",D20&lt;=E20)),"Tercapai","Tidak tercapai"))</f>
        <v/>
      </c>
      <c r="J20" s="39">
        <f>IFERROR(SUMPRODUCT(('C3 GEG Ops Aktual'!$D$5:$O$5&lt;='C1 GEG Setting'!$C$6)*'C3 GEG Ops Aktual'!$D$21:$O$21*'C3 GEG Ops Aktual'!$D$17:$O$17)/SUMIF('C3 GEG Ops Aktual'!$D$5:$O$5,"&lt;="&amp;'C1 GEG Setting'!$C$6,'C3 GEG Ops Aktual'!$D$17:$O$17),0)</f>
        <v/>
      </c>
      <c r="K20" s="39">
        <f>IFERROR(SUMPRODUCT(('C2 GEG Ops Budget'!$D$5:$O$5&lt;='C1 GEG Setting'!$C$6)*'C2 GEG Ops Budget'!$D$21:$O$21*'C2 GEG Ops Budget'!$D$17:$O$17)/SUMIF('C2 GEG Ops Budget'!$D$5:$O$5,"&lt;="&amp;'C1 GEG Setting'!$C$6,'C2 GEG Ops Budget'!$D$17:$O$17),0)</f>
        <v/>
      </c>
      <c r="L20" s="47">
        <f>J20-K20</f>
        <v/>
      </c>
      <c r="M20" s="24">
        <f>IFERROR(L20/ABS(K20),"")</f>
        <v/>
      </c>
      <c r="N20" s="11">
        <f>IF($C20="","",IF(OR(AND($C20="H",J20&gt;=K20),AND($C20="L",J20&lt;=K20)),"Tercapai","Tidak tercapai"))</f>
        <v/>
      </c>
    </row>
    <row r="21">
      <c r="A21" s="10" t="inlineStr">
        <is>
          <t>ASP – Domestik non-DMO</t>
        </is>
      </c>
      <c r="B21" s="3" t="inlineStr">
        <is>
          <t>USD/t</t>
        </is>
      </c>
      <c r="C21" s="62" t="inlineStr">
        <is>
          <t>H</t>
        </is>
      </c>
      <c r="D21" s="39">
        <f>INDEX('C3 GEG Ops Aktual'!$D$22:$O$22,'C1 GEG Setting'!$C$6)</f>
        <v/>
      </c>
      <c r="E21" s="39">
        <f>INDEX('C2 GEG Ops Budget'!$D$22:$O$22,'C1 GEG Setting'!$C$6)</f>
        <v/>
      </c>
      <c r="F21" s="47">
        <f>D21-E21</f>
        <v/>
      </c>
      <c r="G21" s="24">
        <f>IFERROR(F21/ABS(E21),"")</f>
        <v/>
      </c>
      <c r="H21" s="11">
        <f>IF($C21="","",IF(OR(AND($C21="H",D21&gt;=E21),AND($C21="L",D21&lt;=E21)),"Tercapai","Tidak tercapai"))</f>
        <v/>
      </c>
      <c r="J21" s="39">
        <f>IFERROR(SUMPRODUCT(('C3 GEG Ops Aktual'!$D$5:$O$5&lt;='C1 GEG Setting'!$C$6)*'C3 GEG Ops Aktual'!$D$22:$O$22*'C3 GEG Ops Aktual'!$D$18:$O$18)/SUMIF('C3 GEG Ops Aktual'!$D$5:$O$5,"&lt;="&amp;'C1 GEG Setting'!$C$6,'C3 GEG Ops Aktual'!$D$18:$O$18),0)</f>
        <v/>
      </c>
      <c r="K21" s="39">
        <f>IFERROR(SUMPRODUCT(('C2 GEG Ops Budget'!$D$5:$O$5&lt;='C1 GEG Setting'!$C$6)*'C2 GEG Ops Budget'!$D$22:$O$22*'C2 GEG Ops Budget'!$D$18:$O$18)/SUMIF('C2 GEG Ops Budget'!$D$5:$O$5,"&lt;="&amp;'C1 GEG Setting'!$C$6,'C2 GEG Ops Budget'!$D$18:$O$18),0)</f>
        <v/>
      </c>
      <c r="L21" s="47">
        <f>J21-K21</f>
        <v/>
      </c>
      <c r="M21" s="24">
        <f>IFERROR(L21/ABS(K21),"")</f>
        <v/>
      </c>
      <c r="N21" s="11">
        <f>IF($C21="","",IF(OR(AND($C21="H",J21&gt;=K21),AND($C21="L",J21&lt;=K21)),"Tercapai","Tidak tercapai"))</f>
        <v/>
      </c>
    </row>
    <row r="22">
      <c r="A22" s="10" t="inlineStr">
        <is>
          <t>Harga indeks acuan (HBA/ICI setara CV)</t>
        </is>
      </c>
      <c r="B22" s="3" t="inlineStr">
        <is>
          <t>USD/t</t>
        </is>
      </c>
      <c r="C22" s="62" t="inlineStr"/>
      <c r="D22" s="39">
        <f>INDEX('C3 GEG Ops Aktual'!$D$23:$O$23,'C1 GEG Setting'!$C$6)</f>
        <v/>
      </c>
      <c r="E22" s="39">
        <f>INDEX('C2 GEG Ops Budget'!$D$23:$O$23,'C1 GEG Setting'!$C$6)</f>
        <v/>
      </c>
      <c r="F22" s="47">
        <f>D22-E22</f>
        <v/>
      </c>
      <c r="G22" s="24">
        <f>IFERROR(F22/ABS(E22),"")</f>
        <v/>
      </c>
      <c r="H22" s="11">
        <f>IF($C22="","",IF(OR(AND($C22="H",D22&gt;=E22),AND($C22="L",D22&lt;=E22)),"Tercapai","Tidak tercapai"))</f>
        <v/>
      </c>
      <c r="J22" s="39">
        <f>IFERROR(AVERAGEIFS('C3 GEG Ops Aktual'!$D$23:$O$23,'C3 GEG Ops Aktual'!$D$5:$O$5,"&lt;="&amp;'C1 GEG Setting'!$C$6),0)</f>
        <v/>
      </c>
      <c r="K22" s="39">
        <f>IFERROR(AVERAGEIFS('C2 GEG Ops Budget'!$D$23:$O$23,'C2 GEG Ops Budget'!$D$5:$O$5,"&lt;="&amp;'C1 GEG Setting'!$C$6),0)</f>
        <v/>
      </c>
      <c r="L22" s="47">
        <f>J22-K22</f>
        <v/>
      </c>
      <c r="M22" s="24">
        <f>IFERROR(L22/ABS(K22),"")</f>
        <v/>
      </c>
      <c r="N22" s="11">
        <f>IF($C22="","",IF(OR(AND($C22="H",J22&gt;=K22),AND($C22="L",J22&lt;=K22)),"Tercapai","Tidak tercapai"))</f>
        <v/>
      </c>
    </row>
    <row r="23">
      <c r="A23" s="10" t="inlineStr">
        <is>
          <t>Nilai kalori realisasi</t>
        </is>
      </c>
      <c r="B23" s="3" t="inlineStr">
        <is>
          <t>kcal/kg GAR</t>
        </is>
      </c>
      <c r="C23" s="62" t="inlineStr">
        <is>
          <t>H</t>
        </is>
      </c>
      <c r="D23" s="28">
        <f>INDEX('C3 GEG Ops Aktual'!$D$24:$O$24,'C1 GEG Setting'!$C$6)</f>
        <v/>
      </c>
      <c r="E23" s="28">
        <f>INDEX('C2 GEG Ops Budget'!$D$24:$O$24,'C1 GEG Setting'!$C$6)</f>
        <v/>
      </c>
      <c r="F23" s="19">
        <f>D23-E23</f>
        <v/>
      </c>
      <c r="G23" s="24">
        <f>IFERROR(F23/ABS(E23),"")</f>
        <v/>
      </c>
      <c r="H23" s="11">
        <f>IF($C23="","",IF(OR(AND($C23="H",D23&gt;=E23),AND($C23="L",D23&lt;=E23)),"Tercapai","Tidak tercapai"))</f>
        <v/>
      </c>
      <c r="J23" s="28">
        <f>IFERROR(SUMPRODUCT(('C3 GEG Ops Aktual'!$D$5:$O$5&lt;='C1 GEG Setting'!$C$6)*'C3 GEG Ops Aktual'!$D$24:$O$24*'C3 GEG Ops Aktual'!$D$19:$O$19)/SUMIF('C3 GEG Ops Aktual'!$D$5:$O$5,"&lt;="&amp;'C1 GEG Setting'!$C$6,'C3 GEG Ops Aktual'!$D$19:$O$19),0)</f>
        <v/>
      </c>
      <c r="K23" s="28">
        <f>IFERROR(SUMPRODUCT(('C2 GEG Ops Budget'!$D$5:$O$5&lt;='C1 GEG Setting'!$C$6)*'C2 GEG Ops Budget'!$D$24:$O$24*'C2 GEG Ops Budget'!$D$19:$O$19)/SUMIF('C2 GEG Ops Budget'!$D$5:$O$5,"&lt;="&amp;'C1 GEG Setting'!$C$6,'C2 GEG Ops Budget'!$D$19:$O$19),0)</f>
        <v/>
      </c>
      <c r="L23" s="19">
        <f>J23-K23</f>
        <v/>
      </c>
      <c r="M23" s="24">
        <f>IFERROR(L23/ABS(K23),"")</f>
        <v/>
      </c>
      <c r="N23" s="11">
        <f>IF($C23="","",IF(OR(AND($C23="H",J23&gt;=K23),AND($C23="L",J23&lt;=K23)),"Tercapai","Tidak tercapai"))</f>
        <v/>
      </c>
    </row>
    <row r="24">
      <c r="A24" s="10" t="inlineStr">
        <is>
          <t>Kurs rata-rata</t>
        </is>
      </c>
      <c r="B24" s="3" t="inlineStr">
        <is>
          <t>Rp/USD</t>
        </is>
      </c>
      <c r="C24" s="62" t="inlineStr"/>
      <c r="D24" s="28">
        <f>INDEX('C3 GEG Ops Aktual'!$D$25:$O$25,'C1 GEG Setting'!$C$6)</f>
        <v/>
      </c>
      <c r="E24" s="28">
        <f>INDEX('C2 GEG Ops Budget'!$D$25:$O$25,'C1 GEG Setting'!$C$6)</f>
        <v/>
      </c>
      <c r="F24" s="19">
        <f>D24-E24</f>
        <v/>
      </c>
      <c r="G24" s="24">
        <f>IFERROR(F24/ABS(E24),"")</f>
        <v/>
      </c>
      <c r="H24" s="11">
        <f>IF($C24="","",IF(OR(AND($C24="H",D24&gt;=E24),AND($C24="L",D24&lt;=E24)),"Tercapai","Tidak tercapai"))</f>
        <v/>
      </c>
      <c r="J24" s="28">
        <f>IFERROR(AVERAGEIFS('C3 GEG Ops Aktual'!$D$25:$O$25,'C3 GEG Ops Aktual'!$D$5:$O$5,"&lt;="&amp;'C1 GEG Setting'!$C$6),0)</f>
        <v/>
      </c>
      <c r="K24" s="28">
        <f>IFERROR(AVERAGEIFS('C2 GEG Ops Budget'!$D$25:$O$25,'C2 GEG Ops Budget'!$D$5:$O$5,"&lt;="&amp;'C1 GEG Setting'!$C$6),0)</f>
        <v/>
      </c>
      <c r="L24" s="19">
        <f>J24-K24</f>
        <v/>
      </c>
      <c r="M24" s="24">
        <f>IFERROR(L24/ABS(K24),"")</f>
        <v/>
      </c>
      <c r="N24" s="11">
        <f>IF($C24="","",IF(OR(AND($C24="H",J24&gt;=K24),AND($C24="L",J24&lt;=K24)),"Tercapai","Tidak tercapai"))</f>
        <v/>
      </c>
    </row>
    <row r="25">
      <c r="A25" s="4" t="inlineStr">
        <is>
          <t>SARANA, BBM &amp; CUACA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10" t="inlineStr">
        <is>
          <t>Konsumsi BBM</t>
        </is>
      </c>
      <c r="B26" s="3" t="inlineStr">
        <is>
          <t>liter</t>
        </is>
      </c>
      <c r="C26" s="62" t="inlineStr">
        <is>
          <t>L</t>
        </is>
      </c>
      <c r="D26" s="28">
        <f>INDEX('C3 GEG Ops Aktual'!$D$27:$O$27,'C1 GEG Setting'!$C$6)</f>
        <v/>
      </c>
      <c r="E26" s="28">
        <f>INDEX('C2 GEG Ops Budget'!$D$27:$O$27,'C1 GEG Setting'!$C$6)</f>
        <v/>
      </c>
      <c r="F26" s="19">
        <f>D26-E26</f>
        <v/>
      </c>
      <c r="G26" s="24">
        <f>IFERROR(F26/ABS(E26),"")</f>
        <v/>
      </c>
      <c r="H26" s="11">
        <f>IF($C26="","",IF(OR(AND($C26="H",D26&gt;=E26),AND($C26="L",D26&lt;=E26)),"Tercapai","Tidak tercapai"))</f>
        <v/>
      </c>
      <c r="J26" s="28">
        <f>SUMIF('C3 GEG Ops Aktual'!$D$5:$O$5,"&lt;="&amp;'C1 GEG Setting'!$C$6,'C3 GEG Ops Aktual'!$D$27:$O$27)</f>
        <v/>
      </c>
      <c r="K26" s="28">
        <f>SUMIF('C2 GEG Ops Budget'!$D$5:$O$5,"&lt;="&amp;'C1 GEG Setting'!$C$6,'C2 GEG Ops Budget'!$D$27:$O$27)</f>
        <v/>
      </c>
      <c r="L26" s="19">
        <f>J26-K26</f>
        <v/>
      </c>
      <c r="M26" s="24">
        <f>IFERROR(L26/ABS(K26),"")</f>
        <v/>
      </c>
      <c r="N26" s="11">
        <f>IF($C26="","",IF(OR(AND($C26="H",J26&gt;=K26),AND($C26="L",J26&lt;=K26)),"Tercapai","Tidak tercapai"))</f>
        <v/>
      </c>
    </row>
    <row r="27">
      <c r="A27" s="10" t="inlineStr">
        <is>
          <t>Fuel ratio</t>
        </is>
      </c>
      <c r="B27" s="3" t="inlineStr">
        <is>
          <t>L/bcm</t>
        </is>
      </c>
      <c r="C27" s="62" t="inlineStr">
        <is>
          <t>L</t>
        </is>
      </c>
      <c r="D27" s="47">
        <f>IFERROR(D26/D7,0)</f>
        <v/>
      </c>
      <c r="E27" s="47">
        <f>IFERROR(E26/E7,0)</f>
        <v/>
      </c>
      <c r="F27" s="47">
        <f>D27-E27</f>
        <v/>
      </c>
      <c r="G27" s="24">
        <f>IFERROR(F27/ABS(E27),"")</f>
        <v/>
      </c>
      <c r="H27" s="11">
        <f>IF($C27="","",IF(OR(AND($C27="H",D27&gt;=E27),AND($C27="L",D27&lt;=E27)),"Tercapai","Tidak tercapai"))</f>
        <v/>
      </c>
      <c r="J27" s="47">
        <f>IFERROR(J26/J7,0)</f>
        <v/>
      </c>
      <c r="K27" s="47">
        <f>IFERROR(K26/K7,0)</f>
        <v/>
      </c>
      <c r="L27" s="47">
        <f>J27-K27</f>
        <v/>
      </c>
      <c r="M27" s="24">
        <f>IFERROR(L27/ABS(K27),"")</f>
        <v/>
      </c>
      <c r="N27" s="11">
        <f>IF($C27="","",IF(OR(AND($C27="H",J27&gt;=K27),AND($C27="L",J27&lt;=K27)),"Tercapai","Tidak tercapai"))</f>
        <v/>
      </c>
    </row>
    <row r="28">
      <c r="A28" s="10" t="inlineStr">
        <is>
          <t>Jam hujan + slippery</t>
        </is>
      </c>
      <c r="B28" s="3" t="inlineStr">
        <is>
          <t>jam</t>
        </is>
      </c>
      <c r="C28" s="62" t="inlineStr"/>
      <c r="D28" s="28">
        <f>INDEX('C3 GEG Ops Aktual'!$D$29:$O$29,'C1 GEG Setting'!$C$6)</f>
        <v/>
      </c>
      <c r="E28" s="28">
        <f>INDEX('C2 GEG Ops Budget'!$D$29:$O$29,'C1 GEG Setting'!$C$6)</f>
        <v/>
      </c>
      <c r="F28" s="19">
        <f>D28-E28</f>
        <v/>
      </c>
      <c r="G28" s="24">
        <f>IFERROR(F28/ABS(E28),"")</f>
        <v/>
      </c>
      <c r="H28" s="11">
        <f>IF($C28="","",IF(OR(AND($C28="H",D28&gt;=E28),AND($C28="L",D28&lt;=E28)),"Tercapai","Tidak tercapai"))</f>
        <v/>
      </c>
      <c r="J28" s="28">
        <f>SUMIF('C3 GEG Ops Aktual'!$D$5:$O$5,"&lt;="&amp;'C1 GEG Setting'!$C$6,'C3 GEG Ops Aktual'!$D$29:$O$29)</f>
        <v/>
      </c>
      <c r="K28" s="28">
        <f>SUMIF('C2 GEG Ops Budget'!$D$5:$O$5,"&lt;="&amp;'C1 GEG Setting'!$C$6,'C2 GEG Ops Budget'!$D$29:$O$29)</f>
        <v/>
      </c>
      <c r="L28" s="19">
        <f>J28-K28</f>
        <v/>
      </c>
      <c r="M28" s="24">
        <f>IFERROR(L28/ABS(K28),"")</f>
        <v/>
      </c>
      <c r="N28" s="11">
        <f>IF($C28="","",IF(OR(AND($C28="H",J28&gt;=K28),AND($C28="L",J28&lt;=K28)),"Tercapai","Tidak tercapai"))</f>
        <v/>
      </c>
    </row>
    <row r="29">
      <c r="A29" s="10" t="inlineStr">
        <is>
          <t>Physical availability (PA) armada utama</t>
        </is>
      </c>
      <c r="B29" s="3" t="inlineStr">
        <is>
          <t>%</t>
        </is>
      </c>
      <c r="C29" s="62" t="inlineStr">
        <is>
          <t>H</t>
        </is>
      </c>
      <c r="D29" s="42">
        <f>INDEX('C3 GEG Ops Aktual'!$D$30:$O$30,'C1 GEG Setting'!$C$6)</f>
        <v/>
      </c>
      <c r="E29" s="42">
        <f>INDEX('C2 GEG Ops Budget'!$D$30:$O$30,'C1 GEG Setting'!$C$6)</f>
        <v/>
      </c>
      <c r="F29" s="24">
        <f>D29-E29</f>
        <v/>
      </c>
      <c r="G29" s="24">
        <f>IFERROR(F29/ABS(E29),"")</f>
        <v/>
      </c>
      <c r="H29" s="11">
        <f>IF($C29="","",IF(OR(AND($C29="H",D29&gt;=E29),AND($C29="L",D29&lt;=E29)),"Tercapai","Tidak tercapai"))</f>
        <v/>
      </c>
      <c r="J29" s="42">
        <f>IFERROR(AVERAGEIFS('C3 GEG Ops Aktual'!$D$30:$O$30,'C3 GEG Ops Aktual'!$D$5:$O$5,"&lt;="&amp;'C1 GEG Setting'!$C$6),0)</f>
        <v/>
      </c>
      <c r="K29" s="42">
        <f>IFERROR(AVERAGEIFS('C2 GEG Ops Budget'!$D$30:$O$30,'C2 GEG Ops Budget'!$D$5:$O$5,"&lt;="&amp;'C1 GEG Setting'!$C$6),0)</f>
        <v/>
      </c>
      <c r="L29" s="24">
        <f>J29-K29</f>
        <v/>
      </c>
      <c r="M29" s="24">
        <f>IFERROR(L29/ABS(K29),"")</f>
        <v/>
      </c>
      <c r="N29" s="11">
        <f>IF($C29="","",IF(OR(AND($C29="H",J29&gt;=K29),AND($C29="L",J29&lt;=K29)),"Tercapai","Tidak tercapai"))</f>
        <v/>
      </c>
    </row>
    <row r="30">
      <c r="A30" s="10" t="inlineStr">
        <is>
          <t>Use of availability (UA) armada utama</t>
        </is>
      </c>
      <c r="B30" s="3" t="inlineStr">
        <is>
          <t>%</t>
        </is>
      </c>
      <c r="C30" s="62" t="inlineStr">
        <is>
          <t>H</t>
        </is>
      </c>
      <c r="D30" s="42">
        <f>INDEX('C3 GEG Ops Aktual'!$D$31:$O$31,'C1 GEG Setting'!$C$6)</f>
        <v/>
      </c>
      <c r="E30" s="42">
        <f>INDEX('C2 GEG Ops Budget'!$D$31:$O$31,'C1 GEG Setting'!$C$6)</f>
        <v/>
      </c>
      <c r="F30" s="24">
        <f>D30-E30</f>
        <v/>
      </c>
      <c r="G30" s="24">
        <f>IFERROR(F30/ABS(E30),"")</f>
        <v/>
      </c>
      <c r="H30" s="11">
        <f>IF($C30="","",IF(OR(AND($C30="H",D30&gt;=E30),AND($C30="L",D30&lt;=E30)),"Tercapai","Tidak tercapai"))</f>
        <v/>
      </c>
      <c r="J30" s="42">
        <f>IFERROR(AVERAGEIFS('C3 GEG Ops Aktual'!$D$31:$O$31,'C3 GEG Ops Aktual'!$D$5:$O$5,"&lt;="&amp;'C1 GEG Setting'!$C$6),0)</f>
        <v/>
      </c>
      <c r="K30" s="42">
        <f>IFERROR(AVERAGEIFS('C2 GEG Ops Budget'!$D$31:$O$31,'C2 GEG Ops Budget'!$D$5:$O$5,"&lt;="&amp;'C1 GEG Setting'!$C$6),0)</f>
        <v/>
      </c>
      <c r="L30" s="24">
        <f>J30-K30</f>
        <v/>
      </c>
      <c r="M30" s="24">
        <f>IFERROR(L30/ABS(K30),"")</f>
        <v/>
      </c>
      <c r="N30" s="11">
        <f>IF($C30="","",IF(OR(AND($C30="H",J30&gt;=K30),AND($C30="L",J30&lt;=K30)),"Tercapai","Tidak tercapai"))</f>
        <v/>
      </c>
    </row>
    <row r="31">
      <c r="A31" s="4" t="inlineStr">
        <is>
          <t>SDM, K3 &amp; LINGKUNGAN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10" t="inlineStr">
        <is>
          <t>Jumlah tenaga kerja (organik + kontraktor)</t>
        </is>
      </c>
      <c r="B32" s="3" t="inlineStr">
        <is>
          <t>orang</t>
        </is>
      </c>
      <c r="C32" s="62" t="inlineStr"/>
      <c r="D32" s="28">
        <f>INDEX('C3 GEG Ops Aktual'!$D$33:$O$33,'C1 GEG Setting'!$C$6)</f>
        <v/>
      </c>
      <c r="E32" s="28">
        <f>INDEX('C2 GEG Ops Budget'!$D$33:$O$33,'C1 GEG Setting'!$C$6)</f>
        <v/>
      </c>
      <c r="F32" s="19">
        <f>D32-E32</f>
        <v/>
      </c>
      <c r="G32" s="24">
        <f>IFERROR(F32/ABS(E32),"")</f>
        <v/>
      </c>
      <c r="H32" s="11">
        <f>IF($C32="","",IF(OR(AND($C32="H",D32&gt;=E32),AND($C32="L",D32&lt;=E32)),"Tercapai","Tidak tercapai"))</f>
        <v/>
      </c>
      <c r="J32" s="28">
        <f>INDEX('C3 GEG Ops Aktual'!$D$33:$O$33,'C1 GEG Setting'!$C$6)</f>
        <v/>
      </c>
      <c r="K32" s="28">
        <f>INDEX('C2 GEG Ops Budget'!$D$33:$O$33,'C1 GEG Setting'!$C$6)</f>
        <v/>
      </c>
      <c r="L32" s="19">
        <f>J32-K32</f>
        <v/>
      </c>
      <c r="M32" s="24">
        <f>IFERROR(L32/ABS(K32),"")</f>
        <v/>
      </c>
      <c r="N32" s="11">
        <f>IF($C32="","",IF(OR(AND($C32="H",J32&gt;=K32),AND($C32="L",J32&lt;=K32)),"Tercapai","Tidak tercapai"))</f>
        <v/>
      </c>
    </row>
    <row r="33">
      <c r="A33" s="10" t="inlineStr">
        <is>
          <t>Jam kerja orang (man-hours)</t>
        </is>
      </c>
      <c r="B33" s="3" t="inlineStr">
        <is>
          <t>jam</t>
        </is>
      </c>
      <c r="C33" s="62" t="inlineStr"/>
      <c r="D33" s="28">
        <f>INDEX('C3 GEG Ops Aktual'!$D$34:$O$34,'C1 GEG Setting'!$C$6)</f>
        <v/>
      </c>
      <c r="E33" s="28">
        <f>INDEX('C2 GEG Ops Budget'!$D$34:$O$34,'C1 GEG Setting'!$C$6)</f>
        <v/>
      </c>
      <c r="F33" s="19">
        <f>D33-E33</f>
        <v/>
      </c>
      <c r="G33" s="24">
        <f>IFERROR(F33/ABS(E33),"")</f>
        <v/>
      </c>
      <c r="H33" s="11">
        <f>IF($C33="","",IF(OR(AND($C33="H",D33&gt;=E33),AND($C33="L",D33&lt;=E33)),"Tercapai","Tidak tercapai"))</f>
        <v/>
      </c>
      <c r="J33" s="28">
        <f>SUMIF('C3 GEG Ops Aktual'!$D$5:$O$5,"&lt;="&amp;'C1 GEG Setting'!$C$6,'C3 GEG Ops Aktual'!$D$34:$O$34)</f>
        <v/>
      </c>
      <c r="K33" s="28">
        <f>SUMIF('C2 GEG Ops Budget'!$D$5:$O$5,"&lt;="&amp;'C1 GEG Setting'!$C$6,'C2 GEG Ops Budget'!$D$34:$O$34)</f>
        <v/>
      </c>
      <c r="L33" s="19">
        <f>J33-K33</f>
        <v/>
      </c>
      <c r="M33" s="24">
        <f>IFERROR(L33/ABS(K33),"")</f>
        <v/>
      </c>
      <c r="N33" s="11">
        <f>IF($C33="","",IF(OR(AND($C33="H",J33&gt;=K33),AND($C33="L",J33&lt;=K33)),"Tercapai","Tidak tercapai"))</f>
        <v/>
      </c>
    </row>
    <row r="34">
      <c r="A34" s="10" t="inlineStr">
        <is>
          <t>Kecelakaan hilang waktu kerja (LTI)</t>
        </is>
      </c>
      <c r="B34" s="3" t="inlineStr">
        <is>
          <t>kasus</t>
        </is>
      </c>
      <c r="C34" s="62" t="inlineStr">
        <is>
          <t>L</t>
        </is>
      </c>
      <c r="D34" s="28">
        <f>INDEX('C3 GEG Ops Aktual'!$D$35:$O$35,'C1 GEG Setting'!$C$6)</f>
        <v/>
      </c>
      <c r="E34" s="28">
        <f>INDEX('C2 GEG Ops Budget'!$D$35:$O$35,'C1 GEG Setting'!$C$6)</f>
        <v/>
      </c>
      <c r="F34" s="19">
        <f>D34-E34</f>
        <v/>
      </c>
      <c r="G34" s="24">
        <f>IFERROR(F34/ABS(E34),"")</f>
        <v/>
      </c>
      <c r="H34" s="11">
        <f>IF($C34="","",IF(OR(AND($C34="H",D34&gt;=E34),AND($C34="L",D34&lt;=E34)),"Tercapai","Tidak tercapai"))</f>
        <v/>
      </c>
      <c r="J34" s="28">
        <f>SUMIF('C3 GEG Ops Aktual'!$D$5:$O$5,"&lt;="&amp;'C1 GEG Setting'!$C$6,'C3 GEG Ops Aktual'!$D$35:$O$35)</f>
        <v/>
      </c>
      <c r="K34" s="28">
        <f>SUMIF('C2 GEG Ops Budget'!$D$5:$O$5,"&lt;="&amp;'C1 GEG Setting'!$C$6,'C2 GEG Ops Budget'!$D$35:$O$35)</f>
        <v/>
      </c>
      <c r="L34" s="19">
        <f>J34-K34</f>
        <v/>
      </c>
      <c r="M34" s="24">
        <f>IFERROR(L34/ABS(K34),"")</f>
        <v/>
      </c>
      <c r="N34" s="11">
        <f>IF($C34="","",IF(OR(AND($C34="H",J34&gt;=K34),AND($C34="L",J34&lt;=K34)),"Tercapai","Tidak tercapai"))</f>
        <v/>
      </c>
    </row>
    <row r="35">
      <c r="A35" s="10" t="inlineStr">
        <is>
          <t>LTIFR</t>
        </is>
      </c>
      <c r="B35" s="3" t="inlineStr">
        <is>
          <t>per 1 juta jam</t>
        </is>
      </c>
      <c r="C35" s="62" t="inlineStr">
        <is>
          <t>L</t>
        </is>
      </c>
      <c r="D35" s="47">
        <f>IFERROR(D34*1000000/D33,0)</f>
        <v/>
      </c>
      <c r="E35" s="47">
        <f>IFERROR(E34*1000000/E33,0)</f>
        <v/>
      </c>
      <c r="F35" s="47">
        <f>D35-E35</f>
        <v/>
      </c>
      <c r="G35" s="24">
        <f>IFERROR(F35/ABS(E35),"")</f>
        <v/>
      </c>
      <c r="H35" s="11">
        <f>IF($C35="","",IF(OR(AND($C35="H",D35&gt;=E35),AND($C35="L",D35&lt;=E35)),"Tercapai","Tidak tercapai"))</f>
        <v/>
      </c>
      <c r="J35" s="47">
        <f>IFERROR(J34*1000000/J33,0)</f>
        <v/>
      </c>
      <c r="K35" s="47">
        <f>IFERROR(K34*1000000/K33,0)</f>
        <v/>
      </c>
      <c r="L35" s="47">
        <f>J35-K35</f>
        <v/>
      </c>
      <c r="M35" s="24">
        <f>IFERROR(L35/ABS(K35),"")</f>
        <v/>
      </c>
      <c r="N35" s="11">
        <f>IF($C35="","",IF(OR(AND($C35="H",J35&gt;=K35),AND($C35="L",J35&lt;=K35)),"Tercapai","Tidak tercapai"))</f>
        <v/>
      </c>
    </row>
    <row r="36">
      <c r="A36" s="10" t="inlineStr">
        <is>
          <t>Bukaan lahan</t>
        </is>
      </c>
      <c r="B36" s="3" t="inlineStr">
        <is>
          <t>ha</t>
        </is>
      </c>
      <c r="C36" s="62" t="inlineStr"/>
      <c r="D36" s="88">
        <f>INDEX('C3 GEG Ops Aktual'!$D$37:$O$37,'C1 GEG Setting'!$C$6)</f>
        <v/>
      </c>
      <c r="E36" s="88">
        <f>INDEX('C2 GEG Ops Budget'!$D$37:$O$37,'C1 GEG Setting'!$C$6)</f>
        <v/>
      </c>
      <c r="F36" s="89">
        <f>D36-E36</f>
        <v/>
      </c>
      <c r="G36" s="24">
        <f>IFERROR(F36/ABS(E36),"")</f>
        <v/>
      </c>
      <c r="H36" s="11">
        <f>IF($C36="","",IF(OR(AND($C36="H",D36&gt;=E36),AND($C36="L",D36&lt;=E36)),"Tercapai","Tidak tercapai"))</f>
        <v/>
      </c>
      <c r="J36" s="88">
        <f>SUMIF('C3 GEG Ops Aktual'!$D$5:$O$5,"&lt;="&amp;'C1 GEG Setting'!$C$6,'C3 GEG Ops Aktual'!$D$37:$O$37)</f>
        <v/>
      </c>
      <c r="K36" s="88">
        <f>SUMIF('C2 GEG Ops Budget'!$D$5:$O$5,"&lt;="&amp;'C1 GEG Setting'!$C$6,'C2 GEG Ops Budget'!$D$37:$O$37)</f>
        <v/>
      </c>
      <c r="L36" s="89">
        <f>J36-K36</f>
        <v/>
      </c>
      <c r="M36" s="24">
        <f>IFERROR(L36/ABS(K36),"")</f>
        <v/>
      </c>
      <c r="N36" s="11">
        <f>IF($C36="","",IF(OR(AND($C36="H",J36&gt;=K36),AND($C36="L",J36&lt;=K36)),"Tercapai","Tidak tercapai"))</f>
        <v/>
      </c>
    </row>
    <row r="37">
      <c r="A37" s="10" t="inlineStr">
        <is>
          <t>Reklamasi &amp; revegetasi</t>
        </is>
      </c>
      <c r="B37" s="3" t="inlineStr">
        <is>
          <t>ha</t>
        </is>
      </c>
      <c r="C37" s="62" t="inlineStr">
        <is>
          <t>H</t>
        </is>
      </c>
      <c r="D37" s="88">
        <f>INDEX('C3 GEG Ops Aktual'!$D$38:$O$38,'C1 GEG Setting'!$C$6)</f>
        <v/>
      </c>
      <c r="E37" s="88">
        <f>INDEX('C2 GEG Ops Budget'!$D$38:$O$38,'C1 GEG Setting'!$C$6)</f>
        <v/>
      </c>
      <c r="F37" s="89">
        <f>D37-E37</f>
        <v/>
      </c>
      <c r="G37" s="24">
        <f>IFERROR(F37/ABS(E37),"")</f>
        <v/>
      </c>
      <c r="H37" s="11">
        <f>IF($C37="","",IF(OR(AND($C37="H",D37&gt;=E37),AND($C37="L",D37&lt;=E37)),"Tercapai","Tidak tercapai"))</f>
        <v/>
      </c>
      <c r="J37" s="88">
        <f>SUMIF('C3 GEG Ops Aktual'!$D$5:$O$5,"&lt;="&amp;'C1 GEG Setting'!$C$6,'C3 GEG Ops Aktual'!$D$38:$O$38)</f>
        <v/>
      </c>
      <c r="K37" s="88">
        <f>SUMIF('C2 GEG Ops Budget'!$D$5:$O$5,"&lt;="&amp;'C1 GEG Setting'!$C$6,'C2 GEG Ops Budget'!$D$38:$O$38)</f>
        <v/>
      </c>
      <c r="L37" s="89">
        <f>J37-K37</f>
        <v/>
      </c>
      <c r="M37" s="24">
        <f>IFERROR(L37/ABS(K37),"")</f>
        <v/>
      </c>
      <c r="N37" s="11">
        <f>IF($C37="","",IF(OR(AND($C37="H",J37&gt;=K37),AND($C37="L",J37&lt;=K37)),"Tercapai","Tidak tercapai"))</f>
        <v/>
      </c>
    </row>
  </sheetData>
  <conditionalFormatting sqref="H6:H38">
    <cfRule type="cellIs" priority="1" operator="equal" dxfId="0">
      <formula>"Tercapai"</formula>
    </cfRule>
    <cfRule type="cellIs" priority="2" operator="equal" dxfId="1">
      <formula>"Tidak tercapai"</formula>
    </cfRule>
  </conditionalFormatting>
  <conditionalFormatting sqref="N6:N38">
    <cfRule type="cellIs" priority="3" operator="equal" dxfId="0">
      <formula>"Tercapai"</formula>
    </cfRule>
    <cfRule type="cellIs" priority="4" operator="equal" dxfId="1">
      <formula>"Tidak tercapai"</formula>
    </cfRule>
  </conditionalFormatting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O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3" customWidth="1" min="3" max="3"/>
    <col width="13" customWidth="1" min="4" max="4"/>
    <col width="12" customWidth="1" min="5" max="5"/>
    <col width="12" customWidth="1" min="6" max="6"/>
    <col width="11" customWidth="1" min="7" max="7"/>
    <col width="14" customWidth="1" min="8" max="8"/>
    <col width="2" customWidth="1" min="9" max="9"/>
    <col width="13" customWidth="1" min="10" max="10"/>
    <col width="13" customWidth="1" min="11" max="11"/>
    <col width="12" customWidth="1" min="12" max="12"/>
    <col width="12" customWidth="1" min="13" max="13"/>
    <col width="11" customWidth="1" min="14" max="14"/>
    <col width="14" customWidth="1" min="15" max="15"/>
  </cols>
  <sheetData>
    <row r="1">
      <c r="A1" s="1" t="inlineStr">
        <is>
          <t>GEG – Cost of Production (COP) per Unit: Aktual vs Budget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>
        <f>"Bulan laporan: "&amp;'C1 GEG Setting'!$C$7&amp;" "&amp;'C1 GEG Setting'!$C$5&amp;" | USD/unit = Rp juta × 1.000.000 ÷ volume ÷ kurs rata-rata periode"</f>
        <v/>
      </c>
    </row>
    <row r="3"/>
    <row r="4"/>
    <row r="5" ht="42" customHeight="1">
      <c r="A5" s="16" t="inlineStr">
        <is>
          <t>Komponen</t>
        </is>
      </c>
      <c r="B5" s="16" t="inlineStr">
        <is>
          <t>Basis</t>
        </is>
      </c>
      <c r="C5" s="16" t="inlineStr">
        <is>
          <t>Bln ini Aktual (Rp juta)</t>
        </is>
      </c>
      <c r="D5" s="16" t="inlineStr">
        <is>
          <t>Bln ini Budget (Rp juta)</t>
        </is>
      </c>
      <c r="E5" s="16" t="inlineStr">
        <is>
          <t>Bln ini Aktual USD/unit</t>
        </is>
      </c>
      <c r="F5" s="16" t="inlineStr">
        <is>
          <t>Bln ini Budget USD/unit</t>
        </is>
      </c>
      <c r="G5" s="16" t="inlineStr">
        <is>
          <t>Varians USD/unit</t>
        </is>
      </c>
      <c r="H5" s="16" t="inlineStr">
        <is>
          <t>Status</t>
        </is>
      </c>
      <c r="I5" s="16" t="inlineStr"/>
      <c r="J5" s="16" t="inlineStr">
        <is>
          <t>YTD Aktual (Rp juta)</t>
        </is>
      </c>
      <c r="K5" s="16" t="inlineStr">
        <is>
          <t>YTD Budget (Rp juta)</t>
        </is>
      </c>
      <c r="L5" s="16" t="inlineStr">
        <is>
          <t>YTD Aktual USD/unit</t>
        </is>
      </c>
      <c r="M5" s="16" t="inlineStr">
        <is>
          <t>YTD Budget USD/unit</t>
        </is>
      </c>
      <c r="N5" s="16" t="inlineStr">
        <is>
          <t>Varians USD/unit</t>
        </is>
      </c>
      <c r="O5" s="16" t="inlineStr">
        <is>
          <t>Status</t>
        </is>
      </c>
    </row>
    <row r="6">
      <c r="A6" s="10" t="inlineStr">
        <is>
          <t xml:space="preserve">   Jasa kontraktor OB</t>
        </is>
      </c>
      <c r="B6" s="3" t="inlineStr">
        <is>
          <t>per bcm OB</t>
        </is>
      </c>
      <c r="C6" s="28">
        <f>'C8 GEG Lap LR'!D16</f>
        <v/>
      </c>
      <c r="D6" s="28">
        <f>'C8 GEG Lap LR'!E16</f>
        <v/>
      </c>
      <c r="E6" s="39">
        <f>IFERROR(C6*1000000/('C9 GEG Lap Ops'!D7)/'C9 GEG Lap Ops'!D24,0)</f>
        <v/>
      </c>
      <c r="F6" s="39">
        <f>IFERROR(D6*1000000/('C9 GEG Lap Ops'!E7)/'C9 GEG Lap Ops'!E24,0)</f>
        <v/>
      </c>
      <c r="G6" s="47">
        <f>E6-F6</f>
        <v/>
      </c>
      <c r="H6" s="11">
        <f>IF(E6&lt;=F6,"Efisien","Di atas budget")</f>
        <v/>
      </c>
      <c r="J6" s="28">
        <f>'C8 GEG Lap LR'!J16</f>
        <v/>
      </c>
      <c r="K6" s="28">
        <f>'C8 GEG Lap LR'!K16</f>
        <v/>
      </c>
      <c r="L6" s="39">
        <f>IFERROR(J6*1000000/('C9 GEG Lap Ops'!J7)/'C9 GEG Lap Ops'!J24,0)</f>
        <v/>
      </c>
      <c r="M6" s="39">
        <f>IFERROR(K6*1000000/('C9 GEG Lap Ops'!K7)/'C9 GEG Lap Ops'!K24,0)</f>
        <v/>
      </c>
      <c r="N6" s="47">
        <f>L6-M6</f>
        <v/>
      </c>
      <c r="O6" s="11">
        <f>IF(L6&lt;=M6,"Efisien","Di atas budget")</f>
        <v/>
      </c>
    </row>
    <row r="7">
      <c r="A7" s="10" t="inlineStr">
        <is>
          <t xml:space="preserve">   BBM</t>
        </is>
      </c>
      <c r="B7" s="3" t="inlineStr">
        <is>
          <t>per bcm OB</t>
        </is>
      </c>
      <c r="C7" s="28">
        <f>'C8 GEG Lap LR'!D17</f>
        <v/>
      </c>
      <c r="D7" s="28">
        <f>'C8 GEG Lap LR'!E17</f>
        <v/>
      </c>
      <c r="E7" s="39">
        <f>IFERROR(C7*1000000/('C9 GEG Lap Ops'!D7)/'C9 GEG Lap Ops'!D24,0)</f>
        <v/>
      </c>
      <c r="F7" s="39">
        <f>IFERROR(D7*1000000/('C9 GEG Lap Ops'!E7)/'C9 GEG Lap Ops'!E24,0)</f>
        <v/>
      </c>
      <c r="G7" s="47">
        <f>E7-F7</f>
        <v/>
      </c>
      <c r="H7" s="11">
        <f>IF(E7&lt;=F7,"Efisien","Di atas budget")</f>
        <v/>
      </c>
      <c r="J7" s="28">
        <f>'C8 GEG Lap LR'!J17</f>
        <v/>
      </c>
      <c r="K7" s="28">
        <f>'C8 GEG Lap LR'!K17</f>
        <v/>
      </c>
      <c r="L7" s="39">
        <f>IFERROR(J7*1000000/('C9 GEG Lap Ops'!J7)/'C9 GEG Lap Ops'!J24,0)</f>
        <v/>
      </c>
      <c r="M7" s="39">
        <f>IFERROR(K7*1000000/('C9 GEG Lap Ops'!K7)/'C9 GEG Lap Ops'!K24,0)</f>
        <v/>
      </c>
      <c r="N7" s="47">
        <f>L7-M7</f>
        <v/>
      </c>
      <c r="O7" s="11">
        <f>IF(L7&lt;=M7,"Efisien","Di atas budget")</f>
        <v/>
      </c>
    </row>
    <row r="8">
      <c r="A8" s="10" t="inlineStr">
        <is>
          <t xml:space="preserve">   Peledakan</t>
        </is>
      </c>
      <c r="B8" s="3" t="inlineStr">
        <is>
          <t>per bcm OB</t>
        </is>
      </c>
      <c r="C8" s="28">
        <f>'C8 GEG Lap LR'!D18</f>
        <v/>
      </c>
      <c r="D8" s="28">
        <f>'C8 GEG Lap LR'!E18</f>
        <v/>
      </c>
      <c r="E8" s="39">
        <f>IFERROR(C8*1000000/('C9 GEG Lap Ops'!D7)/'C9 GEG Lap Ops'!D24,0)</f>
        <v/>
      </c>
      <c r="F8" s="39">
        <f>IFERROR(D8*1000000/('C9 GEG Lap Ops'!E7)/'C9 GEG Lap Ops'!E24,0)</f>
        <v/>
      </c>
      <c r="G8" s="47">
        <f>E8-F8</f>
        <v/>
      </c>
      <c r="H8" s="11">
        <f>IF(E8&lt;=F8,"Efisien","Di atas budget")</f>
        <v/>
      </c>
      <c r="J8" s="28">
        <f>'C8 GEG Lap LR'!J18</f>
        <v/>
      </c>
      <c r="K8" s="28">
        <f>'C8 GEG Lap LR'!K18</f>
        <v/>
      </c>
      <c r="L8" s="39">
        <f>IFERROR(J8*1000000/('C9 GEG Lap Ops'!J7)/'C9 GEG Lap Ops'!J24,0)</f>
        <v/>
      </c>
      <c r="M8" s="39">
        <f>IFERROR(K8*1000000/('C9 GEG Lap Ops'!K7)/'C9 GEG Lap Ops'!K24,0)</f>
        <v/>
      </c>
      <c r="N8" s="47">
        <f>L8-M8</f>
        <v/>
      </c>
      <c r="O8" s="11">
        <f>IF(L8&lt;=M8,"Efisien","Di atas budget")</f>
        <v/>
      </c>
    </row>
    <row r="9">
      <c r="A9" s="48" t="inlineStr">
        <is>
          <t>Total biaya pengupasan OB per bcm</t>
        </is>
      </c>
      <c r="B9" s="49" t="inlineStr">
        <is>
          <t>per bcm OB</t>
        </is>
      </c>
      <c r="C9" s="50">
        <f>'C8 GEG Lap LR'!D16+'C8 GEG Lap LR'!D17+'C8 GEG Lap LR'!D18</f>
        <v/>
      </c>
      <c r="D9" s="50">
        <f>'C8 GEG Lap LR'!E16+'C8 GEG Lap LR'!E17+'C8 GEG Lap LR'!E18</f>
        <v/>
      </c>
      <c r="E9" s="52">
        <f>IFERROR(C9*1000000/('C9 GEG Lap Ops'!D7)/'C9 GEG Lap Ops'!D24,0)</f>
        <v/>
      </c>
      <c r="F9" s="52">
        <f>IFERROR(D9*1000000/('C9 GEG Lap Ops'!E7)/'C9 GEG Lap Ops'!E24,0)</f>
        <v/>
      </c>
      <c r="G9" s="53">
        <f>E9-F9</f>
        <v/>
      </c>
      <c r="H9" s="55">
        <f>IF(E9&lt;=F9,"Efisien","Di atas budget")</f>
        <v/>
      </c>
      <c r="I9" s="72" t="n"/>
      <c r="J9" s="50">
        <f>'C8 GEG Lap LR'!J16+'C8 GEG Lap LR'!J17+'C8 GEG Lap LR'!J18</f>
        <v/>
      </c>
      <c r="K9" s="50">
        <f>'C8 GEG Lap LR'!K16+'C8 GEG Lap LR'!K17+'C8 GEG Lap LR'!K18</f>
        <v/>
      </c>
      <c r="L9" s="52">
        <f>IFERROR(J9*1000000/('C9 GEG Lap Ops'!J7)/'C9 GEG Lap Ops'!J24,0)</f>
        <v/>
      </c>
      <c r="M9" s="52">
        <f>IFERROR(K9*1000000/('C9 GEG Lap Ops'!K7)/'C9 GEG Lap Ops'!K24,0)</f>
        <v/>
      </c>
      <c r="N9" s="53">
        <f>L9-M9</f>
        <v/>
      </c>
      <c r="O9" s="55">
        <f>IF(L9&lt;=M9,"Efisien","Di atas budget")</f>
        <v/>
      </c>
    </row>
    <row r="10">
      <c r="A10" s="10" t="inlineStr">
        <is>
          <t xml:space="preserve">   Coal getting</t>
        </is>
      </c>
      <c r="B10" s="3" t="inlineStr">
        <is>
          <t>per ton produksi</t>
        </is>
      </c>
      <c r="C10" s="28">
        <f>'C8 GEG Lap LR'!D19</f>
        <v/>
      </c>
      <c r="D10" s="28">
        <f>'C8 GEG Lap LR'!E19</f>
        <v/>
      </c>
      <c r="E10" s="39">
        <f>IFERROR(C10*1000000/('C9 GEG Lap Ops'!D8)/'C9 GEG Lap Ops'!D24,0)</f>
        <v/>
      </c>
      <c r="F10" s="39">
        <f>IFERROR(D10*1000000/('C9 GEG Lap Ops'!E8)/'C9 GEG Lap Ops'!E24,0)</f>
        <v/>
      </c>
      <c r="G10" s="47">
        <f>E10-F10</f>
        <v/>
      </c>
      <c r="H10" s="11">
        <f>IF(E10&lt;=F10,"Efisien","Di atas budget")</f>
        <v/>
      </c>
      <c r="J10" s="28">
        <f>'C8 GEG Lap LR'!J19</f>
        <v/>
      </c>
      <c r="K10" s="28">
        <f>'C8 GEG Lap LR'!K19</f>
        <v/>
      </c>
      <c r="L10" s="39">
        <f>IFERROR(J10*1000000/('C9 GEG Lap Ops'!J8)/'C9 GEG Lap Ops'!J24,0)</f>
        <v/>
      </c>
      <c r="M10" s="39">
        <f>IFERROR(K10*1000000/('C9 GEG Lap Ops'!K8)/'C9 GEG Lap Ops'!K24,0)</f>
        <v/>
      </c>
      <c r="N10" s="47">
        <f>L10-M10</f>
        <v/>
      </c>
      <c r="O10" s="11">
        <f>IF(L10&lt;=M10,"Efisien","Di atas budget")</f>
        <v/>
      </c>
    </row>
    <row r="11">
      <c r="A11" s="10" t="inlineStr">
        <is>
          <t xml:space="preserve">   Biaya tambang tetap (sewa, pemeliharaan, dewatering, survei)</t>
        </is>
      </c>
      <c r="B11" s="3" t="inlineStr">
        <is>
          <t>per ton produksi</t>
        </is>
      </c>
      <c r="C11" s="28">
        <f>'C8 GEG Lap LR'!D20+'C8 GEG Lap LR'!D21+'C8 GEG Lap LR'!D22+'C8 GEG Lap LR'!D23</f>
        <v/>
      </c>
      <c r="D11" s="28">
        <f>'C8 GEG Lap LR'!E20+'C8 GEG Lap LR'!E21+'C8 GEG Lap LR'!E22+'C8 GEG Lap LR'!E23</f>
        <v/>
      </c>
      <c r="E11" s="39">
        <f>IFERROR(C11*1000000/('C9 GEG Lap Ops'!D8)/'C9 GEG Lap Ops'!D24,0)</f>
        <v/>
      </c>
      <c r="F11" s="39">
        <f>IFERROR(D11*1000000/('C9 GEG Lap Ops'!E8)/'C9 GEG Lap Ops'!E24,0)</f>
        <v/>
      </c>
      <c r="G11" s="47">
        <f>E11-F11</f>
        <v/>
      </c>
      <c r="H11" s="11">
        <f>IF(E11&lt;=F11,"Efisien","Di atas budget")</f>
        <v/>
      </c>
      <c r="J11" s="28">
        <f>'C8 GEG Lap LR'!J20+'C8 GEG Lap LR'!J21+'C8 GEG Lap LR'!J22+'C8 GEG Lap LR'!J23</f>
        <v/>
      </c>
      <c r="K11" s="28">
        <f>'C8 GEG Lap LR'!K20+'C8 GEG Lap LR'!K21+'C8 GEG Lap LR'!K22+'C8 GEG Lap LR'!K23</f>
        <v/>
      </c>
      <c r="L11" s="39">
        <f>IFERROR(J11*1000000/('C9 GEG Lap Ops'!J8)/'C9 GEG Lap Ops'!J24,0)</f>
        <v/>
      </c>
      <c r="M11" s="39">
        <f>IFERROR(K11*1000000/('C9 GEG Lap Ops'!K8)/'C9 GEG Lap Ops'!K24,0)</f>
        <v/>
      </c>
      <c r="N11" s="47">
        <f>L11-M11</f>
        <v/>
      </c>
      <c r="O11" s="11">
        <f>IF(L11&lt;=M11,"Efisien","Di atas budget")</f>
        <v/>
      </c>
    </row>
    <row r="12">
      <c r="A12" s="48" t="inlineStr">
        <is>
          <t>TOTAL MINING COST per ton produksi</t>
        </is>
      </c>
      <c r="B12" s="49" t="inlineStr">
        <is>
          <t>per ton produksi</t>
        </is>
      </c>
      <c r="C12" s="50">
        <f>'C8 GEG Lap LR'!D24</f>
        <v/>
      </c>
      <c r="D12" s="50">
        <f>'C8 GEG Lap LR'!E24</f>
        <v/>
      </c>
      <c r="E12" s="52">
        <f>IFERROR(C12*1000000/('C9 GEG Lap Ops'!D8)/'C9 GEG Lap Ops'!D24,0)</f>
        <v/>
      </c>
      <c r="F12" s="52">
        <f>IFERROR(D12*1000000/('C9 GEG Lap Ops'!E8)/'C9 GEG Lap Ops'!E24,0)</f>
        <v/>
      </c>
      <c r="G12" s="53">
        <f>E12-F12</f>
        <v/>
      </c>
      <c r="H12" s="55">
        <f>IF(E12&lt;=F12,"Efisien","Di atas budget")</f>
        <v/>
      </c>
      <c r="I12" s="72" t="n"/>
      <c r="J12" s="50">
        <f>'C8 GEG Lap LR'!J24</f>
        <v/>
      </c>
      <c r="K12" s="50">
        <f>'C8 GEG Lap LR'!K24</f>
        <v/>
      </c>
      <c r="L12" s="52">
        <f>IFERROR(J12*1000000/('C9 GEG Lap Ops'!J8)/'C9 GEG Lap Ops'!J24,0)</f>
        <v/>
      </c>
      <c r="M12" s="52">
        <f>IFERROR(K12*1000000/('C9 GEG Lap Ops'!K8)/'C9 GEG Lap Ops'!K24,0)</f>
        <v/>
      </c>
      <c r="N12" s="53">
        <f>L12-M12</f>
        <v/>
      </c>
      <c r="O12" s="55">
        <f>IF(L12&lt;=M12,"Efisien","Di atas budget")</f>
        <v/>
      </c>
    </row>
    <row r="13">
      <c r="A13" s="10" t="inlineStr">
        <is>
          <t xml:space="preserve">   Crushing &amp; pengolahan</t>
        </is>
      </c>
      <c r="B13" s="3" t="inlineStr">
        <is>
          <t>per ton produksi</t>
        </is>
      </c>
      <c r="C13" s="28">
        <f>'C8 GEG Lap LR'!D26</f>
        <v/>
      </c>
      <c r="D13" s="28">
        <f>'C8 GEG Lap LR'!E26</f>
        <v/>
      </c>
      <c r="E13" s="39">
        <f>IFERROR(C13*1000000/('C9 GEG Lap Ops'!D8)/'C9 GEG Lap Ops'!D24,0)</f>
        <v/>
      </c>
      <c r="F13" s="39">
        <f>IFERROR(D13*1000000/('C9 GEG Lap Ops'!E8)/'C9 GEG Lap Ops'!E24,0)</f>
        <v/>
      </c>
      <c r="G13" s="47">
        <f>E13-F13</f>
        <v/>
      </c>
      <c r="H13" s="11">
        <f>IF(E13&lt;=F13,"Efisien","Di atas budget")</f>
        <v/>
      </c>
      <c r="J13" s="28">
        <f>'C8 GEG Lap LR'!J26</f>
        <v/>
      </c>
      <c r="K13" s="28">
        <f>'C8 GEG Lap LR'!K26</f>
        <v/>
      </c>
      <c r="L13" s="39">
        <f>IFERROR(J13*1000000/('C9 GEG Lap Ops'!J8)/'C9 GEG Lap Ops'!J24,0)</f>
        <v/>
      </c>
      <c r="M13" s="39">
        <f>IFERROR(K13*1000000/('C9 GEG Lap Ops'!K8)/'C9 GEG Lap Ops'!K24,0)</f>
        <v/>
      </c>
      <c r="N13" s="47">
        <f>L13-M13</f>
        <v/>
      </c>
      <c r="O13" s="11">
        <f>IF(L13&lt;=M13,"Efisien","Di atas budget")</f>
        <v/>
      </c>
    </row>
    <row r="14">
      <c r="A14" s="10" t="inlineStr">
        <is>
          <t xml:space="preserve">   Hauling per ton</t>
        </is>
      </c>
      <c r="B14" s="3" t="inlineStr">
        <is>
          <t>per ton hauling</t>
        </is>
      </c>
      <c r="C14" s="28">
        <f>'C8 GEG Lap LR'!D27</f>
        <v/>
      </c>
      <c r="D14" s="28">
        <f>'C8 GEG Lap LR'!E27</f>
        <v/>
      </c>
      <c r="E14" s="39">
        <f>IFERROR(C14*1000000/('C9 GEG Lap Ops'!D10)/'C9 GEG Lap Ops'!D24,0)</f>
        <v/>
      </c>
      <c r="F14" s="39">
        <f>IFERROR(D14*1000000/('C9 GEG Lap Ops'!E10)/'C9 GEG Lap Ops'!E24,0)</f>
        <v/>
      </c>
      <c r="G14" s="47">
        <f>E14-F14</f>
        <v/>
      </c>
      <c r="H14" s="11">
        <f>IF(E14&lt;=F14,"Efisien","Di atas budget")</f>
        <v/>
      </c>
      <c r="J14" s="28">
        <f>'C8 GEG Lap LR'!J27</f>
        <v/>
      </c>
      <c r="K14" s="28">
        <f>'C8 GEG Lap LR'!K27</f>
        <v/>
      </c>
      <c r="L14" s="39">
        <f>IFERROR(J14*1000000/('C9 GEG Lap Ops'!J10)/'C9 GEG Lap Ops'!J24,0)</f>
        <v/>
      </c>
      <c r="M14" s="39">
        <f>IFERROR(K14*1000000/('C9 GEG Lap Ops'!K10)/'C9 GEG Lap Ops'!K24,0)</f>
        <v/>
      </c>
      <c r="N14" s="47">
        <f>L14-M14</f>
        <v/>
      </c>
      <c r="O14" s="11">
        <f>IF(L14&lt;=M14,"Efisien","Di atas budget")</f>
        <v/>
      </c>
    </row>
    <row r="15">
      <c r="A15" s="10" t="inlineStr">
        <is>
          <t xml:space="preserve">   Hauling per ton-km</t>
        </is>
      </c>
      <c r="B15" s="3" t="inlineStr">
        <is>
          <t>per ton-km</t>
        </is>
      </c>
      <c r="C15" s="28">
        <f>'C8 GEG Lap LR'!D27</f>
        <v/>
      </c>
      <c r="D15" s="28">
        <f>'C8 GEG Lap LR'!E27</f>
        <v/>
      </c>
      <c r="E15" s="56">
        <f>IFERROR(C15*1000000/('C9 GEG Lap Ops'!D10*'C9 GEG Lap Ops'!D11)/'C9 GEG Lap Ops'!D24,0)</f>
        <v/>
      </c>
      <c r="F15" s="56">
        <f>IFERROR(D15*1000000/('C9 GEG Lap Ops'!E10*'C9 GEG Lap Ops'!E11)/'C9 GEG Lap Ops'!E24,0)</f>
        <v/>
      </c>
      <c r="G15" s="57">
        <f>E15-F15</f>
        <v/>
      </c>
      <c r="H15" s="11">
        <f>IF(E15&lt;=F15,"Efisien","Di atas budget")</f>
        <v/>
      </c>
      <c r="J15" s="28">
        <f>'C8 GEG Lap LR'!J27</f>
        <v/>
      </c>
      <c r="K15" s="28">
        <f>'C8 GEG Lap LR'!K27</f>
        <v/>
      </c>
      <c r="L15" s="56">
        <f>IFERROR(J15*1000000/('C9 GEG Lap Ops'!J10*'C9 GEG Lap Ops'!J11)/'C9 GEG Lap Ops'!J24,0)</f>
        <v/>
      </c>
      <c r="M15" s="56">
        <f>IFERROR(K15*1000000/('C9 GEG Lap Ops'!K10*'C9 GEG Lap Ops'!K11)/'C9 GEG Lap Ops'!K24,0)</f>
        <v/>
      </c>
      <c r="N15" s="57">
        <f>L15-M15</f>
        <v/>
      </c>
      <c r="O15" s="11">
        <f>IF(L15&lt;=M15,"Efisien","Di atas budget")</f>
        <v/>
      </c>
    </row>
    <row r="16">
      <c r="A16" s="10" t="inlineStr">
        <is>
          <t xml:space="preserve">   Pelabuhan &amp; stockpile</t>
        </is>
      </c>
      <c r="B16" s="3" t="inlineStr">
        <is>
          <t>per ton jual</t>
        </is>
      </c>
      <c r="C16" s="28">
        <f>'C8 GEG Lap LR'!D28</f>
        <v/>
      </c>
      <c r="D16" s="28">
        <f>'C8 GEG Lap LR'!E28</f>
        <v/>
      </c>
      <c r="E16" s="39">
        <f>IFERROR(C16*1000000/('C9 GEG Lap Ops'!D18)/'C9 GEG Lap Ops'!D24,0)</f>
        <v/>
      </c>
      <c r="F16" s="39">
        <f>IFERROR(D16*1000000/('C9 GEG Lap Ops'!E18)/'C9 GEG Lap Ops'!E24,0)</f>
        <v/>
      </c>
      <c r="G16" s="47">
        <f>E16-F16</f>
        <v/>
      </c>
      <c r="H16" s="11">
        <f>IF(E16&lt;=F16,"Efisien","Di atas budget")</f>
        <v/>
      </c>
      <c r="J16" s="28">
        <f>'C8 GEG Lap LR'!J28</f>
        <v/>
      </c>
      <c r="K16" s="28">
        <f>'C8 GEG Lap LR'!K28</f>
        <v/>
      </c>
      <c r="L16" s="39">
        <f>IFERROR(J16*1000000/('C9 GEG Lap Ops'!J18)/'C9 GEG Lap Ops'!J24,0)</f>
        <v/>
      </c>
      <c r="M16" s="39">
        <f>IFERROR(K16*1000000/('C9 GEG Lap Ops'!K18)/'C9 GEG Lap Ops'!K24,0)</f>
        <v/>
      </c>
      <c r="N16" s="47">
        <f>L16-M16</f>
        <v/>
      </c>
      <c r="O16" s="11">
        <f>IF(L16&lt;=M16,"Efisien","Di atas budget")</f>
        <v/>
      </c>
    </row>
    <row r="17">
      <c r="A17" s="10" t="inlineStr">
        <is>
          <t xml:space="preserve">   Tongkang &amp; transshipment</t>
        </is>
      </c>
      <c r="B17" s="3" t="inlineStr">
        <is>
          <t>per ton barging</t>
        </is>
      </c>
      <c r="C17" s="28">
        <f>'C8 GEG Lap LR'!D29</f>
        <v/>
      </c>
      <c r="D17" s="28">
        <f>'C8 GEG Lap LR'!E29</f>
        <v/>
      </c>
      <c r="E17" s="39">
        <f>IFERROR(C17*1000000/('C9 GEG Lap Ops'!D12)/'C9 GEG Lap Ops'!D24,0)</f>
        <v/>
      </c>
      <c r="F17" s="39">
        <f>IFERROR(D17*1000000/('C9 GEG Lap Ops'!E12)/'C9 GEG Lap Ops'!E24,0)</f>
        <v/>
      </c>
      <c r="G17" s="47">
        <f>E17-F17</f>
        <v/>
      </c>
      <c r="H17" s="11">
        <f>IF(E17&lt;=F17,"Efisien","Di atas budget")</f>
        <v/>
      </c>
      <c r="J17" s="28">
        <f>'C8 GEG Lap LR'!J29</f>
        <v/>
      </c>
      <c r="K17" s="28">
        <f>'C8 GEG Lap LR'!K29</f>
        <v/>
      </c>
      <c r="L17" s="39">
        <f>IFERROR(J17*1000000/('C9 GEG Lap Ops'!J12)/'C9 GEG Lap Ops'!J24,0)</f>
        <v/>
      </c>
      <c r="M17" s="39">
        <f>IFERROR(K17*1000000/('C9 GEG Lap Ops'!K12)/'C9 GEG Lap Ops'!K24,0)</f>
        <v/>
      </c>
      <c r="N17" s="47">
        <f>L17-M17</f>
        <v/>
      </c>
      <c r="O17" s="11">
        <f>IF(L17&lt;=M17,"Efisien","Di atas budget")</f>
        <v/>
      </c>
    </row>
    <row r="18">
      <c r="A18" s="10" t="inlineStr">
        <is>
          <t xml:space="preserve">   Overhead site</t>
        </is>
      </c>
      <c r="B18" s="3" t="inlineStr">
        <is>
          <t>per ton produksi</t>
        </is>
      </c>
      <c r="C18" s="28">
        <f>'C8 GEG Lap LR'!D40</f>
        <v/>
      </c>
      <c r="D18" s="28">
        <f>'C8 GEG Lap LR'!E40</f>
        <v/>
      </c>
      <c r="E18" s="39">
        <f>IFERROR(C18*1000000/('C9 GEG Lap Ops'!D8)/'C9 GEG Lap Ops'!D24,0)</f>
        <v/>
      </c>
      <c r="F18" s="39">
        <f>IFERROR(D18*1000000/('C9 GEG Lap Ops'!E8)/'C9 GEG Lap Ops'!E24,0)</f>
        <v/>
      </c>
      <c r="G18" s="47">
        <f>E18-F18</f>
        <v/>
      </c>
      <c r="H18" s="11">
        <f>IF(E18&lt;=F18,"Efisien","Di atas budget")</f>
        <v/>
      </c>
      <c r="J18" s="28">
        <f>'C8 GEG Lap LR'!J40</f>
        <v/>
      </c>
      <c r="K18" s="28">
        <f>'C8 GEG Lap LR'!K40</f>
        <v/>
      </c>
      <c r="L18" s="39">
        <f>IFERROR(J18*1000000/('C9 GEG Lap Ops'!J8)/'C9 GEG Lap Ops'!J24,0)</f>
        <v/>
      </c>
      <c r="M18" s="39">
        <f>IFERROR(K18*1000000/('C9 GEG Lap Ops'!K8)/'C9 GEG Lap Ops'!K24,0)</f>
        <v/>
      </c>
      <c r="N18" s="47">
        <f>L18-M18</f>
        <v/>
      </c>
      <c r="O18" s="11">
        <f>IF(L18&lt;=M18,"Efisien","Di atas budget")</f>
        <v/>
      </c>
    </row>
    <row r="19">
      <c r="A19" s="48" t="inlineStr">
        <is>
          <t>CASH COST FOB excl. royalti (per ton jual)</t>
        </is>
      </c>
      <c r="B19" s="49" t="inlineStr">
        <is>
          <t>per ton jual</t>
        </is>
      </c>
      <c r="C19" s="50">
        <f>'C8 GEG Lap LR'!D24+'C8 GEG Lap LR'!D30+'C8 GEG Lap LR'!D40</f>
        <v/>
      </c>
      <c r="D19" s="50">
        <f>'C8 GEG Lap LR'!E24+'C8 GEG Lap LR'!E30+'C8 GEG Lap LR'!E40</f>
        <v/>
      </c>
      <c r="E19" s="52">
        <f>IFERROR(C19*1000000/('C9 GEG Lap Ops'!D18)/'C9 GEG Lap Ops'!D24,0)</f>
        <v/>
      </c>
      <c r="F19" s="52">
        <f>IFERROR(D19*1000000/('C9 GEG Lap Ops'!E18)/'C9 GEG Lap Ops'!E24,0)</f>
        <v/>
      </c>
      <c r="G19" s="53">
        <f>E19-F19</f>
        <v/>
      </c>
      <c r="H19" s="55">
        <f>IF(E19&lt;=F19,"Efisien","Di atas budget")</f>
        <v/>
      </c>
      <c r="I19" s="72" t="n"/>
      <c r="J19" s="50">
        <f>'C8 GEG Lap LR'!J24+'C8 GEG Lap LR'!J30+'C8 GEG Lap LR'!J40</f>
        <v/>
      </c>
      <c r="K19" s="50">
        <f>'C8 GEG Lap LR'!K24+'C8 GEG Lap LR'!K30+'C8 GEG Lap LR'!K40</f>
        <v/>
      </c>
      <c r="L19" s="52">
        <f>IFERROR(J19*1000000/('C9 GEG Lap Ops'!J18)/'C9 GEG Lap Ops'!J24,0)</f>
        <v/>
      </c>
      <c r="M19" s="52">
        <f>IFERROR(K19*1000000/('C9 GEG Lap Ops'!K18)/'C9 GEG Lap Ops'!K24,0)</f>
        <v/>
      </c>
      <c r="N19" s="53">
        <f>L19-M19</f>
        <v/>
      </c>
      <c r="O19" s="55">
        <f>IF(L19&lt;=M19,"Efisien","Di atas budget")</f>
        <v/>
      </c>
    </row>
    <row r="20">
      <c r="A20" s="10" t="inlineStr">
        <is>
          <t xml:space="preserve">   Royalti</t>
        </is>
      </c>
      <c r="B20" s="3" t="inlineStr">
        <is>
          <t>per ton jual</t>
        </is>
      </c>
      <c r="C20" s="28">
        <f>'C8 GEG Lap LR'!D32</f>
        <v/>
      </c>
      <c r="D20" s="28">
        <f>'C8 GEG Lap LR'!E32</f>
        <v/>
      </c>
      <c r="E20" s="39">
        <f>IFERROR(C20*1000000/('C9 GEG Lap Ops'!D18)/'C9 GEG Lap Ops'!D24,0)</f>
        <v/>
      </c>
      <c r="F20" s="39">
        <f>IFERROR(D20*1000000/('C9 GEG Lap Ops'!E18)/'C9 GEG Lap Ops'!E24,0)</f>
        <v/>
      </c>
      <c r="G20" s="47">
        <f>E20-F20</f>
        <v/>
      </c>
      <c r="H20" s="11">
        <f>IF(E20&lt;=F20,"Efisien","Di atas budget")</f>
        <v/>
      </c>
      <c r="J20" s="28">
        <f>'C8 GEG Lap LR'!J32</f>
        <v/>
      </c>
      <c r="K20" s="28">
        <f>'C8 GEG Lap LR'!K32</f>
        <v/>
      </c>
      <c r="L20" s="39">
        <f>IFERROR(J20*1000000/('C9 GEG Lap Ops'!J18)/'C9 GEG Lap Ops'!J24,0)</f>
        <v/>
      </c>
      <c r="M20" s="39">
        <f>IFERROR(K20*1000000/('C9 GEG Lap Ops'!K18)/'C9 GEG Lap Ops'!K24,0)</f>
        <v/>
      </c>
      <c r="N20" s="47">
        <f>L20-M20</f>
        <v/>
      </c>
      <c r="O20" s="11">
        <f>IF(L20&lt;=M20,"Efisien","Di atas budget")</f>
        <v/>
      </c>
    </row>
    <row r="21">
      <c r="A21" s="48" t="inlineStr">
        <is>
          <t>CASH COST FOB incl. royalti</t>
        </is>
      </c>
      <c r="B21" s="49" t="inlineStr">
        <is>
          <t>per ton jual</t>
        </is>
      </c>
      <c r="C21" s="50">
        <f>'C8 GEG Lap LR'!D24+'C8 GEG Lap LR'!D30+'C8 GEG Lap LR'!D40+'C8 GEG Lap LR'!D32</f>
        <v/>
      </c>
      <c r="D21" s="50">
        <f>'C8 GEG Lap LR'!E24+'C8 GEG Lap LR'!E30+'C8 GEG Lap LR'!E40+'C8 GEG Lap LR'!E32</f>
        <v/>
      </c>
      <c r="E21" s="52">
        <f>IFERROR(C21*1000000/('C9 GEG Lap Ops'!D18)/'C9 GEG Lap Ops'!D24,0)</f>
        <v/>
      </c>
      <c r="F21" s="52">
        <f>IFERROR(D21*1000000/('C9 GEG Lap Ops'!E18)/'C9 GEG Lap Ops'!E24,0)</f>
        <v/>
      </c>
      <c r="G21" s="53">
        <f>E21-F21</f>
        <v/>
      </c>
      <c r="H21" s="55">
        <f>IF(E21&lt;=F21,"Efisien","Di atas budget")</f>
        <v/>
      </c>
      <c r="I21" s="72" t="n"/>
      <c r="J21" s="50">
        <f>'C8 GEG Lap LR'!J24+'C8 GEG Lap LR'!J30+'C8 GEG Lap LR'!J40+'C8 GEG Lap LR'!J32</f>
        <v/>
      </c>
      <c r="K21" s="50">
        <f>'C8 GEG Lap LR'!K24+'C8 GEG Lap LR'!K30+'C8 GEG Lap LR'!K40+'C8 GEG Lap LR'!K32</f>
        <v/>
      </c>
      <c r="L21" s="52">
        <f>IFERROR(J21*1000000/('C9 GEG Lap Ops'!J18)/'C9 GEG Lap Ops'!J24,0)</f>
        <v/>
      </c>
      <c r="M21" s="52">
        <f>IFERROR(K21*1000000/('C9 GEG Lap Ops'!K18)/'C9 GEG Lap Ops'!K24,0)</f>
        <v/>
      </c>
      <c r="N21" s="53">
        <f>L21-M21</f>
        <v/>
      </c>
      <c r="O21" s="55">
        <f>IF(L21&lt;=M21,"Efisien","Di atas budget")</f>
        <v/>
      </c>
    </row>
    <row r="22">
      <c r="A22" s="10" t="inlineStr">
        <is>
          <t xml:space="preserve">   Beban penjualan</t>
        </is>
      </c>
      <c r="B22" s="3" t="inlineStr">
        <is>
          <t>per ton jual</t>
        </is>
      </c>
      <c r="C22" s="28">
        <f>'C8 GEG Lap LR'!D59</f>
        <v/>
      </c>
      <c r="D22" s="28">
        <f>'C8 GEG Lap LR'!E59</f>
        <v/>
      </c>
      <c r="E22" s="39">
        <f>IFERROR(C22*1000000/('C9 GEG Lap Ops'!D18)/'C9 GEG Lap Ops'!D24,0)</f>
        <v/>
      </c>
      <c r="F22" s="39">
        <f>IFERROR(D22*1000000/('C9 GEG Lap Ops'!E18)/'C9 GEG Lap Ops'!E24,0)</f>
        <v/>
      </c>
      <c r="G22" s="47">
        <f>E22-F22</f>
        <v/>
      </c>
      <c r="H22" s="11">
        <f>IF(E22&lt;=F22,"Efisien","Di atas budget")</f>
        <v/>
      </c>
      <c r="J22" s="28">
        <f>'C8 GEG Lap LR'!J59</f>
        <v/>
      </c>
      <c r="K22" s="28">
        <f>'C8 GEG Lap LR'!K59</f>
        <v/>
      </c>
      <c r="L22" s="39">
        <f>IFERROR(J22*1000000/('C9 GEG Lap Ops'!J18)/'C9 GEG Lap Ops'!J24,0)</f>
        <v/>
      </c>
      <c r="M22" s="39">
        <f>IFERROR(K22*1000000/('C9 GEG Lap Ops'!K18)/'C9 GEG Lap Ops'!K24,0)</f>
        <v/>
      </c>
      <c r="N22" s="47">
        <f>L22-M22</f>
        <v/>
      </c>
      <c r="O22" s="11">
        <f>IF(L22&lt;=M22,"Efisien","Di atas budget")</f>
        <v/>
      </c>
    </row>
    <row r="23">
      <c r="A23" s="10" t="inlineStr">
        <is>
          <t xml:space="preserve">   Beban umum &amp; administrasi (excl. penyusutan)</t>
        </is>
      </c>
      <c r="B23" s="3" t="inlineStr">
        <is>
          <t>per ton jual</t>
        </is>
      </c>
      <c r="C23" s="28">
        <f>'C8 GEG Lap LR'!D70-'C8 GEG Lap LR'!D68</f>
        <v/>
      </c>
      <c r="D23" s="28">
        <f>'C8 GEG Lap LR'!E70-'C8 GEG Lap LR'!E68</f>
        <v/>
      </c>
      <c r="E23" s="39">
        <f>IFERROR(C23*1000000/('C9 GEG Lap Ops'!D18)/'C9 GEG Lap Ops'!D24,0)</f>
        <v/>
      </c>
      <c r="F23" s="39">
        <f>IFERROR(D23*1000000/('C9 GEG Lap Ops'!E18)/'C9 GEG Lap Ops'!E24,0)</f>
        <v/>
      </c>
      <c r="G23" s="47">
        <f>E23-F23</f>
        <v/>
      </c>
      <c r="H23" s="11">
        <f>IF(E23&lt;=F23,"Efisien","Di atas budget")</f>
        <v/>
      </c>
      <c r="J23" s="28">
        <f>'C8 GEG Lap LR'!J70-'C8 GEG Lap LR'!J68</f>
        <v/>
      </c>
      <c r="K23" s="28">
        <f>'C8 GEG Lap LR'!K70-'C8 GEG Lap LR'!K68</f>
        <v/>
      </c>
      <c r="L23" s="39">
        <f>IFERROR(J23*1000000/('C9 GEG Lap Ops'!J18)/'C9 GEG Lap Ops'!J24,0)</f>
        <v/>
      </c>
      <c r="M23" s="39">
        <f>IFERROR(K23*1000000/('C9 GEG Lap Ops'!K18)/'C9 GEG Lap Ops'!K24,0)</f>
        <v/>
      </c>
      <c r="N23" s="47">
        <f>L23-M23</f>
        <v/>
      </c>
      <c r="O23" s="11">
        <f>IF(L23&lt;=M23,"Efisien","Di atas budget")</f>
        <v/>
      </c>
    </row>
    <row r="24">
      <c r="A24" s="48" t="inlineStr">
        <is>
          <t>TOTAL CASH COST</t>
        </is>
      </c>
      <c r="B24" s="49" t="inlineStr">
        <is>
          <t>per ton jual</t>
        </is>
      </c>
      <c r="C24" s="50">
        <f>'C8 GEG Lap LR'!D24+'C8 GEG Lap LR'!D30+'C8 GEG Lap LR'!D40+'C8 GEG Lap LR'!D32+'C8 GEG Lap LR'!D59+'C8 GEG Lap LR'!D70-'C8 GEG Lap LR'!D68</f>
        <v/>
      </c>
      <c r="D24" s="50">
        <f>'C8 GEG Lap LR'!E24+'C8 GEG Lap LR'!E30+'C8 GEG Lap LR'!E40+'C8 GEG Lap LR'!E32+'C8 GEG Lap LR'!E59+'C8 GEG Lap LR'!E70-'C8 GEG Lap LR'!E68</f>
        <v/>
      </c>
      <c r="E24" s="52">
        <f>IFERROR(C24*1000000/('C9 GEG Lap Ops'!D18)/'C9 GEG Lap Ops'!D24,0)</f>
        <v/>
      </c>
      <c r="F24" s="52">
        <f>IFERROR(D24*1000000/('C9 GEG Lap Ops'!E18)/'C9 GEG Lap Ops'!E24,0)</f>
        <v/>
      </c>
      <c r="G24" s="53">
        <f>E24-F24</f>
        <v/>
      </c>
      <c r="H24" s="55">
        <f>IF(E24&lt;=F24,"Efisien","Di atas budget")</f>
        <v/>
      </c>
      <c r="I24" s="72" t="n"/>
      <c r="J24" s="50">
        <f>'C8 GEG Lap LR'!J24+'C8 GEG Lap LR'!J30+'C8 GEG Lap LR'!J40+'C8 GEG Lap LR'!J32+'C8 GEG Lap LR'!J59+'C8 GEG Lap LR'!J70-'C8 GEG Lap LR'!J68</f>
        <v/>
      </c>
      <c r="K24" s="50">
        <f>'C8 GEG Lap LR'!K24+'C8 GEG Lap LR'!K30+'C8 GEG Lap LR'!K40+'C8 GEG Lap LR'!K32+'C8 GEG Lap LR'!K59+'C8 GEG Lap LR'!K70-'C8 GEG Lap LR'!K68</f>
        <v/>
      </c>
      <c r="L24" s="52">
        <f>IFERROR(J24*1000000/('C9 GEG Lap Ops'!J18)/'C9 GEG Lap Ops'!J24,0)</f>
        <v/>
      </c>
      <c r="M24" s="52">
        <f>IFERROR(K24*1000000/('C9 GEG Lap Ops'!K18)/'C9 GEG Lap Ops'!K24,0)</f>
        <v/>
      </c>
      <c r="N24" s="53">
        <f>L24-M24</f>
        <v/>
      </c>
      <c r="O24" s="55">
        <f>IF(L24&lt;=M24,"Efisien","Di atas budget")</f>
        <v/>
      </c>
    </row>
    <row r="25">
      <c r="A25" s="10" t="inlineStr">
        <is>
          <t xml:space="preserve">   Penyusutan &amp; amortisasi</t>
        </is>
      </c>
      <c r="B25" s="3" t="inlineStr">
        <is>
          <t>per ton jual</t>
        </is>
      </c>
      <c r="C25" s="28">
        <f>'C8 GEG Lap LR'!D45+'C8 GEG Lap LR'!D68</f>
        <v/>
      </c>
      <c r="D25" s="28">
        <f>'C8 GEG Lap LR'!E45+'C8 GEG Lap LR'!E68</f>
        <v/>
      </c>
      <c r="E25" s="39">
        <f>IFERROR(C25*1000000/('C9 GEG Lap Ops'!D18)/'C9 GEG Lap Ops'!D24,0)</f>
        <v/>
      </c>
      <c r="F25" s="39">
        <f>IFERROR(D25*1000000/('C9 GEG Lap Ops'!E18)/'C9 GEG Lap Ops'!E24,0)</f>
        <v/>
      </c>
      <c r="G25" s="47">
        <f>E25-F25</f>
        <v/>
      </c>
      <c r="H25" s="11">
        <f>IF(E25&lt;=F25,"Efisien","Di atas budget")</f>
        <v/>
      </c>
      <c r="J25" s="28">
        <f>'C8 GEG Lap LR'!J45+'C8 GEG Lap LR'!J68</f>
        <v/>
      </c>
      <c r="K25" s="28">
        <f>'C8 GEG Lap LR'!K45+'C8 GEG Lap LR'!K68</f>
        <v/>
      </c>
      <c r="L25" s="39">
        <f>IFERROR(J25*1000000/('C9 GEG Lap Ops'!J18)/'C9 GEG Lap Ops'!J24,0)</f>
        <v/>
      </c>
      <c r="M25" s="39">
        <f>IFERROR(K25*1000000/('C9 GEG Lap Ops'!K18)/'C9 GEG Lap Ops'!K24,0)</f>
        <v/>
      </c>
      <c r="N25" s="47">
        <f>L25-M25</f>
        <v/>
      </c>
      <c r="O25" s="11">
        <f>IF(L25&lt;=M25,"Efisien","Di atas budget")</f>
        <v/>
      </c>
    </row>
    <row r="26">
      <c r="A26" s="48" t="inlineStr">
        <is>
          <t>TOTAL COST (full cost)</t>
        </is>
      </c>
      <c r="B26" s="49" t="inlineStr">
        <is>
          <t>per ton jual</t>
        </is>
      </c>
      <c r="C26" s="50">
        <f>'C8 GEG Lap LR'!D24+'C8 GEG Lap LR'!D30+'C8 GEG Lap LR'!D40+'C8 GEG Lap LR'!D32+'C8 GEG Lap LR'!D59+'C8 GEG Lap LR'!D70+'C8 GEG Lap LR'!D45</f>
        <v/>
      </c>
      <c r="D26" s="50">
        <f>'C8 GEG Lap LR'!E24+'C8 GEG Lap LR'!E30+'C8 GEG Lap LR'!E40+'C8 GEG Lap LR'!E32+'C8 GEG Lap LR'!E59+'C8 GEG Lap LR'!E70+'C8 GEG Lap LR'!E45</f>
        <v/>
      </c>
      <c r="E26" s="52">
        <f>IFERROR(C26*1000000/('C9 GEG Lap Ops'!D18)/'C9 GEG Lap Ops'!D24,0)</f>
        <v/>
      </c>
      <c r="F26" s="52">
        <f>IFERROR(D26*1000000/('C9 GEG Lap Ops'!E18)/'C9 GEG Lap Ops'!E24,0)</f>
        <v/>
      </c>
      <c r="G26" s="53">
        <f>E26-F26</f>
        <v/>
      </c>
      <c r="H26" s="55">
        <f>IF(E26&lt;=F26,"Efisien","Di atas budget")</f>
        <v/>
      </c>
      <c r="I26" s="72" t="n"/>
      <c r="J26" s="50">
        <f>'C8 GEG Lap LR'!J24+'C8 GEG Lap LR'!J30+'C8 GEG Lap LR'!J40+'C8 GEG Lap LR'!J32+'C8 GEG Lap LR'!J59+'C8 GEG Lap LR'!J70+'C8 GEG Lap LR'!J45</f>
        <v/>
      </c>
      <c r="K26" s="50">
        <f>'C8 GEG Lap LR'!K24+'C8 GEG Lap LR'!K30+'C8 GEG Lap LR'!K40+'C8 GEG Lap LR'!K32+'C8 GEG Lap LR'!K59+'C8 GEG Lap LR'!K70+'C8 GEG Lap LR'!K45</f>
        <v/>
      </c>
      <c r="L26" s="52">
        <f>IFERROR(J26*1000000/('C9 GEG Lap Ops'!J18)/'C9 GEG Lap Ops'!J24,0)</f>
        <v/>
      </c>
      <c r="M26" s="52">
        <f>IFERROR(K26*1000000/('C9 GEG Lap Ops'!K18)/'C9 GEG Lap Ops'!K24,0)</f>
        <v/>
      </c>
      <c r="N26" s="53">
        <f>L26-M26</f>
        <v/>
      </c>
      <c r="O26" s="55">
        <f>IF(L26&lt;=M26,"Efisien","Di atas budget")</f>
        <v/>
      </c>
    </row>
    <row r="27">
      <c r="A27" s="48" t="inlineStr">
        <is>
          <t>Harga jual rata-rata (ASP), neto penalti</t>
        </is>
      </c>
      <c r="B27" s="49" t="inlineStr">
        <is>
          <t>per ton jual</t>
        </is>
      </c>
      <c r="C27" s="50">
        <f>'C8 GEG Lap LR'!D10+'C8 GEG Lap LR'!D11</f>
        <v/>
      </c>
      <c r="D27" s="50">
        <f>'C8 GEG Lap LR'!E10+'C8 GEG Lap LR'!E11</f>
        <v/>
      </c>
      <c r="E27" s="52">
        <f>IFERROR(C27*1000000/('C9 GEG Lap Ops'!D18)/'C9 GEG Lap Ops'!D24,0)</f>
        <v/>
      </c>
      <c r="F27" s="52">
        <f>IFERROR(D27*1000000/('C9 GEG Lap Ops'!E18)/'C9 GEG Lap Ops'!E24,0)</f>
        <v/>
      </c>
      <c r="G27" s="53">
        <f>E27-F27</f>
        <v/>
      </c>
      <c r="H27" s="55">
        <f>IF(E27&gt;=F27,"Di atas budget","Di bawah budget")</f>
        <v/>
      </c>
      <c r="I27" s="72" t="n"/>
      <c r="J27" s="50">
        <f>'C8 GEG Lap LR'!J10+'C8 GEG Lap LR'!J11</f>
        <v/>
      </c>
      <c r="K27" s="50">
        <f>'C8 GEG Lap LR'!K10+'C8 GEG Lap LR'!K11</f>
        <v/>
      </c>
      <c r="L27" s="52">
        <f>IFERROR(J27*1000000/('C9 GEG Lap Ops'!J18)/'C9 GEG Lap Ops'!J24,0)</f>
        <v/>
      </c>
      <c r="M27" s="52">
        <f>IFERROR(K27*1000000/('C9 GEG Lap Ops'!K18)/'C9 GEG Lap Ops'!K24,0)</f>
        <v/>
      </c>
      <c r="N27" s="53">
        <f>L27-M27</f>
        <v/>
      </c>
      <c r="O27" s="55">
        <f>IF(L27&gt;=M27,"Di atas budget","Di bawah budget")</f>
        <v/>
      </c>
    </row>
    <row r="28">
      <c r="A28" s="48" t="inlineStr">
        <is>
          <t>MARJIN KAS PER TON (ASP – total cash cost)</t>
        </is>
      </c>
      <c r="B28" s="49" t="inlineStr">
        <is>
          <t>per ton jual</t>
        </is>
      </c>
      <c r="C28" s="58">
        <f>C27-C24</f>
        <v/>
      </c>
      <c r="D28" s="58">
        <f>D27-D24</f>
        <v/>
      </c>
      <c r="E28" s="52">
        <f>IFERROR(C28*1000000/('C9 GEG Lap Ops'!D18)/'C9 GEG Lap Ops'!D24,0)</f>
        <v/>
      </c>
      <c r="F28" s="52">
        <f>IFERROR(D28*1000000/('C9 GEG Lap Ops'!E18)/'C9 GEG Lap Ops'!E24,0)</f>
        <v/>
      </c>
      <c r="G28" s="53">
        <f>E28-F28</f>
        <v/>
      </c>
      <c r="H28" s="55">
        <f>IF(E28&gt;=F28,"Di atas budget","Di bawah budget")</f>
        <v/>
      </c>
      <c r="I28" s="72" t="n"/>
      <c r="J28" s="58">
        <f>J27-J24</f>
        <v/>
      </c>
      <c r="K28" s="58">
        <f>K27-K24</f>
        <v/>
      </c>
      <c r="L28" s="52">
        <f>IFERROR(J28*1000000/('C9 GEG Lap Ops'!J18)/'C9 GEG Lap Ops'!J24,0)</f>
        <v/>
      </c>
      <c r="M28" s="52">
        <f>IFERROR(K28*1000000/('C9 GEG Lap Ops'!K18)/'C9 GEG Lap Ops'!K24,0)</f>
        <v/>
      </c>
      <c r="N28" s="53">
        <f>L28-M28</f>
        <v/>
      </c>
      <c r="O28" s="55">
        <f>IF(L28&gt;=M28,"Di atas budget","Di bawah budget")</f>
        <v/>
      </c>
    </row>
    <row r="29">
      <c r="A29" s="3" t="inlineStr">
        <is>
          <t>Status baris ASP/marjin: "Di atas budget" = baik. Status baris biaya: "Efisien" = biaya/unit ≤ budget.</t>
        </is>
      </c>
    </row>
  </sheetData>
  <conditionalFormatting sqref="H6:H28">
    <cfRule type="cellIs" priority="1" operator="equal" dxfId="0">
      <formula>"Efisien"</formula>
    </cfRule>
    <cfRule type="cellIs" priority="2" operator="equal" dxfId="1">
      <formula>"Di atas budget"</formula>
    </cfRule>
  </conditionalFormatting>
  <conditionalFormatting sqref="O6:O28">
    <cfRule type="cellIs" priority="3" operator="equal" dxfId="0">
      <formula>"Efisien"</formula>
    </cfRule>
    <cfRule type="cellIs" priority="4" operator="equal" dxfId="1">
      <formula>"Di atas budget"</formula>
    </cfRule>
  </conditionalFormatting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O5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4" customWidth="1" min="3" max="3"/>
    <col width="36" customWidth="1" min="4" max="4"/>
    <col width="10" customWidth="1" min="5" max="5"/>
    <col width="10" customWidth="1" min="6" max="6"/>
    <col width="8" customWidth="1" min="7" max="7"/>
    <col width="14" customWidth="1" min="8" max="8"/>
    <col width="14" customWidth="1" min="9" max="9"/>
    <col width="11" customWidth="1" min="10" max="10"/>
    <col width="9" customWidth="1" min="11" max="11"/>
    <col width="11" customWidth="1" min="12" max="12"/>
    <col width="10" customWidth="1" min="13" max="13"/>
    <col width="15" customWidth="1" min="14" max="14"/>
    <col width="16" customWidth="1" min="15" max="15"/>
  </cols>
  <sheetData>
    <row r="1">
      <c r="A1" s="1" t="inlineStr">
        <is>
          <t>GEG – KPI Scorecard Manajemen (YTD)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>
        <f>"PT Global Energy Group | Periode: Jan – "&amp;'C1 GEG Setting'!$C$7&amp;" "&amp;'C1 GEG Setting'!$C$5&amp;" (YTD) | Target = Budget YTD kecuali ditandai input"</f>
        <v/>
      </c>
    </row>
    <row r="3"/>
    <row r="4"/>
    <row r="5" ht="30" customHeight="1">
      <c r="A5" s="16" t="inlineStr">
        <is>
          <t>No</t>
        </is>
      </c>
      <c r="B5" s="16" t="inlineStr">
        <is>
          <t>Perspektif</t>
        </is>
      </c>
      <c r="C5" s="16" t="inlineStr">
        <is>
          <t>KPI</t>
        </is>
      </c>
      <c r="D5" s="16" t="inlineStr">
        <is>
          <t>Definisi / rumus</t>
        </is>
      </c>
      <c r="E5" s="16" t="inlineStr">
        <is>
          <t>Satuan</t>
        </is>
      </c>
      <c r="F5" s="16" t="inlineStr">
        <is>
          <t>Polaritas</t>
        </is>
      </c>
      <c r="G5" s="16" t="inlineStr">
        <is>
          <t>Bobot</t>
        </is>
      </c>
      <c r="H5" s="16" t="inlineStr">
        <is>
          <t>Target</t>
        </is>
      </c>
      <c r="I5" s="16" t="inlineStr">
        <is>
          <t>Aktual</t>
        </is>
      </c>
      <c r="J5" s="16" t="inlineStr">
        <is>
          <t>Pencapaian</t>
        </is>
      </c>
      <c r="K5" s="16" t="inlineStr">
        <is>
          <t>Skor (1–5)</t>
        </is>
      </c>
      <c r="L5" s="16" t="inlineStr">
        <is>
          <t>Skor tertimbang</t>
        </is>
      </c>
      <c r="M5" s="16" t="inlineStr">
        <is>
          <t>Status</t>
        </is>
      </c>
      <c r="N5" s="16" t="inlineStr">
        <is>
          <t>PIC</t>
        </is>
      </c>
      <c r="O5" s="16" t="inlineStr">
        <is>
          <t>Sumber target</t>
        </is>
      </c>
    </row>
    <row r="6">
      <c r="A6" s="4" t="inlineStr">
        <is>
          <t>A. PENDAPATAN (25%)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1" t="n">
        <v>1</v>
      </c>
      <c r="B7" s="8" t="inlineStr">
        <is>
          <t>PENDAPATAN</t>
        </is>
      </c>
      <c r="C7" s="46" t="inlineStr">
        <is>
          <t>Pendapatan bersih</t>
        </is>
      </c>
      <c r="D7" s="3" t="inlineStr">
        <is>
          <t>Total pendapatan neto YTD</t>
        </is>
      </c>
      <c r="E7" s="45" t="inlineStr">
        <is>
          <t>Rp juta</t>
        </is>
      </c>
      <c r="F7" s="11" t="inlineStr">
        <is>
          <t>Higher</t>
        </is>
      </c>
      <c r="G7" s="25" t="n">
        <v>0.07000000000000001</v>
      </c>
      <c r="H7" s="28">
        <f>'C8 GEG Lap LR'!K13</f>
        <v/>
      </c>
      <c r="I7" s="28">
        <f>'C8 GEG Lap LR'!J13</f>
        <v/>
      </c>
      <c r="J7" s="42">
        <f>MIN('C1 GEG Setting'!$C$18,IF(F7="Lower",IF(I7&lt;=0,'C1 GEG Setting'!$C$18,IF(H7&lt;=0,0,H7/I7)),IFERROR(I7/H7,0)))</f>
        <v/>
      </c>
      <c r="K7" s="59">
        <f>IF(J7&gt;='C1 GEG Setting'!$C$12,5,IF(J7&gt;='C1 GEG Setting'!$C$13,4,IF(J7&gt;='C1 GEG Setting'!$C$14,3,IF(J7&gt;='C1 GEG Setting'!$C$15,2,1))))</f>
        <v/>
      </c>
      <c r="L7" s="47">
        <f>K7*G7</f>
        <v/>
      </c>
      <c r="M7" s="12">
        <f>IF(J7&gt;='C1 GEG Setting'!$C$16,"Hijau",IF(J7&gt;='C1 GEG Setting'!$C$17,"Kuning","Merah"))</f>
        <v/>
      </c>
      <c r="N7" s="8" t="inlineStr">
        <is>
          <t>Dir. Komersial</t>
        </is>
      </c>
      <c r="O7" s="3" t="inlineStr">
        <is>
          <t>Budget</t>
        </is>
      </c>
    </row>
    <row r="8">
      <c r="A8" s="61" t="n">
        <v>2</v>
      </c>
      <c r="B8" s="8" t="inlineStr">
        <is>
          <t>PENDAPATAN</t>
        </is>
      </c>
      <c r="C8" s="46" t="inlineStr">
        <is>
          <t>Volume penjualan</t>
        </is>
      </c>
      <c r="D8" s="3" t="inlineStr">
        <is>
          <t>Total ton terjual YTD</t>
        </is>
      </c>
      <c r="E8" s="45" t="inlineStr">
        <is>
          <t>ton</t>
        </is>
      </c>
      <c r="F8" s="11" t="inlineStr">
        <is>
          <t>Higher</t>
        </is>
      </c>
      <c r="G8" s="25" t="n">
        <v>0.05</v>
      </c>
      <c r="H8" s="28">
        <f>'C9 GEG Lap Ops'!K18</f>
        <v/>
      </c>
      <c r="I8" s="28">
        <f>'C9 GEG Lap Ops'!J18</f>
        <v/>
      </c>
      <c r="J8" s="42">
        <f>MIN('C1 GEG Setting'!$C$18,IF(F8="Lower",IF(I8&lt;=0,'C1 GEG Setting'!$C$18,IF(H8&lt;=0,0,H8/I8)),IFERROR(I8/H8,0)))</f>
        <v/>
      </c>
      <c r="K8" s="59">
        <f>IF(J8&gt;='C1 GEG Setting'!$C$12,5,IF(J8&gt;='C1 GEG Setting'!$C$13,4,IF(J8&gt;='C1 GEG Setting'!$C$14,3,IF(J8&gt;='C1 GEG Setting'!$C$15,2,1))))</f>
        <v/>
      </c>
      <c r="L8" s="47">
        <f>K8*G8</f>
        <v/>
      </c>
      <c r="M8" s="12">
        <f>IF(J8&gt;='C1 GEG Setting'!$C$16,"Hijau",IF(J8&gt;='C1 GEG Setting'!$C$17,"Kuning","Merah"))</f>
        <v/>
      </c>
      <c r="N8" s="8" t="inlineStr">
        <is>
          <t>Marketing</t>
        </is>
      </c>
      <c r="O8" s="3" t="inlineStr">
        <is>
          <t>Budget</t>
        </is>
      </c>
    </row>
    <row r="9">
      <c r="A9" s="61" t="n">
        <v>3</v>
      </c>
      <c r="B9" s="8" t="inlineStr">
        <is>
          <t>PENDAPATAN</t>
        </is>
      </c>
      <c r="C9" s="46" t="inlineStr">
        <is>
          <t>ASP rata-rata</t>
        </is>
      </c>
      <c r="D9" s="3" t="inlineStr">
        <is>
          <t>Pendapatan batubara neto ÷ ton ÷ kurs</t>
        </is>
      </c>
      <c r="E9" s="45" t="inlineStr">
        <is>
          <t>USD/t</t>
        </is>
      </c>
      <c r="F9" s="11" t="inlineStr">
        <is>
          <t>Higher</t>
        </is>
      </c>
      <c r="G9" s="25" t="n">
        <v>0.04</v>
      </c>
      <c r="H9" s="39">
        <f>'C10 GEG COP'!M27</f>
        <v/>
      </c>
      <c r="I9" s="39">
        <f>'C10 GEG COP'!L27</f>
        <v/>
      </c>
      <c r="J9" s="42">
        <f>MIN('C1 GEG Setting'!$C$18,IF(F9="Lower",IF(I9&lt;=0,'C1 GEG Setting'!$C$18,IF(H9&lt;=0,0,H9/I9)),IFERROR(I9/H9,0)))</f>
        <v/>
      </c>
      <c r="K9" s="59">
        <f>IF(J9&gt;='C1 GEG Setting'!$C$12,5,IF(J9&gt;='C1 GEG Setting'!$C$13,4,IF(J9&gt;='C1 GEG Setting'!$C$14,3,IF(J9&gt;='C1 GEG Setting'!$C$15,2,1))))</f>
        <v/>
      </c>
      <c r="L9" s="47">
        <f>K9*G9</f>
        <v/>
      </c>
      <c r="M9" s="12">
        <f>IF(J9&gt;='C1 GEG Setting'!$C$16,"Hijau",IF(J9&gt;='C1 GEG Setting'!$C$17,"Kuning","Merah"))</f>
        <v/>
      </c>
      <c r="N9" s="8" t="inlineStr">
        <is>
          <t>Marketing</t>
        </is>
      </c>
      <c r="O9" s="3" t="inlineStr">
        <is>
          <t>Budget</t>
        </is>
      </c>
    </row>
    <row r="10">
      <c r="A10" s="61" t="n">
        <v>4</v>
      </c>
      <c r="B10" s="8" t="inlineStr">
        <is>
          <t>PENDAPATAN</t>
        </is>
      </c>
      <c r="C10" s="46" t="inlineStr">
        <is>
          <t>Realisasi harga ekspor vs indeks</t>
        </is>
      </c>
      <c r="D10" s="3" t="inlineStr">
        <is>
          <t>ASP ekspor ÷ indeks acuan</t>
        </is>
      </c>
      <c r="E10" s="45" t="inlineStr">
        <is>
          <t>%</t>
        </is>
      </c>
      <c r="F10" s="11" t="inlineStr">
        <is>
          <t>Higher</t>
        </is>
      </c>
      <c r="G10" s="25" t="n">
        <v>0.03</v>
      </c>
      <c r="H10" s="25" t="n">
        <v>0.95</v>
      </c>
      <c r="I10" s="42">
        <f>IFERROR('C9 GEG Lap Ops'!J19/'C9 GEG Lap Ops'!J22,0)</f>
        <v/>
      </c>
      <c r="J10" s="42">
        <f>MIN('C1 GEG Setting'!$C$18,IF(F10="Lower",IF(I10&lt;=0,'C1 GEG Setting'!$C$18,IF(H10&lt;=0,0,H10/I10)),IFERROR(I10/H10,0)))</f>
        <v/>
      </c>
      <c r="K10" s="59">
        <f>IF(J10&gt;='C1 GEG Setting'!$C$12,5,IF(J10&gt;='C1 GEG Setting'!$C$13,4,IF(J10&gt;='C1 GEG Setting'!$C$14,3,IF(J10&gt;='C1 GEG Setting'!$C$15,2,1))))</f>
        <v/>
      </c>
      <c r="L10" s="47">
        <f>K10*G10</f>
        <v/>
      </c>
      <c r="M10" s="12">
        <f>IF(J10&gt;='C1 GEG Setting'!$C$16,"Hijau",IF(J10&gt;='C1 GEG Setting'!$C$17,"Kuning","Merah"))</f>
        <v/>
      </c>
      <c r="N10" s="8" t="inlineStr">
        <is>
          <t>Marketing</t>
        </is>
      </c>
      <c r="O10" s="3" t="inlineStr">
        <is>
          <t>Input</t>
        </is>
      </c>
    </row>
    <row r="11">
      <c r="A11" s="61" t="n">
        <v>5</v>
      </c>
      <c r="B11" s="8" t="inlineStr">
        <is>
          <t>PENDAPATAN</t>
        </is>
      </c>
      <c r="C11" s="46" t="inlineStr">
        <is>
          <t>Penalti kualitas thd penjualan</t>
        </is>
      </c>
      <c r="D11" s="3" t="inlineStr">
        <is>
          <t>|Penalti| ÷ penjualan batubara</t>
        </is>
      </c>
      <c r="E11" s="45" t="inlineStr">
        <is>
          <t>%</t>
        </is>
      </c>
      <c r="F11" s="11" t="inlineStr">
        <is>
          <t>Lower</t>
        </is>
      </c>
      <c r="G11" s="25" t="n">
        <v>0.03</v>
      </c>
      <c r="H11" s="90">
        <f>IFERROR(-'C8 GEG Lap LR'!K11/'C8 GEG Lap LR'!K10,0)</f>
        <v/>
      </c>
      <c r="I11" s="90">
        <f>IFERROR(-'C8 GEG Lap LR'!J11/'C8 GEG Lap LR'!J10,0)</f>
        <v/>
      </c>
      <c r="J11" s="42">
        <f>MIN('C1 GEG Setting'!$C$18,IF(F11="Lower",IF(I11&lt;=0,'C1 GEG Setting'!$C$18,IF(H11&lt;=0,0,H11/I11)),IFERROR(I11/H11,0)))</f>
        <v/>
      </c>
      <c r="K11" s="59">
        <f>IF(J11&gt;='C1 GEG Setting'!$C$12,5,IF(J11&gt;='C1 GEG Setting'!$C$13,4,IF(J11&gt;='C1 GEG Setting'!$C$14,3,IF(J11&gt;='C1 GEG Setting'!$C$15,2,1))))</f>
        <v/>
      </c>
      <c r="L11" s="47">
        <f>K11*G11</f>
        <v/>
      </c>
      <c r="M11" s="12">
        <f>IF(J11&gt;='C1 GEG Setting'!$C$16,"Hijau",IF(J11&gt;='C1 GEG Setting'!$C$17,"Kuning","Merah"))</f>
        <v/>
      </c>
      <c r="N11" s="8" t="inlineStr">
        <is>
          <t>QC</t>
        </is>
      </c>
      <c r="O11" s="3" t="inlineStr">
        <is>
          <t>Budget</t>
        </is>
      </c>
    </row>
    <row r="12">
      <c r="A12" s="61" t="n">
        <v>6</v>
      </c>
      <c r="B12" s="8" t="inlineStr">
        <is>
          <t>PENDAPATAN</t>
        </is>
      </c>
      <c r="C12" s="46" t="inlineStr">
        <is>
          <t>Kepatuhan DMO</t>
        </is>
      </c>
      <c r="D12" s="3" t="inlineStr">
        <is>
          <t>Ton DMO ÷ total penjualan</t>
        </is>
      </c>
      <c r="E12" s="45" t="inlineStr">
        <is>
          <t>%</t>
        </is>
      </c>
      <c r="F12" s="11" t="inlineStr">
        <is>
          <t>Higher</t>
        </is>
      </c>
      <c r="G12" s="25" t="n">
        <v>0.03</v>
      </c>
      <c r="H12" s="25" t="n">
        <v>0.25</v>
      </c>
      <c r="I12" s="42">
        <f>IFERROR('C9 GEG Lap Ops'!J16/'C9 GEG Lap Ops'!J18,0)</f>
        <v/>
      </c>
      <c r="J12" s="42">
        <f>MIN('C1 GEG Setting'!$C$18,IF(F12="Lower",IF(I12&lt;=0,'C1 GEG Setting'!$C$18,IF(H12&lt;=0,0,H12/I12)),IFERROR(I12/H12,0)))</f>
        <v/>
      </c>
      <c r="K12" s="59">
        <f>IF(J12&gt;='C1 GEG Setting'!$C$12,5,IF(J12&gt;='C1 GEG Setting'!$C$13,4,IF(J12&gt;='C1 GEG Setting'!$C$14,3,IF(J12&gt;='C1 GEG Setting'!$C$15,2,1))))</f>
        <v/>
      </c>
      <c r="L12" s="47">
        <f>K12*G12</f>
        <v/>
      </c>
      <c r="M12" s="12">
        <f>IF(J12&gt;='C1 GEG Setting'!$C$16,"Hijau",IF(J12&gt;='C1 GEG Setting'!$C$17,"Kuning","Merah"))</f>
        <v/>
      </c>
      <c r="N12" s="8" t="inlineStr">
        <is>
          <t>Marketing</t>
        </is>
      </c>
      <c r="O12" s="3" t="inlineStr">
        <is>
          <t>Regulasi</t>
        </is>
      </c>
    </row>
    <row r="13">
      <c r="A13" s="4" t="inlineStr">
        <is>
          <t>B. COST OF PRODUCTION (30%)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1" t="n">
        <v>7</v>
      </c>
      <c r="B14" s="8" t="inlineStr">
        <is>
          <t>COST OF PRODUCTION</t>
        </is>
      </c>
      <c r="C14" s="46" t="inlineStr">
        <is>
          <t>Stripping ratio</t>
        </is>
      </c>
      <c r="D14" s="3" t="inlineStr">
        <is>
          <t>OB bcm ÷ ton batubara</t>
        </is>
      </c>
      <c r="E14" s="45" t="inlineStr">
        <is>
          <t>bcm/t</t>
        </is>
      </c>
      <c r="F14" s="11" t="inlineStr">
        <is>
          <t>Lower</t>
        </is>
      </c>
      <c r="G14" s="25" t="n">
        <v>0.04</v>
      </c>
      <c r="H14" s="39">
        <f>'C9 GEG Lap Ops'!K9</f>
        <v/>
      </c>
      <c r="I14" s="39">
        <f>'C9 GEG Lap Ops'!J9</f>
        <v/>
      </c>
      <c r="J14" s="42">
        <f>MIN('C1 GEG Setting'!$C$18,IF(F14="Lower",IF(I14&lt;=0,'C1 GEG Setting'!$C$18,IF(H14&lt;=0,0,H14/I14)),IFERROR(I14/H14,0)))</f>
        <v/>
      </c>
      <c r="K14" s="59">
        <f>IF(J14&gt;='C1 GEG Setting'!$C$12,5,IF(J14&gt;='C1 GEG Setting'!$C$13,4,IF(J14&gt;='C1 GEG Setting'!$C$14,3,IF(J14&gt;='C1 GEG Setting'!$C$15,2,1))))</f>
        <v/>
      </c>
      <c r="L14" s="47">
        <f>K14*G14</f>
        <v/>
      </c>
      <c r="M14" s="12">
        <f>IF(J14&gt;='C1 GEG Setting'!$C$16,"Hijau",IF(J14&gt;='C1 GEG Setting'!$C$17,"Kuning","Merah"))</f>
        <v/>
      </c>
      <c r="N14" s="8" t="inlineStr">
        <is>
          <t>Mine Planning</t>
        </is>
      </c>
      <c r="O14" s="3" t="inlineStr">
        <is>
          <t>Budget</t>
        </is>
      </c>
    </row>
    <row r="15">
      <c r="A15" s="61" t="n">
        <v>8</v>
      </c>
      <c r="B15" s="8" t="inlineStr">
        <is>
          <t>COST OF PRODUCTION</t>
        </is>
      </c>
      <c r="C15" s="46" t="inlineStr">
        <is>
          <t>Biaya pengupasan OB</t>
        </is>
      </c>
      <c r="D15" s="3" t="inlineStr">
        <is>
          <t>(Kontraktor + BBM + peledakan) ÷ bcm</t>
        </is>
      </c>
      <c r="E15" s="45" t="inlineStr">
        <is>
          <t>USD/bcm</t>
        </is>
      </c>
      <c r="F15" s="11" t="inlineStr">
        <is>
          <t>Lower</t>
        </is>
      </c>
      <c r="G15" s="25" t="n">
        <v>0.05</v>
      </c>
      <c r="H15" s="39">
        <f>'C10 GEG COP'!M9</f>
        <v/>
      </c>
      <c r="I15" s="39">
        <f>'C10 GEG COP'!L9</f>
        <v/>
      </c>
      <c r="J15" s="42">
        <f>MIN('C1 GEG Setting'!$C$18,IF(F15="Lower",IF(I15&lt;=0,'C1 GEG Setting'!$C$18,IF(H15&lt;=0,0,H15/I15)),IFERROR(I15/H15,0)))</f>
        <v/>
      </c>
      <c r="K15" s="59">
        <f>IF(J15&gt;='C1 GEG Setting'!$C$12,5,IF(J15&gt;='C1 GEG Setting'!$C$13,4,IF(J15&gt;='C1 GEG Setting'!$C$14,3,IF(J15&gt;='C1 GEG Setting'!$C$15,2,1))))</f>
        <v/>
      </c>
      <c r="L15" s="47">
        <f>K15*G15</f>
        <v/>
      </c>
      <c r="M15" s="12">
        <f>IF(J15&gt;='C1 GEG Setting'!$C$16,"Hijau",IF(J15&gt;='C1 GEG Setting'!$C$17,"Kuning","Merah"))</f>
        <v/>
      </c>
      <c r="N15" s="8" t="inlineStr">
        <is>
          <t>Mining Ops</t>
        </is>
      </c>
      <c r="O15" s="3" t="inlineStr">
        <is>
          <t>Budget</t>
        </is>
      </c>
    </row>
    <row r="16">
      <c r="A16" s="61" t="n">
        <v>9</v>
      </c>
      <c r="B16" s="8" t="inlineStr">
        <is>
          <t>COST OF PRODUCTION</t>
        </is>
      </c>
      <c r="C16" s="46" t="inlineStr">
        <is>
          <t>Fuel ratio</t>
        </is>
      </c>
      <c r="D16" s="3" t="inlineStr">
        <is>
          <t>Liter BBM ÷ bcm OB</t>
        </is>
      </c>
      <c r="E16" s="45" t="inlineStr">
        <is>
          <t>L/bcm</t>
        </is>
      </c>
      <c r="F16" s="11" t="inlineStr">
        <is>
          <t>Lower</t>
        </is>
      </c>
      <c r="G16" s="25" t="n">
        <v>0.04</v>
      </c>
      <c r="H16" s="39">
        <f>'C9 GEG Lap Ops'!K27</f>
        <v/>
      </c>
      <c r="I16" s="39">
        <f>'C9 GEG Lap Ops'!J27</f>
        <v/>
      </c>
      <c r="J16" s="42">
        <f>MIN('C1 GEG Setting'!$C$18,IF(F16="Lower",IF(I16&lt;=0,'C1 GEG Setting'!$C$18,IF(H16&lt;=0,0,H16/I16)),IFERROR(I16/H16,0)))</f>
        <v/>
      </c>
      <c r="K16" s="59">
        <f>IF(J16&gt;='C1 GEG Setting'!$C$12,5,IF(J16&gt;='C1 GEG Setting'!$C$13,4,IF(J16&gt;='C1 GEG Setting'!$C$14,3,IF(J16&gt;='C1 GEG Setting'!$C$15,2,1))))</f>
        <v/>
      </c>
      <c r="L16" s="47">
        <f>K16*G16</f>
        <v/>
      </c>
      <c r="M16" s="12">
        <f>IF(J16&gt;='C1 GEG Setting'!$C$16,"Hijau",IF(J16&gt;='C1 GEG Setting'!$C$17,"Kuning","Merah"))</f>
        <v/>
      </c>
      <c r="N16" s="8" t="inlineStr">
        <is>
          <t>Mining Ops</t>
        </is>
      </c>
      <c r="O16" s="3" t="inlineStr">
        <is>
          <t>Budget</t>
        </is>
      </c>
    </row>
    <row r="17">
      <c r="A17" s="61" t="n">
        <v>10</v>
      </c>
      <c r="B17" s="8" t="inlineStr">
        <is>
          <t>COST OF PRODUCTION</t>
        </is>
      </c>
      <c r="C17" s="46" t="inlineStr">
        <is>
          <t>Biaya hauling per ton-km</t>
        </is>
      </c>
      <c r="D17" s="3" t="inlineStr">
        <is>
          <t>Biaya hauling ÷ (ton × km)</t>
        </is>
      </c>
      <c r="E17" s="45" t="inlineStr">
        <is>
          <t>USD/t-km</t>
        </is>
      </c>
      <c r="F17" s="11" t="inlineStr">
        <is>
          <t>Lower</t>
        </is>
      </c>
      <c r="G17" s="25" t="n">
        <v>0.03</v>
      </c>
      <c r="H17" s="56">
        <f>'C10 GEG COP'!M15</f>
        <v/>
      </c>
      <c r="I17" s="56">
        <f>'C10 GEG COP'!L15</f>
        <v/>
      </c>
      <c r="J17" s="42">
        <f>MIN('C1 GEG Setting'!$C$18,IF(F17="Lower",IF(I17&lt;=0,'C1 GEG Setting'!$C$18,IF(H17&lt;=0,0,H17/I17)),IFERROR(I17/H17,0)))</f>
        <v/>
      </c>
      <c r="K17" s="59">
        <f>IF(J17&gt;='C1 GEG Setting'!$C$12,5,IF(J17&gt;='C1 GEG Setting'!$C$13,4,IF(J17&gt;='C1 GEG Setting'!$C$14,3,IF(J17&gt;='C1 GEG Setting'!$C$15,2,1))))</f>
        <v/>
      </c>
      <c r="L17" s="47">
        <f>K17*G17</f>
        <v/>
      </c>
      <c r="M17" s="12">
        <f>IF(J17&gt;='C1 GEG Setting'!$C$16,"Hijau",IF(J17&gt;='C1 GEG Setting'!$C$17,"Kuning","Merah"))</f>
        <v/>
      </c>
      <c r="N17" s="8" t="inlineStr">
        <is>
          <t>Logistik</t>
        </is>
      </c>
      <c r="O17" s="3" t="inlineStr">
        <is>
          <t>Budget</t>
        </is>
      </c>
    </row>
    <row r="18">
      <c r="A18" s="61" t="n">
        <v>11</v>
      </c>
      <c r="B18" s="8" t="inlineStr">
        <is>
          <t>COST OF PRODUCTION</t>
        </is>
      </c>
      <c r="C18" s="46" t="inlineStr">
        <is>
          <t>Cash cost FOB excl. royalti</t>
        </is>
      </c>
      <c r="D18" s="3" t="inlineStr">
        <is>
          <t>Lihat C10</t>
        </is>
      </c>
      <c r="E18" s="45" t="inlineStr">
        <is>
          <t>USD/t</t>
        </is>
      </c>
      <c r="F18" s="11" t="inlineStr">
        <is>
          <t>Lower</t>
        </is>
      </c>
      <c r="G18" s="25" t="n">
        <v>0.08</v>
      </c>
      <c r="H18" s="39">
        <f>'C10 GEG COP'!M19</f>
        <v/>
      </c>
      <c r="I18" s="39">
        <f>'C10 GEG COP'!L19</f>
        <v/>
      </c>
      <c r="J18" s="42">
        <f>MIN('C1 GEG Setting'!$C$18,IF(F18="Lower",IF(I18&lt;=0,'C1 GEG Setting'!$C$18,IF(H18&lt;=0,0,H18/I18)),IFERROR(I18/H18,0)))</f>
        <v/>
      </c>
      <c r="K18" s="59">
        <f>IF(J18&gt;='C1 GEG Setting'!$C$12,5,IF(J18&gt;='C1 GEG Setting'!$C$13,4,IF(J18&gt;='C1 GEG Setting'!$C$14,3,IF(J18&gt;='C1 GEG Setting'!$C$15,2,1))))</f>
        <v/>
      </c>
      <c r="L18" s="47">
        <f>K18*G18</f>
        <v/>
      </c>
      <c r="M18" s="12">
        <f>IF(J18&gt;='C1 GEG Setting'!$C$16,"Hijau",IF(J18&gt;='C1 GEG Setting'!$C$17,"Kuning","Merah"))</f>
        <v/>
      </c>
      <c r="N18" s="8" t="inlineStr">
        <is>
          <t>Dir. Operasi</t>
        </is>
      </c>
      <c r="O18" s="3" t="inlineStr">
        <is>
          <t>Budget</t>
        </is>
      </c>
    </row>
    <row r="19">
      <c r="A19" s="61" t="n">
        <v>12</v>
      </c>
      <c r="B19" s="8" t="inlineStr">
        <is>
          <t>COST OF PRODUCTION</t>
        </is>
      </c>
      <c r="C19" s="46" t="inlineStr">
        <is>
          <t>Total cash cost</t>
        </is>
      </c>
      <c r="D19" s="3" t="inlineStr">
        <is>
          <t>Cash cost + royalti + penjualan + G&amp;A</t>
        </is>
      </c>
      <c r="E19" s="45" t="inlineStr">
        <is>
          <t>USD/t</t>
        </is>
      </c>
      <c r="F19" s="11" t="inlineStr">
        <is>
          <t>Lower</t>
        </is>
      </c>
      <c r="G19" s="25" t="n">
        <v>0.06</v>
      </c>
      <c r="H19" s="39">
        <f>'C10 GEG COP'!M24</f>
        <v/>
      </c>
      <c r="I19" s="39">
        <f>'C10 GEG COP'!L24</f>
        <v/>
      </c>
      <c r="J19" s="42">
        <f>MIN('C1 GEG Setting'!$C$18,IF(F19="Lower",IF(I19&lt;=0,'C1 GEG Setting'!$C$18,IF(H19&lt;=0,0,H19/I19)),IFERROR(I19/H19,0)))</f>
        <v/>
      </c>
      <c r="K19" s="59">
        <f>IF(J19&gt;='C1 GEG Setting'!$C$12,5,IF(J19&gt;='C1 GEG Setting'!$C$13,4,IF(J19&gt;='C1 GEG Setting'!$C$14,3,IF(J19&gt;='C1 GEG Setting'!$C$15,2,1))))</f>
        <v/>
      </c>
      <c r="L19" s="47">
        <f>K19*G19</f>
        <v/>
      </c>
      <c r="M19" s="12">
        <f>IF(J19&gt;='C1 GEG Setting'!$C$16,"Hijau",IF(J19&gt;='C1 GEG Setting'!$C$17,"Kuning","Merah"))</f>
        <v/>
      </c>
      <c r="N19" s="8" t="inlineStr">
        <is>
          <t>CFO</t>
        </is>
      </c>
      <c r="O19" s="3" t="inlineStr">
        <is>
          <t>Budget</t>
        </is>
      </c>
    </row>
    <row r="20">
      <c r="A20" s="4" t="inlineStr">
        <is>
          <t>C. PROFITABILITAS (20%)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1" t="n">
        <v>13</v>
      </c>
      <c r="B21" s="8" t="inlineStr">
        <is>
          <t>PROFITABILITAS</t>
        </is>
      </c>
      <c r="C21" s="46" t="inlineStr">
        <is>
          <t>Marjin laba kotor</t>
        </is>
      </c>
      <c r="D21" s="3" t="inlineStr">
        <is>
          <t>Laba kotor ÷ pendapatan</t>
        </is>
      </c>
      <c r="E21" s="45" t="inlineStr">
        <is>
          <t>%</t>
        </is>
      </c>
      <c r="F21" s="11" t="inlineStr">
        <is>
          <t>Higher</t>
        </is>
      </c>
      <c r="G21" s="25" t="n">
        <v>0.05</v>
      </c>
      <c r="H21" s="42">
        <f>'C8 GEG Lap LR'!K50</f>
        <v/>
      </c>
      <c r="I21" s="42">
        <f>'C8 GEG Lap LR'!J50</f>
        <v/>
      </c>
      <c r="J21" s="42">
        <f>MIN('C1 GEG Setting'!$C$18,IF(F21="Lower",IF(I21&lt;=0,'C1 GEG Setting'!$C$18,IF(H21&lt;=0,0,H21/I21)),IFERROR(I21/H21,0)))</f>
        <v/>
      </c>
      <c r="K21" s="59">
        <f>IF(J21&gt;='C1 GEG Setting'!$C$12,5,IF(J21&gt;='C1 GEG Setting'!$C$13,4,IF(J21&gt;='C1 GEG Setting'!$C$14,3,IF(J21&gt;='C1 GEG Setting'!$C$15,2,1))))</f>
        <v/>
      </c>
      <c r="L21" s="47">
        <f>K21*G21</f>
        <v/>
      </c>
      <c r="M21" s="12">
        <f>IF(J21&gt;='C1 GEG Setting'!$C$16,"Hijau",IF(J21&gt;='C1 GEG Setting'!$C$17,"Kuning","Merah"))</f>
        <v/>
      </c>
      <c r="N21" s="8" t="inlineStr">
        <is>
          <t>CFO</t>
        </is>
      </c>
      <c r="O21" s="3" t="inlineStr">
        <is>
          <t>Budget</t>
        </is>
      </c>
    </row>
    <row r="22">
      <c r="A22" s="61" t="n">
        <v>14</v>
      </c>
      <c r="B22" s="8" t="inlineStr">
        <is>
          <t>PROFITABILITAS</t>
        </is>
      </c>
      <c r="C22" s="46" t="inlineStr">
        <is>
          <t>EBITDA</t>
        </is>
      </c>
      <c r="D22" s="3" t="inlineStr">
        <is>
          <t>Laba usaha + D&amp;A</t>
        </is>
      </c>
      <c r="E22" s="45" t="inlineStr">
        <is>
          <t>Rp juta</t>
        </is>
      </c>
      <c r="F22" s="11" t="inlineStr">
        <is>
          <t>Higher</t>
        </is>
      </c>
      <c r="G22" s="25" t="n">
        <v>0.05</v>
      </c>
      <c r="H22" s="28">
        <f>'C8 GEG Lap LR'!K85</f>
        <v/>
      </c>
      <c r="I22" s="28">
        <f>'C8 GEG Lap LR'!J85</f>
        <v/>
      </c>
      <c r="J22" s="42">
        <f>MIN('C1 GEG Setting'!$C$18,IF(F22="Lower",IF(I22&lt;=0,'C1 GEG Setting'!$C$18,IF(H22&lt;=0,0,H22/I22)),IFERROR(I22/H22,0)))</f>
        <v/>
      </c>
      <c r="K22" s="59">
        <f>IF(J22&gt;='C1 GEG Setting'!$C$12,5,IF(J22&gt;='C1 GEG Setting'!$C$13,4,IF(J22&gt;='C1 GEG Setting'!$C$14,3,IF(J22&gt;='C1 GEG Setting'!$C$15,2,1))))</f>
        <v/>
      </c>
      <c r="L22" s="47">
        <f>K22*G22</f>
        <v/>
      </c>
      <c r="M22" s="12">
        <f>IF(J22&gt;='C1 GEG Setting'!$C$16,"Hijau",IF(J22&gt;='C1 GEG Setting'!$C$17,"Kuning","Merah"))</f>
        <v/>
      </c>
      <c r="N22" s="8" t="inlineStr">
        <is>
          <t>CEO</t>
        </is>
      </c>
      <c r="O22" s="3" t="inlineStr">
        <is>
          <t>Budget</t>
        </is>
      </c>
    </row>
    <row r="23">
      <c r="A23" s="61" t="n">
        <v>15</v>
      </c>
      <c r="B23" s="8" t="inlineStr">
        <is>
          <t>PROFITABILITAS</t>
        </is>
      </c>
      <c r="C23" s="46" t="inlineStr">
        <is>
          <t>Marjin EBITDA</t>
        </is>
      </c>
      <c r="D23" s="3" t="inlineStr">
        <is>
          <t>EBITDA ÷ pendapatan</t>
        </is>
      </c>
      <c r="E23" s="45" t="inlineStr">
        <is>
          <t>%</t>
        </is>
      </c>
      <c r="F23" s="11" t="inlineStr">
        <is>
          <t>Higher</t>
        </is>
      </c>
      <c r="G23" s="25" t="n">
        <v>0.04</v>
      </c>
      <c r="H23" s="42">
        <f>'C8 GEG Lap LR'!K86</f>
        <v/>
      </c>
      <c r="I23" s="42">
        <f>'C8 GEG Lap LR'!J86</f>
        <v/>
      </c>
      <c r="J23" s="42">
        <f>MIN('C1 GEG Setting'!$C$18,IF(F23="Lower",IF(I23&lt;=0,'C1 GEG Setting'!$C$18,IF(H23&lt;=0,0,H23/I23)),IFERROR(I23/H23,0)))</f>
        <v/>
      </c>
      <c r="K23" s="59">
        <f>IF(J23&gt;='C1 GEG Setting'!$C$12,5,IF(J23&gt;='C1 GEG Setting'!$C$13,4,IF(J23&gt;='C1 GEG Setting'!$C$14,3,IF(J23&gt;='C1 GEG Setting'!$C$15,2,1))))</f>
        <v/>
      </c>
      <c r="L23" s="47">
        <f>K23*G23</f>
        <v/>
      </c>
      <c r="M23" s="12">
        <f>IF(J23&gt;='C1 GEG Setting'!$C$16,"Hijau",IF(J23&gt;='C1 GEG Setting'!$C$17,"Kuning","Merah"))</f>
        <v/>
      </c>
      <c r="N23" s="8" t="inlineStr">
        <is>
          <t>CFO</t>
        </is>
      </c>
      <c r="O23" s="3" t="inlineStr">
        <is>
          <t>Budget</t>
        </is>
      </c>
    </row>
    <row r="24">
      <c r="A24" s="61" t="n">
        <v>16</v>
      </c>
      <c r="B24" s="8" t="inlineStr">
        <is>
          <t>PROFITABILITAS</t>
        </is>
      </c>
      <c r="C24" s="46" t="inlineStr">
        <is>
          <t>Marjin kas per ton</t>
        </is>
      </c>
      <c r="D24" s="3" t="inlineStr">
        <is>
          <t>ASP – total cash cost</t>
        </is>
      </c>
      <c r="E24" s="45" t="inlineStr">
        <is>
          <t>USD/t</t>
        </is>
      </c>
      <c r="F24" s="11" t="inlineStr">
        <is>
          <t>Higher</t>
        </is>
      </c>
      <c r="G24" s="25" t="n">
        <v>0.03</v>
      </c>
      <c r="H24" s="39">
        <f>'C10 GEG COP'!M28</f>
        <v/>
      </c>
      <c r="I24" s="39">
        <f>'C10 GEG COP'!L28</f>
        <v/>
      </c>
      <c r="J24" s="42">
        <f>MIN('C1 GEG Setting'!$C$18,IF(F24="Lower",IF(I24&lt;=0,'C1 GEG Setting'!$C$18,IF(H24&lt;=0,0,H24/I24)),IFERROR(I24/H24,0)))</f>
        <v/>
      </c>
      <c r="K24" s="59">
        <f>IF(J24&gt;='C1 GEG Setting'!$C$12,5,IF(J24&gt;='C1 GEG Setting'!$C$13,4,IF(J24&gt;='C1 GEG Setting'!$C$14,3,IF(J24&gt;='C1 GEG Setting'!$C$15,2,1))))</f>
        <v/>
      </c>
      <c r="L24" s="47">
        <f>K24*G24</f>
        <v/>
      </c>
      <c r="M24" s="12">
        <f>IF(J24&gt;='C1 GEG Setting'!$C$16,"Hijau",IF(J24&gt;='C1 GEG Setting'!$C$17,"Kuning","Merah"))</f>
        <v/>
      </c>
      <c r="N24" s="8" t="inlineStr">
        <is>
          <t>CFO</t>
        </is>
      </c>
      <c r="O24" s="3" t="inlineStr">
        <is>
          <t>Budget</t>
        </is>
      </c>
    </row>
    <row r="25">
      <c r="A25" s="61" t="n">
        <v>17</v>
      </c>
      <c r="B25" s="8" t="inlineStr">
        <is>
          <t>PROFITABILITAS</t>
        </is>
      </c>
      <c r="C25" s="46" t="inlineStr">
        <is>
          <t>Laba bersih</t>
        </is>
      </c>
      <c r="D25" s="3" t="inlineStr">
        <is>
          <t>Laba setelah pajak</t>
        </is>
      </c>
      <c r="E25" s="45" t="inlineStr">
        <is>
          <t>Rp juta</t>
        </is>
      </c>
      <c r="F25" s="11" t="inlineStr">
        <is>
          <t>Higher</t>
        </is>
      </c>
      <c r="G25" s="25" t="n">
        <v>0.03</v>
      </c>
      <c r="H25" s="28">
        <f>'C8 GEG Lap LR'!K82</f>
        <v/>
      </c>
      <c r="I25" s="28">
        <f>'C8 GEG Lap LR'!J82</f>
        <v/>
      </c>
      <c r="J25" s="42">
        <f>MIN('C1 GEG Setting'!$C$18,IF(F25="Lower",IF(I25&lt;=0,'C1 GEG Setting'!$C$18,IF(H25&lt;=0,0,H25/I25)),IFERROR(I25/H25,0)))</f>
        <v/>
      </c>
      <c r="K25" s="59">
        <f>IF(J25&gt;='C1 GEG Setting'!$C$12,5,IF(J25&gt;='C1 GEG Setting'!$C$13,4,IF(J25&gt;='C1 GEG Setting'!$C$14,3,IF(J25&gt;='C1 GEG Setting'!$C$15,2,1))))</f>
        <v/>
      </c>
      <c r="L25" s="47">
        <f>K25*G25</f>
        <v/>
      </c>
      <c r="M25" s="12">
        <f>IF(J25&gt;='C1 GEG Setting'!$C$16,"Hijau",IF(J25&gt;='C1 GEG Setting'!$C$17,"Kuning","Merah"))</f>
        <v/>
      </c>
      <c r="N25" s="8" t="inlineStr">
        <is>
          <t>CEO</t>
        </is>
      </c>
      <c r="O25" s="3" t="inlineStr">
        <is>
          <t>Budget</t>
        </is>
      </c>
    </row>
    <row r="26">
      <c r="A26" s="4" t="inlineStr">
        <is>
          <t>D. OPERASIONAL (15%)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1" t="n">
        <v>18</v>
      </c>
      <c r="B27" s="8" t="inlineStr">
        <is>
          <t>OPERASIONAL</t>
        </is>
      </c>
      <c r="C27" s="46" t="inlineStr">
        <is>
          <t>Produksi batubara</t>
        </is>
      </c>
      <c r="D27" s="3" t="inlineStr">
        <is>
          <t>Ton ROM YTD</t>
        </is>
      </c>
      <c r="E27" s="45" t="inlineStr">
        <is>
          <t>ton</t>
        </is>
      </c>
      <c r="F27" s="11" t="inlineStr">
        <is>
          <t>Higher</t>
        </is>
      </c>
      <c r="G27" s="25" t="n">
        <v>0.04</v>
      </c>
      <c r="H27" s="28">
        <f>'C9 GEG Lap Ops'!K8</f>
        <v/>
      </c>
      <c r="I27" s="28">
        <f>'C9 GEG Lap Ops'!J8</f>
        <v/>
      </c>
      <c r="J27" s="42">
        <f>MIN('C1 GEG Setting'!$C$18,IF(F27="Lower",IF(I27&lt;=0,'C1 GEG Setting'!$C$18,IF(H27&lt;=0,0,H27/I27)),IFERROR(I27/H27,0)))</f>
        <v/>
      </c>
      <c r="K27" s="59">
        <f>IF(J27&gt;='C1 GEG Setting'!$C$12,5,IF(J27&gt;='C1 GEG Setting'!$C$13,4,IF(J27&gt;='C1 GEG Setting'!$C$14,3,IF(J27&gt;='C1 GEG Setting'!$C$15,2,1))))</f>
        <v/>
      </c>
      <c r="L27" s="47">
        <f>K27*G27</f>
        <v/>
      </c>
      <c r="M27" s="12">
        <f>IF(J27&gt;='C1 GEG Setting'!$C$16,"Hijau",IF(J27&gt;='C1 GEG Setting'!$C$17,"Kuning","Merah"))</f>
        <v/>
      </c>
      <c r="N27" s="8" t="inlineStr">
        <is>
          <t>Mining Ops</t>
        </is>
      </c>
      <c r="O27" s="3" t="inlineStr">
        <is>
          <t>Budget</t>
        </is>
      </c>
    </row>
    <row r="28">
      <c r="A28" s="61" t="n">
        <v>19</v>
      </c>
      <c r="B28" s="8" t="inlineStr">
        <is>
          <t>OPERASIONAL</t>
        </is>
      </c>
      <c r="C28" s="46" t="inlineStr">
        <is>
          <t>OB removal</t>
        </is>
      </c>
      <c r="D28" s="3" t="inlineStr">
        <is>
          <t>bcm YTD</t>
        </is>
      </c>
      <c r="E28" s="45" t="inlineStr">
        <is>
          <t>bcm</t>
        </is>
      </c>
      <c r="F28" s="11" t="inlineStr">
        <is>
          <t>Higher</t>
        </is>
      </c>
      <c r="G28" s="25" t="n">
        <v>0.03</v>
      </c>
      <c r="H28" s="28">
        <f>'C9 GEG Lap Ops'!K7</f>
        <v/>
      </c>
      <c r="I28" s="28">
        <f>'C9 GEG Lap Ops'!J7</f>
        <v/>
      </c>
      <c r="J28" s="42">
        <f>MIN('C1 GEG Setting'!$C$18,IF(F28="Lower",IF(I28&lt;=0,'C1 GEG Setting'!$C$18,IF(H28&lt;=0,0,H28/I28)),IFERROR(I28/H28,0)))</f>
        <v/>
      </c>
      <c r="K28" s="59">
        <f>IF(J28&gt;='C1 GEG Setting'!$C$12,5,IF(J28&gt;='C1 GEG Setting'!$C$13,4,IF(J28&gt;='C1 GEG Setting'!$C$14,3,IF(J28&gt;='C1 GEG Setting'!$C$15,2,1))))</f>
        <v/>
      </c>
      <c r="L28" s="47">
        <f>K28*G28</f>
        <v/>
      </c>
      <c r="M28" s="12">
        <f>IF(J28&gt;='C1 GEG Setting'!$C$16,"Hijau",IF(J28&gt;='C1 GEG Setting'!$C$17,"Kuning","Merah"))</f>
        <v/>
      </c>
      <c r="N28" s="8" t="inlineStr">
        <is>
          <t>Mining Ops</t>
        </is>
      </c>
      <c r="O28" s="3" t="inlineStr">
        <is>
          <t>Budget</t>
        </is>
      </c>
    </row>
    <row r="29">
      <c r="A29" s="61" t="n">
        <v>20</v>
      </c>
      <c r="B29" s="8" t="inlineStr">
        <is>
          <t>OPERASIONAL</t>
        </is>
      </c>
      <c r="C29" s="46" t="inlineStr">
        <is>
          <t>Physical availability</t>
        </is>
      </c>
      <c r="D29" s="3" t="inlineStr">
        <is>
          <t>Rata-rata PA armada utama</t>
        </is>
      </c>
      <c r="E29" s="45" t="inlineStr">
        <is>
          <t>%</t>
        </is>
      </c>
      <c r="F29" s="11" t="inlineStr">
        <is>
          <t>Higher</t>
        </is>
      </c>
      <c r="G29" s="25" t="n">
        <v>0.02</v>
      </c>
      <c r="H29" s="42">
        <f>'C9 GEG Lap Ops'!K29</f>
        <v/>
      </c>
      <c r="I29" s="42">
        <f>'C9 GEG Lap Ops'!J29</f>
        <v/>
      </c>
      <c r="J29" s="42">
        <f>MIN('C1 GEG Setting'!$C$18,IF(F29="Lower",IF(I29&lt;=0,'C1 GEG Setting'!$C$18,IF(H29&lt;=0,0,H29/I29)),IFERROR(I29/H29,0)))</f>
        <v/>
      </c>
      <c r="K29" s="59">
        <f>IF(J29&gt;='C1 GEG Setting'!$C$12,5,IF(J29&gt;='C1 GEG Setting'!$C$13,4,IF(J29&gt;='C1 GEG Setting'!$C$14,3,IF(J29&gt;='C1 GEG Setting'!$C$15,2,1))))</f>
        <v/>
      </c>
      <c r="L29" s="47">
        <f>K29*G29</f>
        <v/>
      </c>
      <c r="M29" s="12">
        <f>IF(J29&gt;='C1 GEG Setting'!$C$16,"Hijau",IF(J29&gt;='C1 GEG Setting'!$C$17,"Kuning","Merah"))</f>
        <v/>
      </c>
      <c r="N29" s="8" t="inlineStr">
        <is>
          <t>Plant</t>
        </is>
      </c>
      <c r="O29" s="3" t="inlineStr">
        <is>
          <t>Budget</t>
        </is>
      </c>
    </row>
    <row r="30">
      <c r="A30" s="61" t="n">
        <v>21</v>
      </c>
      <c r="B30" s="8" t="inlineStr">
        <is>
          <t>OPERASIONAL</t>
        </is>
      </c>
      <c r="C30" s="46" t="inlineStr">
        <is>
          <t>Use of availability</t>
        </is>
      </c>
      <c r="D30" s="3" t="inlineStr">
        <is>
          <t>Rata-rata UA armada utama</t>
        </is>
      </c>
      <c r="E30" s="45" t="inlineStr">
        <is>
          <t>%</t>
        </is>
      </c>
      <c r="F30" s="11" t="inlineStr">
        <is>
          <t>Higher</t>
        </is>
      </c>
      <c r="G30" s="25" t="n">
        <v>0.02</v>
      </c>
      <c r="H30" s="42">
        <f>'C9 GEG Lap Ops'!K30</f>
        <v/>
      </c>
      <c r="I30" s="42">
        <f>'C9 GEG Lap Ops'!J30</f>
        <v/>
      </c>
      <c r="J30" s="42">
        <f>MIN('C1 GEG Setting'!$C$18,IF(F30="Lower",IF(I30&lt;=0,'C1 GEG Setting'!$C$18,IF(H30&lt;=0,0,H30/I30)),IFERROR(I30/H30,0)))</f>
        <v/>
      </c>
      <c r="K30" s="59">
        <f>IF(J30&gt;='C1 GEG Setting'!$C$12,5,IF(J30&gt;='C1 GEG Setting'!$C$13,4,IF(J30&gt;='C1 GEG Setting'!$C$14,3,IF(J30&gt;='C1 GEG Setting'!$C$15,2,1))))</f>
        <v/>
      </c>
      <c r="L30" s="47">
        <f>K30*G30</f>
        <v/>
      </c>
      <c r="M30" s="12">
        <f>IF(J30&gt;='C1 GEG Setting'!$C$16,"Hijau",IF(J30&gt;='C1 GEG Setting'!$C$17,"Kuning","Merah"))</f>
        <v/>
      </c>
      <c r="N30" s="8" t="inlineStr">
        <is>
          <t>Mining Ops</t>
        </is>
      </c>
      <c r="O30" s="3" t="inlineStr">
        <is>
          <t>Budget</t>
        </is>
      </c>
    </row>
    <row r="31">
      <c r="A31" s="61" t="n">
        <v>22</v>
      </c>
      <c r="B31" s="8" t="inlineStr">
        <is>
          <t>OPERASIONAL</t>
        </is>
      </c>
      <c r="C31" s="46" t="inlineStr">
        <is>
          <t>Barging</t>
        </is>
      </c>
      <c r="D31" s="3" t="inlineStr">
        <is>
          <t>Ton dimuat ke tongkang</t>
        </is>
      </c>
      <c r="E31" s="45" t="inlineStr">
        <is>
          <t>ton</t>
        </is>
      </c>
      <c r="F31" s="11" t="inlineStr">
        <is>
          <t>Higher</t>
        </is>
      </c>
      <c r="G31" s="25" t="n">
        <v>0.02</v>
      </c>
      <c r="H31" s="28">
        <f>'C9 GEG Lap Ops'!K12</f>
        <v/>
      </c>
      <c r="I31" s="28">
        <f>'C9 GEG Lap Ops'!J12</f>
        <v/>
      </c>
      <c r="J31" s="42">
        <f>MIN('C1 GEG Setting'!$C$18,IF(F31="Lower",IF(I31&lt;=0,'C1 GEG Setting'!$C$18,IF(H31&lt;=0,0,H31/I31)),IFERROR(I31/H31,0)))</f>
        <v/>
      </c>
      <c r="K31" s="59">
        <f>IF(J31&gt;='C1 GEG Setting'!$C$12,5,IF(J31&gt;='C1 GEG Setting'!$C$13,4,IF(J31&gt;='C1 GEG Setting'!$C$14,3,IF(J31&gt;='C1 GEG Setting'!$C$15,2,1))))</f>
        <v/>
      </c>
      <c r="L31" s="47">
        <f>K31*G31</f>
        <v/>
      </c>
      <c r="M31" s="12">
        <f>IF(J31&gt;='C1 GEG Setting'!$C$16,"Hijau",IF(J31&gt;='C1 GEG Setting'!$C$17,"Kuning","Merah"))</f>
        <v/>
      </c>
      <c r="N31" s="8" t="inlineStr">
        <is>
          <t>Logistik</t>
        </is>
      </c>
      <c r="O31" s="3" t="inlineStr">
        <is>
          <t>Budget</t>
        </is>
      </c>
    </row>
    <row r="32">
      <c r="A32" s="61" t="n">
        <v>23</v>
      </c>
      <c r="B32" s="8" t="inlineStr">
        <is>
          <t>OPERASIONAL</t>
        </is>
      </c>
      <c r="C32" s="46" t="inlineStr">
        <is>
          <t>Rasio beban usaha thd pendapatan</t>
        </is>
      </c>
      <c r="D32" s="3" t="inlineStr">
        <is>
          <t>(Penjualan + G&amp;A) ÷ pendapatan</t>
        </is>
      </c>
      <c r="E32" s="45" t="inlineStr">
        <is>
          <t>%</t>
        </is>
      </c>
      <c r="F32" s="11" t="inlineStr">
        <is>
          <t>Lower</t>
        </is>
      </c>
      <c r="G32" s="25" t="n">
        <v>0.02</v>
      </c>
      <c r="H32" s="42">
        <f>IFERROR('C8 GEG Lap LR'!K71/'C8 GEG Lap LR'!K13,0)</f>
        <v/>
      </c>
      <c r="I32" s="42">
        <f>IFERROR('C8 GEG Lap LR'!J71/'C8 GEG Lap LR'!J13,0)</f>
        <v/>
      </c>
      <c r="J32" s="42">
        <f>MIN('C1 GEG Setting'!$C$18,IF(F32="Lower",IF(I32&lt;=0,'C1 GEG Setting'!$C$18,IF(H32&lt;=0,0,H32/I32)),IFERROR(I32/H32,0)))</f>
        <v/>
      </c>
      <c r="K32" s="59">
        <f>IF(J32&gt;='C1 GEG Setting'!$C$12,5,IF(J32&gt;='C1 GEG Setting'!$C$13,4,IF(J32&gt;='C1 GEG Setting'!$C$14,3,IF(J32&gt;='C1 GEG Setting'!$C$15,2,1))))</f>
        <v/>
      </c>
      <c r="L32" s="47">
        <f>K32*G32</f>
        <v/>
      </c>
      <c r="M32" s="12">
        <f>IF(J32&gt;='C1 GEG Setting'!$C$16,"Hijau",IF(J32&gt;='C1 GEG Setting'!$C$17,"Kuning","Merah"))</f>
        <v/>
      </c>
      <c r="N32" s="8" t="inlineStr">
        <is>
          <t>CFO</t>
        </is>
      </c>
      <c r="O32" s="3" t="inlineStr">
        <is>
          <t>Budget</t>
        </is>
      </c>
    </row>
    <row r="33">
      <c r="A33" s="4" t="inlineStr">
        <is>
          <t>E. KEUANGAN &amp; K3L (10%)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1" t="n">
        <v>24</v>
      </c>
      <c r="B34" s="8" t="inlineStr">
        <is>
          <t>KEUANGAN &amp; K3L</t>
        </is>
      </c>
      <c r="C34" s="46" t="inlineStr">
        <is>
          <t>Hari piutang (DSO)</t>
        </is>
      </c>
      <c r="D34" s="3" t="inlineStr">
        <is>
          <t>Piutang akhir ÷ pendapatan YTD × hari</t>
        </is>
      </c>
      <c r="E34" s="45" t="inlineStr">
        <is>
          <t>hari</t>
        </is>
      </c>
      <c r="F34" s="11" t="inlineStr">
        <is>
          <t>Lower</t>
        </is>
      </c>
      <c r="G34" s="25" t="n">
        <v>0.03</v>
      </c>
      <c r="H34" s="79" t="n">
        <v>45</v>
      </c>
      <c r="I34" s="88">
        <f>IFERROR(INDEX('C6 GEG Neraca Aktual'!$D$9:$O$9,'C1 GEG Setting'!$C$6)/'C8 GEG Lap LR'!J13*'C1 GEG Setting'!$C$6*30,0)</f>
        <v/>
      </c>
      <c r="J34" s="42">
        <f>MIN('C1 GEG Setting'!$C$18,IF(F34="Lower",IF(I34&lt;=0,'C1 GEG Setting'!$C$18,IF(H34&lt;=0,0,H34/I34)),IFERROR(I34/H34,0)))</f>
        <v/>
      </c>
      <c r="K34" s="59">
        <f>IF(J34&gt;='C1 GEG Setting'!$C$12,5,IF(J34&gt;='C1 GEG Setting'!$C$13,4,IF(J34&gt;='C1 GEG Setting'!$C$14,3,IF(J34&gt;='C1 GEG Setting'!$C$15,2,1))))</f>
        <v/>
      </c>
      <c r="L34" s="47">
        <f>K34*G34</f>
        <v/>
      </c>
      <c r="M34" s="12">
        <f>IF(J34&gt;='C1 GEG Setting'!$C$16,"Hijau",IF(J34&gt;='C1 GEG Setting'!$C$17,"Kuning","Merah"))</f>
        <v/>
      </c>
      <c r="N34" s="8" t="inlineStr">
        <is>
          <t>Finance</t>
        </is>
      </c>
      <c r="O34" s="3" t="inlineStr">
        <is>
          <t>Input</t>
        </is>
      </c>
    </row>
    <row r="35">
      <c r="A35" s="61" t="n">
        <v>25</v>
      </c>
      <c r="B35" s="8" t="inlineStr">
        <is>
          <t>KEUANGAN &amp; K3L</t>
        </is>
      </c>
      <c r="C35" s="46" t="inlineStr">
        <is>
          <t>Current ratio</t>
        </is>
      </c>
      <c r="D35" s="3" t="inlineStr">
        <is>
          <t>Aset lancar ÷ liabilitas lancar</t>
        </is>
      </c>
      <c r="E35" s="45" t="inlineStr">
        <is>
          <t>x</t>
        </is>
      </c>
      <c r="F35" s="11" t="inlineStr">
        <is>
          <t>Higher</t>
        </is>
      </c>
      <c r="G35" s="25" t="n">
        <v>0.02</v>
      </c>
      <c r="H35" s="65" t="n">
        <v>1.2</v>
      </c>
      <c r="I35" s="64">
        <f>IFERROR(INDEX('C6 GEG Neraca Aktual'!$D$15:$O$15,'C1 GEG Setting'!$C$6)/INDEX('C6 GEG Neraca Aktual'!$D$33:$O$33,'C1 GEG Setting'!$C$6),0)</f>
        <v/>
      </c>
      <c r="J35" s="42">
        <f>MIN('C1 GEG Setting'!$C$18,IF(F35="Lower",IF(I35&lt;=0,'C1 GEG Setting'!$C$18,IF(H35&lt;=0,0,H35/I35)),IFERROR(I35/H35,0)))</f>
        <v/>
      </c>
      <c r="K35" s="59">
        <f>IF(J35&gt;='C1 GEG Setting'!$C$12,5,IF(J35&gt;='C1 GEG Setting'!$C$13,4,IF(J35&gt;='C1 GEG Setting'!$C$14,3,IF(J35&gt;='C1 GEG Setting'!$C$15,2,1))))</f>
        <v/>
      </c>
      <c r="L35" s="47">
        <f>K35*G35</f>
        <v/>
      </c>
      <c r="M35" s="12">
        <f>IF(J35&gt;='C1 GEG Setting'!$C$16,"Hijau",IF(J35&gt;='C1 GEG Setting'!$C$17,"Kuning","Merah"))</f>
        <v/>
      </c>
      <c r="N35" s="8" t="inlineStr">
        <is>
          <t>Finance</t>
        </is>
      </c>
      <c r="O35" s="3" t="inlineStr">
        <is>
          <t>Input</t>
        </is>
      </c>
    </row>
    <row r="36">
      <c r="A36" s="61" t="n">
        <v>26</v>
      </c>
      <c r="B36" s="8" t="inlineStr">
        <is>
          <t>KEUANGAN &amp; K3L</t>
        </is>
      </c>
      <c r="C36" s="46" t="inlineStr">
        <is>
          <t>Debt to equity</t>
        </is>
      </c>
      <c r="D36" s="3" t="inlineStr">
        <is>
          <t>Pinjaman ÷ ekuitas</t>
        </is>
      </c>
      <c r="E36" s="45" t="inlineStr">
        <is>
          <t>x</t>
        </is>
      </c>
      <c r="F36" s="11" t="inlineStr">
        <is>
          <t>Lower</t>
        </is>
      </c>
      <c r="G36" s="25" t="n">
        <v>0.02</v>
      </c>
      <c r="H36" s="65" t="n">
        <v>1</v>
      </c>
      <c r="I36" s="64">
        <f>IFERROR((INDEX('C6 GEG Neraca Aktual'!$D$31:$O$31,'C1 GEG Setting'!$C$6)+INDEX('C6 GEG Neraca Aktual'!$D$32:$O$32,'C1 GEG Setting'!$C$6)+INDEX('C6 GEG Neraca Aktual'!$D$35:$O$35,'C1 GEG Setting'!$C$6))/INDEX('C6 GEG Neraca Aktual'!$D$46:$O$46,'C1 GEG Setting'!$C$6),0)</f>
        <v/>
      </c>
      <c r="J36" s="42">
        <f>MIN('C1 GEG Setting'!$C$18,IF(F36="Lower",IF(I36&lt;=0,'C1 GEG Setting'!$C$18,IF(H36&lt;=0,0,H36/I36)),IFERROR(I36/H36,0)))</f>
        <v/>
      </c>
      <c r="K36" s="59">
        <f>IF(J36&gt;='C1 GEG Setting'!$C$12,5,IF(J36&gt;='C1 GEG Setting'!$C$13,4,IF(J36&gt;='C1 GEG Setting'!$C$14,3,IF(J36&gt;='C1 GEG Setting'!$C$15,2,1))))</f>
        <v/>
      </c>
      <c r="L36" s="47">
        <f>K36*G36</f>
        <v/>
      </c>
      <c r="M36" s="12">
        <f>IF(J36&gt;='C1 GEG Setting'!$C$16,"Hijau",IF(J36&gt;='C1 GEG Setting'!$C$17,"Kuning","Merah"))</f>
        <v/>
      </c>
      <c r="N36" s="8" t="inlineStr">
        <is>
          <t>Finance</t>
        </is>
      </c>
      <c r="O36" s="3" t="inlineStr">
        <is>
          <t>Input</t>
        </is>
      </c>
    </row>
    <row r="37">
      <c r="A37" s="61" t="n">
        <v>27</v>
      </c>
      <c r="B37" s="8" t="inlineStr">
        <is>
          <t>KEUANGAN &amp; K3L</t>
        </is>
      </c>
      <c r="C37" s="46" t="inlineStr">
        <is>
          <t>LTIFR</t>
        </is>
      </c>
      <c r="D37" s="3" t="inlineStr">
        <is>
          <t>LTI × 1 juta ÷ jam kerja</t>
        </is>
      </c>
      <c r="E37" s="45" t="inlineStr">
        <is>
          <t>rate</t>
        </is>
      </c>
      <c r="F37" s="11" t="inlineStr">
        <is>
          <t>Lower</t>
        </is>
      </c>
      <c r="G37" s="25" t="n">
        <v>0.02</v>
      </c>
      <c r="H37" s="18" t="n">
        <v>0</v>
      </c>
      <c r="I37" s="39">
        <f>'C9 GEG Lap Ops'!J35</f>
        <v/>
      </c>
      <c r="J37" s="42">
        <f>MIN('C1 GEG Setting'!$C$18,IF(F37="Lower",IF(I37&lt;=0,'C1 GEG Setting'!$C$18,IF(H37&lt;=0,0,H37/I37)),IFERROR(I37/H37,0)))</f>
        <v/>
      </c>
      <c r="K37" s="59">
        <f>IF(J37&gt;='C1 GEG Setting'!$C$12,5,IF(J37&gt;='C1 GEG Setting'!$C$13,4,IF(J37&gt;='C1 GEG Setting'!$C$14,3,IF(J37&gt;='C1 GEG Setting'!$C$15,2,1))))</f>
        <v/>
      </c>
      <c r="L37" s="47">
        <f>K37*G37</f>
        <v/>
      </c>
      <c r="M37" s="12">
        <f>IF(J37&gt;='C1 GEG Setting'!$C$16,"Hijau",IF(J37&gt;='C1 GEG Setting'!$C$17,"Kuning","Merah"))</f>
        <v/>
      </c>
      <c r="N37" s="8" t="inlineStr">
        <is>
          <t>HSE</t>
        </is>
      </c>
      <c r="O37" s="3" t="inlineStr">
        <is>
          <t>Input (zero harm)</t>
        </is>
      </c>
    </row>
    <row r="38">
      <c r="A38" s="61" t="n">
        <v>28</v>
      </c>
      <c r="B38" s="8" t="inlineStr">
        <is>
          <t>KEUANGAN &amp; K3L</t>
        </is>
      </c>
      <c r="C38" s="46" t="inlineStr">
        <is>
          <t>Reklamasi</t>
        </is>
      </c>
      <c r="D38" s="3" t="inlineStr">
        <is>
          <t>Luas reklamasi YTD</t>
        </is>
      </c>
      <c r="E38" s="45" t="inlineStr">
        <is>
          <t>ha</t>
        </is>
      </c>
      <c r="F38" s="11" t="inlineStr">
        <is>
          <t>Higher</t>
        </is>
      </c>
      <c r="G38" s="25" t="n">
        <v>0.01</v>
      </c>
      <c r="H38" s="88">
        <f>'C9 GEG Lap Ops'!K37</f>
        <v/>
      </c>
      <c r="I38" s="88">
        <f>'C9 GEG Lap Ops'!J37</f>
        <v/>
      </c>
      <c r="J38" s="42">
        <f>MIN('C1 GEG Setting'!$C$18,IF(F38="Lower",IF(I38&lt;=0,'C1 GEG Setting'!$C$18,IF(H38&lt;=0,0,H38/I38)),IFERROR(I38/H38,0)))</f>
        <v/>
      </c>
      <c r="K38" s="59">
        <f>IF(J38&gt;='C1 GEG Setting'!$C$12,5,IF(J38&gt;='C1 GEG Setting'!$C$13,4,IF(J38&gt;='C1 GEG Setting'!$C$14,3,IF(J38&gt;='C1 GEG Setting'!$C$15,2,1))))</f>
        <v/>
      </c>
      <c r="L38" s="47">
        <f>K38*G38</f>
        <v/>
      </c>
      <c r="M38" s="12">
        <f>IF(J38&gt;='C1 GEG Setting'!$C$16,"Hijau",IF(J38&gt;='C1 GEG Setting'!$C$17,"Kuning","Merah"))</f>
        <v/>
      </c>
      <c r="N38" s="8" t="inlineStr">
        <is>
          <t>Environment</t>
        </is>
      </c>
      <c r="O38" s="3" t="inlineStr">
        <is>
          <t>Budget</t>
        </is>
      </c>
    </row>
    <row r="39"/>
    <row r="40">
      <c r="A40" s="4" t="inlineStr">
        <is>
          <t>RINGKASAN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C41" s="46" t="inlineStr">
        <is>
          <t>Total bobot (harus 100%)</t>
        </is>
      </c>
      <c r="G41" s="66">
        <f>SUM(G7:G38)</f>
        <v/>
      </c>
    </row>
    <row r="42">
      <c r="C42" s="46" t="inlineStr">
        <is>
          <t>SKOR TERTIMBANG TOTAL (1–5)</t>
        </is>
      </c>
      <c r="L42" s="91">
        <f>SUM(L7:L38)</f>
        <v/>
      </c>
    </row>
    <row r="43">
      <c r="C43" s="46" t="inlineStr">
        <is>
          <t>PREDIKAT KINERJA</t>
        </is>
      </c>
      <c r="L43" s="92">
        <f>IF(L42&gt;='C1 GEG Setting'!$A$23,'C1 GEG Setting'!$C$23,IF(L42&gt;='C1 GEG Setting'!$A$24,'C1 GEG Setting'!$C$24,IF(L42&gt;='C1 GEG Setting'!$A$25,'C1 GEG Setting'!$C$25,IF(L42&gt;='C1 GEG Setting'!$A$26,'C1 GEG Setting'!$C$26,'C1 GEG Setting'!$C$27))))</f>
        <v/>
      </c>
    </row>
    <row r="44">
      <c r="C44" s="46" t="inlineStr">
        <is>
          <t>Jumlah KPI Hijau / Kuning / Merah</t>
        </is>
      </c>
      <c r="K44" s="19">
        <f>COUNTIF(M7:M38,"Hijau")</f>
        <v/>
      </c>
      <c r="L44" s="19">
        <f>COUNTIF(M7:M38,"Kuning")</f>
        <v/>
      </c>
      <c r="M44" s="19">
        <f>COUNTIF(M7:M38,"Merah")</f>
        <v/>
      </c>
    </row>
    <row r="45"/>
    <row r="46">
      <c r="A46" s="4" t="inlineStr">
        <is>
          <t>SKOR PER PERSPEKTIF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C47" s="10" t="inlineStr">
        <is>
          <t>PENDAPATAN</t>
        </is>
      </c>
      <c r="G47" s="24">
        <f>SUMIF($B$7:$B$38,C47,$G$7:$G$38)</f>
        <v/>
      </c>
      <c r="K47" s="47">
        <f>IFERROR(SUMIF($B$7:$B$38,C47,$L$7:$L$38)/G47,0)</f>
        <v/>
      </c>
      <c r="L47" s="3" t="inlineStr">
        <is>
          <t>rata-rata skor</t>
        </is>
      </c>
    </row>
    <row r="48">
      <c r="C48" s="10" t="inlineStr">
        <is>
          <t>COST OF PRODUCTION</t>
        </is>
      </c>
      <c r="G48" s="24">
        <f>SUMIF($B$7:$B$38,C48,$G$7:$G$38)</f>
        <v/>
      </c>
      <c r="K48" s="47">
        <f>IFERROR(SUMIF($B$7:$B$38,C48,$L$7:$L$38)/G48,0)</f>
        <v/>
      </c>
      <c r="L48" s="3" t="inlineStr">
        <is>
          <t>rata-rata skor</t>
        </is>
      </c>
    </row>
    <row r="49">
      <c r="C49" s="10" t="inlineStr">
        <is>
          <t>PROFITABILITAS</t>
        </is>
      </c>
      <c r="G49" s="24">
        <f>SUMIF($B$7:$B$38,C49,$G$7:$G$38)</f>
        <v/>
      </c>
      <c r="K49" s="47">
        <f>IFERROR(SUMIF($B$7:$B$38,C49,$L$7:$L$38)/G49,0)</f>
        <v/>
      </c>
      <c r="L49" s="3" t="inlineStr">
        <is>
          <t>rata-rata skor</t>
        </is>
      </c>
    </row>
    <row r="50">
      <c r="C50" s="10" t="inlineStr">
        <is>
          <t>OPERASIONAL</t>
        </is>
      </c>
      <c r="G50" s="24">
        <f>SUMIF($B$7:$B$38,C50,$G$7:$G$38)</f>
        <v/>
      </c>
      <c r="K50" s="47">
        <f>IFERROR(SUMIF($B$7:$B$38,C50,$L$7:$L$38)/G50,0)</f>
        <v/>
      </c>
      <c r="L50" s="3" t="inlineStr">
        <is>
          <t>rata-rata skor</t>
        </is>
      </c>
    </row>
    <row r="51">
      <c r="C51" s="10" t="inlineStr">
        <is>
          <t>KEUANGAN &amp; K3L</t>
        </is>
      </c>
      <c r="G51" s="24">
        <f>SUMIF($B$7:$B$38,C51,$G$7:$G$38)</f>
        <v/>
      </c>
      <c r="K51" s="47">
        <f>IFERROR(SUMIF($B$7:$B$38,C51,$L$7:$L$38)/G51,0)</f>
        <v/>
      </c>
      <c r="L51" s="3" t="inlineStr">
        <is>
          <t>rata-rata skor</t>
        </is>
      </c>
    </row>
    <row r="52"/>
    <row r="53">
      <c r="C53" s="3" t="inlineStr">
        <is>
          <t>Catatan: bobot &amp; target (sel kuning) disepakati Direksi di awal tahun; skala skor &amp; ambang status di sheet C1.</t>
        </is>
      </c>
    </row>
  </sheetData>
  <conditionalFormatting sqref="M7:M38">
    <cfRule type="cellIs" priority="1" operator="equal" dxfId="0">
      <formula>"Hijau"</formula>
    </cfRule>
    <cfRule type="cellIs" priority="2" operator="equal" dxfId="2">
      <formula>"Kuning"</formula>
    </cfRule>
    <cfRule type="cellIs" priority="3" operator="equal" dxfId="1">
      <formula>"Merah"</formula>
    </cfRule>
  </conditionalFormatting>
  <dataValidations count="1">
    <dataValidation sqref="F7:F38" showDropDown="0" showInputMessage="0" showErrorMessage="0" allowBlank="0" type="list">
      <formula1>"Higher,Lower"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Y106"/>
  <sheetViews>
    <sheetView showGridLines="0" zoomScale="85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5" customWidth="1" min="19" max="19"/>
    <col width="34" customWidth="1" min="20" max="20"/>
    <col width="14" customWidth="1" min="21" max="21"/>
    <col width="14" customWidth="1" min="22" max="22"/>
    <col width="11" customWidth="1" min="23" max="23"/>
    <col width="9" customWidth="1" min="24" max="24"/>
    <col width="10" customWidth="1" min="25" max="25"/>
    <col width="3" customWidth="1" min="26" max="26"/>
  </cols>
  <sheetData>
    <row r="1">
      <c r="A1" s="1" t="inlineStr">
        <is>
          <t>GEG – Dashboard Kinerja &amp; KPI Scored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3">
        <f>"PT Global Energy Group | Periode YTD Jan – "&amp;'C1 GEG Setting'!$C$7&amp;" "&amp;'C1 GEG Setting'!$C$5&amp;" | Ubah bulan laporan di sheet C1 – seluruh dashboard ikut berubah"</f>
        <v/>
      </c>
    </row>
    <row r="3"/>
    <row r="4">
      <c r="A4" s="93" t="inlineStr">
        <is>
          <t>PENDAPATAN YTD (Rp juta)</t>
        </is>
      </c>
      <c r="D4" s="93" t="inlineStr">
        <is>
          <t>EBITDA YTD (Rp juta)</t>
        </is>
      </c>
      <c r="G4" s="93" t="inlineStr">
        <is>
          <t>LABA BERSIH YTD (Rp juta)</t>
        </is>
      </c>
      <c r="J4" s="93" t="inlineStr">
        <is>
          <t>PRODUKSI YTD (ton)</t>
        </is>
      </c>
      <c r="M4" s="93" t="inlineStr">
        <is>
          <t>CASH COST FOB excl. royalti (USD/t)</t>
        </is>
      </c>
      <c r="P4" s="93" t="inlineStr">
        <is>
          <t>SKOR KPI TERTIMBANG (1–5)</t>
        </is>
      </c>
    </row>
    <row r="5" ht="30" customHeight="1">
      <c r="A5" s="94">
        <f>'C8 GEG Lap LR'!$J$13</f>
        <v/>
      </c>
      <c r="D5" s="94">
        <f>'C8 GEG Lap LR'!$J$85</f>
        <v/>
      </c>
      <c r="G5" s="94">
        <f>'C8 GEG Lap LR'!$J$82</f>
        <v/>
      </c>
      <c r="J5" s="94">
        <f>'C9 GEG Lap Ops'!$J$8</f>
        <v/>
      </c>
      <c r="M5" s="95">
        <f>'C10 GEG COP'!$L$19</f>
        <v/>
      </c>
      <c r="P5" s="95">
        <f>'C11 GEG KPI Scorecard'!$L$42</f>
        <v/>
      </c>
    </row>
    <row r="6">
      <c r="A6" s="96">
        <f>"Budget: "&amp;TEXT('C8 GEG Lap LR'!$K$13,"#,##0")&amp;"  ("&amp;IF(IFERROR('C8 GEG Lap LR'!$J$13/'C8 GEG Lap LR'!$K$13-1,0)&gt;=0,"+","")&amp;TEXT(IFERROR('C8 GEG Lap LR'!$J$13/'C8 GEG Lap LR'!$K$13-1,0),"0.0%")&amp;")"</f>
        <v/>
      </c>
      <c r="D6" s="96">
        <f>"Budget: "&amp;TEXT('C8 GEG Lap LR'!$K$85,"#,##0")&amp;"  ("&amp;IF(IFERROR('C8 GEG Lap LR'!$J$85/'C8 GEG Lap LR'!$K$85-1,0)&gt;=0,"+","")&amp;TEXT(IFERROR('C8 GEG Lap LR'!$J$85/'C8 GEG Lap LR'!$K$85-1,0),"0.0%")&amp;")"</f>
        <v/>
      </c>
      <c r="G6" s="96">
        <f>"Budget: "&amp;TEXT('C8 GEG Lap LR'!$K$82,"#,##0")&amp;"  ("&amp;IF(IFERROR('C8 GEG Lap LR'!$J$82/'C8 GEG Lap LR'!$K$82-1,0)&gt;=0,"+","")&amp;TEXT(IFERROR('C8 GEG Lap LR'!$J$82/'C8 GEG Lap LR'!$K$82-1,0),"0.0%")&amp;")"</f>
        <v/>
      </c>
      <c r="J6" s="96">
        <f>"Budget: "&amp;TEXT('C9 GEG Lap Ops'!$K$8,"#,##0")&amp;"  ("&amp;IF(IFERROR('C9 GEG Lap Ops'!$J$8/'C9 GEG Lap Ops'!$K$8-1,0)&gt;=0,"+","")&amp;TEXT(IFERROR('C9 GEG Lap Ops'!$J$8/'C9 GEG Lap Ops'!$K$8-1,0),"0.0%")&amp;")"</f>
        <v/>
      </c>
      <c r="M6" s="96">
        <f>"Budget: "&amp;TEXT('C10 GEG COP'!$M$19,"#,##0.00")&amp;"  ("&amp;IF(IFERROR('C10 GEG COP'!$L$19/'C10 GEG COP'!$M$19-1,0)&gt;=0,"+","")&amp;TEXT(IFERROR('C10 GEG COP'!$L$19/'C10 GEG COP'!$M$19-1,0),"0.0%")&amp;")"</f>
        <v/>
      </c>
      <c r="P6" s="97">
        <f>"Predikat: "&amp;'C11 GEG KPI Scorecard'!$L$43</f>
        <v/>
      </c>
    </row>
    <row r="7">
      <c r="A7" s="98">
        <f>IF('C8 GEG Lap LR'!$J$13&gt;='C8 GEG Lap LR'!$K$13,"▲ Sesuai / lebih baik dari budget","▼ Lebih buruk dari budget")</f>
        <v/>
      </c>
      <c r="D7" s="98">
        <f>IF('C8 GEG Lap LR'!$J$85&gt;='C8 GEG Lap LR'!$K$85,"▲ Sesuai / lebih baik dari budget","▼ Lebih buruk dari budget")</f>
        <v/>
      </c>
      <c r="G7" s="98">
        <f>IF('C8 GEG Lap LR'!$J$82&gt;='C8 GEG Lap LR'!$K$82,"▲ Sesuai / lebih baik dari budget","▼ Lebih buruk dari budget")</f>
        <v/>
      </c>
      <c r="J7" s="98">
        <f>IF('C9 GEG Lap Ops'!$J$8&gt;='C9 GEG Lap Ops'!$K$8,"▲ Sesuai / lebih baik dari budget","▼ Lebih buruk dari budget")</f>
        <v/>
      </c>
      <c r="M7" s="98">
        <f>IF('C10 GEG COP'!$L$19&lt;='C10 GEG COP'!$M$19,"▲ Sesuai / lebih baik dari budget","▼ Lebih buruk dari budget")</f>
        <v/>
      </c>
      <c r="P7" s="99">
        <f>"Hijau "&amp;'C11 GEG KPI Scorecard'!$K$44&amp;" · Kuning "&amp;'C11 GEG KPI Scorecard'!$L$44&amp;" · Merah "&amp;'C11 GEG KPI Scorecard'!$M$44</f>
        <v/>
      </c>
    </row>
    <row r="8"/>
    <row r="9">
      <c r="A9" s="4" t="inlineStr">
        <is>
          <t>GRAFIK KINERJA BULANAN &amp; YTD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100" t="inlineStr">
        <is>
          <t>KPI SCORED – YTD</t>
        </is>
      </c>
      <c r="T9" s="2" t="n"/>
      <c r="U9" s="2" t="n"/>
      <c r="V9" s="2" t="n"/>
      <c r="W9" s="2" t="n"/>
      <c r="X9" s="2" t="n"/>
      <c r="Y9" s="2" t="n"/>
    </row>
    <row r="10">
      <c r="S10" s="101" t="inlineStr">
        <is>
          <t>No</t>
        </is>
      </c>
      <c r="T10" s="101" t="inlineStr">
        <is>
          <t>KPI</t>
        </is>
      </c>
      <c r="U10" s="101" t="inlineStr">
        <is>
          <t>Target</t>
        </is>
      </c>
      <c r="V10" s="101" t="inlineStr">
        <is>
          <t>Aktual</t>
        </is>
      </c>
      <c r="W10" s="101" t="inlineStr">
        <is>
          <t>Pencapaian</t>
        </is>
      </c>
      <c r="X10" s="101" t="inlineStr">
        <is>
          <t>Skor</t>
        </is>
      </c>
      <c r="Y10" s="101" t="inlineStr">
        <is>
          <t>Status</t>
        </is>
      </c>
    </row>
    <row r="11">
      <c r="S11" s="102">
        <f>'C11 GEG KPI Scorecard'!$A$6</f>
        <v/>
      </c>
      <c r="T11" s="5" t="n"/>
      <c r="U11" s="5" t="n"/>
      <c r="V11" s="5" t="n"/>
      <c r="W11" s="5" t="n"/>
      <c r="X11" s="5" t="n"/>
      <c r="Y11" s="5" t="n"/>
    </row>
    <row r="12">
      <c r="S12" s="59">
        <f>'C11 GEG KPI Scorecard'!$A$7</f>
        <v/>
      </c>
      <c r="T12" s="103">
        <f>'C11 GEG KPI Scorecard'!$C$7</f>
        <v/>
      </c>
      <c r="U12" s="28">
        <f>'C11 GEG KPI Scorecard'!$H$7</f>
        <v/>
      </c>
      <c r="V12" s="28">
        <f>'C11 GEG KPI Scorecard'!$I$7</f>
        <v/>
      </c>
      <c r="W12" s="42">
        <f>'C11 GEG KPI Scorecard'!$J$7</f>
        <v/>
      </c>
      <c r="X12" s="59">
        <f>'C11 GEG KPI Scorecard'!$K$7</f>
        <v/>
      </c>
      <c r="Y12" s="12">
        <f>'C11 GEG KPI Scorecard'!$M$7</f>
        <v/>
      </c>
    </row>
    <row r="13">
      <c r="S13" s="59">
        <f>'C11 GEG KPI Scorecard'!$A$8</f>
        <v/>
      </c>
      <c r="T13" s="103">
        <f>'C11 GEG KPI Scorecard'!$C$8</f>
        <v/>
      </c>
      <c r="U13" s="28">
        <f>'C11 GEG KPI Scorecard'!$H$8</f>
        <v/>
      </c>
      <c r="V13" s="28">
        <f>'C11 GEG KPI Scorecard'!$I$8</f>
        <v/>
      </c>
      <c r="W13" s="42">
        <f>'C11 GEG KPI Scorecard'!$J$8</f>
        <v/>
      </c>
      <c r="X13" s="59">
        <f>'C11 GEG KPI Scorecard'!$K$8</f>
        <v/>
      </c>
      <c r="Y13" s="12">
        <f>'C11 GEG KPI Scorecard'!$M$8</f>
        <v/>
      </c>
    </row>
    <row r="14">
      <c r="S14" s="59">
        <f>'C11 GEG KPI Scorecard'!$A$9</f>
        <v/>
      </c>
      <c r="T14" s="103">
        <f>'C11 GEG KPI Scorecard'!$C$9</f>
        <v/>
      </c>
      <c r="U14" s="39">
        <f>'C11 GEG KPI Scorecard'!$H$9</f>
        <v/>
      </c>
      <c r="V14" s="39">
        <f>'C11 GEG KPI Scorecard'!$I$9</f>
        <v/>
      </c>
      <c r="W14" s="42">
        <f>'C11 GEG KPI Scorecard'!$J$9</f>
        <v/>
      </c>
      <c r="X14" s="59">
        <f>'C11 GEG KPI Scorecard'!$K$9</f>
        <v/>
      </c>
      <c r="Y14" s="12">
        <f>'C11 GEG KPI Scorecard'!$M$9</f>
        <v/>
      </c>
    </row>
    <row r="15">
      <c r="S15" s="59">
        <f>'C11 GEG KPI Scorecard'!$A$10</f>
        <v/>
      </c>
      <c r="T15" s="103">
        <f>'C11 GEG KPI Scorecard'!$C$10</f>
        <v/>
      </c>
      <c r="U15" s="42">
        <f>'C11 GEG KPI Scorecard'!$H$10</f>
        <v/>
      </c>
      <c r="V15" s="42">
        <f>'C11 GEG KPI Scorecard'!$I$10</f>
        <v/>
      </c>
      <c r="W15" s="42">
        <f>'C11 GEG KPI Scorecard'!$J$10</f>
        <v/>
      </c>
      <c r="X15" s="59">
        <f>'C11 GEG KPI Scorecard'!$K$10</f>
        <v/>
      </c>
      <c r="Y15" s="12">
        <f>'C11 GEG KPI Scorecard'!$M$10</f>
        <v/>
      </c>
    </row>
    <row r="16">
      <c r="S16" s="59">
        <f>'C11 GEG KPI Scorecard'!$A$11</f>
        <v/>
      </c>
      <c r="T16" s="103">
        <f>'C11 GEG KPI Scorecard'!$C$11</f>
        <v/>
      </c>
      <c r="U16" s="90">
        <f>'C11 GEG KPI Scorecard'!$H$11</f>
        <v/>
      </c>
      <c r="V16" s="90">
        <f>'C11 GEG KPI Scorecard'!$I$11</f>
        <v/>
      </c>
      <c r="W16" s="42">
        <f>'C11 GEG KPI Scorecard'!$J$11</f>
        <v/>
      </c>
      <c r="X16" s="59">
        <f>'C11 GEG KPI Scorecard'!$K$11</f>
        <v/>
      </c>
      <c r="Y16" s="12">
        <f>'C11 GEG KPI Scorecard'!$M$11</f>
        <v/>
      </c>
    </row>
    <row r="17">
      <c r="S17" s="59">
        <f>'C11 GEG KPI Scorecard'!$A$12</f>
        <v/>
      </c>
      <c r="T17" s="103">
        <f>'C11 GEG KPI Scorecard'!$C$12</f>
        <v/>
      </c>
      <c r="U17" s="42">
        <f>'C11 GEG KPI Scorecard'!$H$12</f>
        <v/>
      </c>
      <c r="V17" s="42">
        <f>'C11 GEG KPI Scorecard'!$I$12</f>
        <v/>
      </c>
      <c r="W17" s="42">
        <f>'C11 GEG KPI Scorecard'!$J$12</f>
        <v/>
      </c>
      <c r="X17" s="59">
        <f>'C11 GEG KPI Scorecard'!$K$12</f>
        <v/>
      </c>
      <c r="Y17" s="12">
        <f>'C11 GEG KPI Scorecard'!$M$12</f>
        <v/>
      </c>
    </row>
    <row r="18">
      <c r="S18" s="102">
        <f>'C11 GEG KPI Scorecard'!$A$13</f>
        <v/>
      </c>
      <c r="T18" s="5" t="n"/>
      <c r="U18" s="5" t="n"/>
      <c r="V18" s="5" t="n"/>
      <c r="W18" s="5" t="n"/>
      <c r="X18" s="5" t="n"/>
      <c r="Y18" s="5" t="n"/>
    </row>
    <row r="19">
      <c r="S19" s="59">
        <f>'C11 GEG KPI Scorecard'!$A$14</f>
        <v/>
      </c>
      <c r="T19" s="103">
        <f>'C11 GEG KPI Scorecard'!$C$14</f>
        <v/>
      </c>
      <c r="U19" s="39">
        <f>'C11 GEG KPI Scorecard'!$H$14</f>
        <v/>
      </c>
      <c r="V19" s="39">
        <f>'C11 GEG KPI Scorecard'!$I$14</f>
        <v/>
      </c>
      <c r="W19" s="42">
        <f>'C11 GEG KPI Scorecard'!$J$14</f>
        <v/>
      </c>
      <c r="X19" s="59">
        <f>'C11 GEG KPI Scorecard'!$K$14</f>
        <v/>
      </c>
      <c r="Y19" s="12">
        <f>'C11 GEG KPI Scorecard'!$M$14</f>
        <v/>
      </c>
    </row>
    <row r="20">
      <c r="S20" s="59">
        <f>'C11 GEG KPI Scorecard'!$A$15</f>
        <v/>
      </c>
      <c r="T20" s="103">
        <f>'C11 GEG KPI Scorecard'!$C$15</f>
        <v/>
      </c>
      <c r="U20" s="39">
        <f>'C11 GEG KPI Scorecard'!$H$15</f>
        <v/>
      </c>
      <c r="V20" s="39">
        <f>'C11 GEG KPI Scorecard'!$I$15</f>
        <v/>
      </c>
      <c r="W20" s="42">
        <f>'C11 GEG KPI Scorecard'!$J$15</f>
        <v/>
      </c>
      <c r="X20" s="59">
        <f>'C11 GEG KPI Scorecard'!$K$15</f>
        <v/>
      </c>
      <c r="Y20" s="12">
        <f>'C11 GEG KPI Scorecard'!$M$15</f>
        <v/>
      </c>
    </row>
    <row r="21">
      <c r="S21" s="59">
        <f>'C11 GEG KPI Scorecard'!$A$16</f>
        <v/>
      </c>
      <c r="T21" s="103">
        <f>'C11 GEG KPI Scorecard'!$C$16</f>
        <v/>
      </c>
      <c r="U21" s="39">
        <f>'C11 GEG KPI Scorecard'!$H$16</f>
        <v/>
      </c>
      <c r="V21" s="39">
        <f>'C11 GEG KPI Scorecard'!$I$16</f>
        <v/>
      </c>
      <c r="W21" s="42">
        <f>'C11 GEG KPI Scorecard'!$J$16</f>
        <v/>
      </c>
      <c r="X21" s="59">
        <f>'C11 GEG KPI Scorecard'!$K$16</f>
        <v/>
      </c>
      <c r="Y21" s="12">
        <f>'C11 GEG KPI Scorecard'!$M$16</f>
        <v/>
      </c>
    </row>
    <row r="22">
      <c r="S22" s="59">
        <f>'C11 GEG KPI Scorecard'!$A$17</f>
        <v/>
      </c>
      <c r="T22" s="103">
        <f>'C11 GEG KPI Scorecard'!$C$17</f>
        <v/>
      </c>
      <c r="U22" s="56">
        <f>'C11 GEG KPI Scorecard'!$H$17</f>
        <v/>
      </c>
      <c r="V22" s="56">
        <f>'C11 GEG KPI Scorecard'!$I$17</f>
        <v/>
      </c>
      <c r="W22" s="42">
        <f>'C11 GEG KPI Scorecard'!$J$17</f>
        <v/>
      </c>
      <c r="X22" s="59">
        <f>'C11 GEG KPI Scorecard'!$K$17</f>
        <v/>
      </c>
      <c r="Y22" s="12">
        <f>'C11 GEG KPI Scorecard'!$M$17</f>
        <v/>
      </c>
    </row>
    <row r="23">
      <c r="S23" s="59">
        <f>'C11 GEG KPI Scorecard'!$A$18</f>
        <v/>
      </c>
      <c r="T23" s="103">
        <f>'C11 GEG KPI Scorecard'!$C$18</f>
        <v/>
      </c>
      <c r="U23" s="39">
        <f>'C11 GEG KPI Scorecard'!$H$18</f>
        <v/>
      </c>
      <c r="V23" s="39">
        <f>'C11 GEG KPI Scorecard'!$I$18</f>
        <v/>
      </c>
      <c r="W23" s="42">
        <f>'C11 GEG KPI Scorecard'!$J$18</f>
        <v/>
      </c>
      <c r="X23" s="59">
        <f>'C11 GEG KPI Scorecard'!$K$18</f>
        <v/>
      </c>
      <c r="Y23" s="12">
        <f>'C11 GEG KPI Scorecard'!$M$18</f>
        <v/>
      </c>
    </row>
    <row r="24">
      <c r="S24" s="59">
        <f>'C11 GEG KPI Scorecard'!$A$19</f>
        <v/>
      </c>
      <c r="T24" s="103">
        <f>'C11 GEG KPI Scorecard'!$C$19</f>
        <v/>
      </c>
      <c r="U24" s="39">
        <f>'C11 GEG KPI Scorecard'!$H$19</f>
        <v/>
      </c>
      <c r="V24" s="39">
        <f>'C11 GEG KPI Scorecard'!$I$19</f>
        <v/>
      </c>
      <c r="W24" s="42">
        <f>'C11 GEG KPI Scorecard'!$J$19</f>
        <v/>
      </c>
      <c r="X24" s="59">
        <f>'C11 GEG KPI Scorecard'!$K$19</f>
        <v/>
      </c>
      <c r="Y24" s="12">
        <f>'C11 GEG KPI Scorecard'!$M$19</f>
        <v/>
      </c>
    </row>
    <row r="25">
      <c r="S25" s="102">
        <f>'C11 GEG KPI Scorecard'!$A$20</f>
        <v/>
      </c>
      <c r="T25" s="5" t="n"/>
      <c r="U25" s="5" t="n"/>
      <c r="V25" s="5" t="n"/>
      <c r="W25" s="5" t="n"/>
      <c r="X25" s="5" t="n"/>
      <c r="Y25" s="5" t="n"/>
    </row>
    <row r="26">
      <c r="S26" s="59">
        <f>'C11 GEG KPI Scorecard'!$A$21</f>
        <v/>
      </c>
      <c r="T26" s="103">
        <f>'C11 GEG KPI Scorecard'!$C$21</f>
        <v/>
      </c>
      <c r="U26" s="42">
        <f>'C11 GEG KPI Scorecard'!$H$21</f>
        <v/>
      </c>
      <c r="V26" s="42">
        <f>'C11 GEG KPI Scorecard'!$I$21</f>
        <v/>
      </c>
      <c r="W26" s="42">
        <f>'C11 GEG KPI Scorecard'!$J$21</f>
        <v/>
      </c>
      <c r="X26" s="59">
        <f>'C11 GEG KPI Scorecard'!$K$21</f>
        <v/>
      </c>
      <c r="Y26" s="12">
        <f>'C11 GEG KPI Scorecard'!$M$21</f>
        <v/>
      </c>
    </row>
    <row r="27">
      <c r="S27" s="59">
        <f>'C11 GEG KPI Scorecard'!$A$22</f>
        <v/>
      </c>
      <c r="T27" s="103">
        <f>'C11 GEG KPI Scorecard'!$C$22</f>
        <v/>
      </c>
      <c r="U27" s="28">
        <f>'C11 GEG KPI Scorecard'!$H$22</f>
        <v/>
      </c>
      <c r="V27" s="28">
        <f>'C11 GEG KPI Scorecard'!$I$22</f>
        <v/>
      </c>
      <c r="W27" s="42">
        <f>'C11 GEG KPI Scorecard'!$J$22</f>
        <v/>
      </c>
      <c r="X27" s="59">
        <f>'C11 GEG KPI Scorecard'!$K$22</f>
        <v/>
      </c>
      <c r="Y27" s="12">
        <f>'C11 GEG KPI Scorecard'!$M$22</f>
        <v/>
      </c>
    </row>
    <row r="28">
      <c r="S28" s="59">
        <f>'C11 GEG KPI Scorecard'!$A$23</f>
        <v/>
      </c>
      <c r="T28" s="103">
        <f>'C11 GEG KPI Scorecard'!$C$23</f>
        <v/>
      </c>
      <c r="U28" s="42">
        <f>'C11 GEG KPI Scorecard'!$H$23</f>
        <v/>
      </c>
      <c r="V28" s="42">
        <f>'C11 GEG KPI Scorecard'!$I$23</f>
        <v/>
      </c>
      <c r="W28" s="42">
        <f>'C11 GEG KPI Scorecard'!$J$23</f>
        <v/>
      </c>
      <c r="X28" s="59">
        <f>'C11 GEG KPI Scorecard'!$K$23</f>
        <v/>
      </c>
      <c r="Y28" s="12">
        <f>'C11 GEG KPI Scorecard'!$M$23</f>
        <v/>
      </c>
    </row>
    <row r="29">
      <c r="S29" s="59">
        <f>'C11 GEG KPI Scorecard'!$A$24</f>
        <v/>
      </c>
      <c r="T29" s="103">
        <f>'C11 GEG KPI Scorecard'!$C$24</f>
        <v/>
      </c>
      <c r="U29" s="39">
        <f>'C11 GEG KPI Scorecard'!$H$24</f>
        <v/>
      </c>
      <c r="V29" s="39">
        <f>'C11 GEG KPI Scorecard'!$I$24</f>
        <v/>
      </c>
      <c r="W29" s="42">
        <f>'C11 GEG KPI Scorecard'!$J$24</f>
        <v/>
      </c>
      <c r="X29" s="59">
        <f>'C11 GEG KPI Scorecard'!$K$24</f>
        <v/>
      </c>
      <c r="Y29" s="12">
        <f>'C11 GEG KPI Scorecard'!$M$24</f>
        <v/>
      </c>
    </row>
    <row r="30">
      <c r="S30" s="59">
        <f>'C11 GEG KPI Scorecard'!$A$25</f>
        <v/>
      </c>
      <c r="T30" s="103">
        <f>'C11 GEG KPI Scorecard'!$C$25</f>
        <v/>
      </c>
      <c r="U30" s="28">
        <f>'C11 GEG KPI Scorecard'!$H$25</f>
        <v/>
      </c>
      <c r="V30" s="28">
        <f>'C11 GEG KPI Scorecard'!$I$25</f>
        <v/>
      </c>
      <c r="W30" s="42">
        <f>'C11 GEG KPI Scorecard'!$J$25</f>
        <v/>
      </c>
      <c r="X30" s="59">
        <f>'C11 GEG KPI Scorecard'!$K$25</f>
        <v/>
      </c>
      <c r="Y30" s="12">
        <f>'C11 GEG KPI Scorecard'!$M$25</f>
        <v/>
      </c>
    </row>
    <row r="31">
      <c r="S31" s="102">
        <f>'C11 GEG KPI Scorecard'!$A$26</f>
        <v/>
      </c>
      <c r="T31" s="5" t="n"/>
      <c r="U31" s="5" t="n"/>
      <c r="V31" s="5" t="n"/>
      <c r="W31" s="5" t="n"/>
      <c r="X31" s="5" t="n"/>
      <c r="Y31" s="5" t="n"/>
    </row>
    <row r="32">
      <c r="S32" s="59">
        <f>'C11 GEG KPI Scorecard'!$A$27</f>
        <v/>
      </c>
      <c r="T32" s="103">
        <f>'C11 GEG KPI Scorecard'!$C$27</f>
        <v/>
      </c>
      <c r="U32" s="28">
        <f>'C11 GEG KPI Scorecard'!$H$27</f>
        <v/>
      </c>
      <c r="V32" s="28">
        <f>'C11 GEG KPI Scorecard'!$I$27</f>
        <v/>
      </c>
      <c r="W32" s="42">
        <f>'C11 GEG KPI Scorecard'!$J$27</f>
        <v/>
      </c>
      <c r="X32" s="59">
        <f>'C11 GEG KPI Scorecard'!$K$27</f>
        <v/>
      </c>
      <c r="Y32" s="12">
        <f>'C11 GEG KPI Scorecard'!$M$27</f>
        <v/>
      </c>
    </row>
    <row r="33">
      <c r="S33" s="59">
        <f>'C11 GEG KPI Scorecard'!$A$28</f>
        <v/>
      </c>
      <c r="T33" s="103">
        <f>'C11 GEG KPI Scorecard'!$C$28</f>
        <v/>
      </c>
      <c r="U33" s="28">
        <f>'C11 GEG KPI Scorecard'!$H$28</f>
        <v/>
      </c>
      <c r="V33" s="28">
        <f>'C11 GEG KPI Scorecard'!$I$28</f>
        <v/>
      </c>
      <c r="W33" s="42">
        <f>'C11 GEG KPI Scorecard'!$J$28</f>
        <v/>
      </c>
      <c r="X33" s="59">
        <f>'C11 GEG KPI Scorecard'!$K$28</f>
        <v/>
      </c>
      <c r="Y33" s="12">
        <f>'C11 GEG KPI Scorecard'!$M$28</f>
        <v/>
      </c>
    </row>
    <row r="34">
      <c r="S34" s="59">
        <f>'C11 GEG KPI Scorecard'!$A$29</f>
        <v/>
      </c>
      <c r="T34" s="103">
        <f>'C11 GEG KPI Scorecard'!$C$29</f>
        <v/>
      </c>
      <c r="U34" s="42">
        <f>'C11 GEG KPI Scorecard'!$H$29</f>
        <v/>
      </c>
      <c r="V34" s="42">
        <f>'C11 GEG KPI Scorecard'!$I$29</f>
        <v/>
      </c>
      <c r="W34" s="42">
        <f>'C11 GEG KPI Scorecard'!$J$29</f>
        <v/>
      </c>
      <c r="X34" s="59">
        <f>'C11 GEG KPI Scorecard'!$K$29</f>
        <v/>
      </c>
      <c r="Y34" s="12">
        <f>'C11 GEG KPI Scorecard'!$M$29</f>
        <v/>
      </c>
    </row>
    <row r="35">
      <c r="S35" s="59">
        <f>'C11 GEG KPI Scorecard'!$A$30</f>
        <v/>
      </c>
      <c r="T35" s="103">
        <f>'C11 GEG KPI Scorecard'!$C$30</f>
        <v/>
      </c>
      <c r="U35" s="42">
        <f>'C11 GEG KPI Scorecard'!$H$30</f>
        <v/>
      </c>
      <c r="V35" s="42">
        <f>'C11 GEG KPI Scorecard'!$I$30</f>
        <v/>
      </c>
      <c r="W35" s="42">
        <f>'C11 GEG KPI Scorecard'!$J$30</f>
        <v/>
      </c>
      <c r="X35" s="59">
        <f>'C11 GEG KPI Scorecard'!$K$30</f>
        <v/>
      </c>
      <c r="Y35" s="12">
        <f>'C11 GEG KPI Scorecard'!$M$30</f>
        <v/>
      </c>
    </row>
    <row r="36">
      <c r="S36" s="59">
        <f>'C11 GEG KPI Scorecard'!$A$31</f>
        <v/>
      </c>
      <c r="T36" s="103">
        <f>'C11 GEG KPI Scorecard'!$C$31</f>
        <v/>
      </c>
      <c r="U36" s="28">
        <f>'C11 GEG KPI Scorecard'!$H$31</f>
        <v/>
      </c>
      <c r="V36" s="28">
        <f>'C11 GEG KPI Scorecard'!$I$31</f>
        <v/>
      </c>
      <c r="W36" s="42">
        <f>'C11 GEG KPI Scorecard'!$J$31</f>
        <v/>
      </c>
      <c r="X36" s="59">
        <f>'C11 GEG KPI Scorecard'!$K$31</f>
        <v/>
      </c>
      <c r="Y36" s="12">
        <f>'C11 GEG KPI Scorecard'!$M$31</f>
        <v/>
      </c>
    </row>
    <row r="37">
      <c r="S37" s="59">
        <f>'C11 GEG KPI Scorecard'!$A$32</f>
        <v/>
      </c>
      <c r="T37" s="103">
        <f>'C11 GEG KPI Scorecard'!$C$32</f>
        <v/>
      </c>
      <c r="U37" s="42">
        <f>'C11 GEG KPI Scorecard'!$H$32</f>
        <v/>
      </c>
      <c r="V37" s="42">
        <f>'C11 GEG KPI Scorecard'!$I$32</f>
        <v/>
      </c>
      <c r="W37" s="42">
        <f>'C11 GEG KPI Scorecard'!$J$32</f>
        <v/>
      </c>
      <c r="X37" s="59">
        <f>'C11 GEG KPI Scorecard'!$K$32</f>
        <v/>
      </c>
      <c r="Y37" s="12">
        <f>'C11 GEG KPI Scorecard'!$M$32</f>
        <v/>
      </c>
    </row>
    <row r="38">
      <c r="S38" s="102">
        <f>'C11 GEG KPI Scorecard'!$A$33</f>
        <v/>
      </c>
      <c r="T38" s="5" t="n"/>
      <c r="U38" s="5" t="n"/>
      <c r="V38" s="5" t="n"/>
      <c r="W38" s="5" t="n"/>
      <c r="X38" s="5" t="n"/>
      <c r="Y38" s="5" t="n"/>
    </row>
    <row r="39">
      <c r="S39" s="59">
        <f>'C11 GEG KPI Scorecard'!$A$34</f>
        <v/>
      </c>
      <c r="T39" s="103">
        <f>'C11 GEG KPI Scorecard'!$C$34</f>
        <v/>
      </c>
      <c r="U39" s="88">
        <f>'C11 GEG KPI Scorecard'!$H$34</f>
        <v/>
      </c>
      <c r="V39" s="88">
        <f>'C11 GEG KPI Scorecard'!$I$34</f>
        <v/>
      </c>
      <c r="W39" s="42">
        <f>'C11 GEG KPI Scorecard'!$J$34</f>
        <v/>
      </c>
      <c r="X39" s="59">
        <f>'C11 GEG KPI Scorecard'!$K$34</f>
        <v/>
      </c>
      <c r="Y39" s="12">
        <f>'C11 GEG KPI Scorecard'!$M$34</f>
        <v/>
      </c>
    </row>
    <row r="40">
      <c r="S40" s="59">
        <f>'C11 GEG KPI Scorecard'!$A$35</f>
        <v/>
      </c>
      <c r="T40" s="103">
        <f>'C11 GEG KPI Scorecard'!$C$35</f>
        <v/>
      </c>
      <c r="U40" s="64">
        <f>'C11 GEG KPI Scorecard'!$H$35</f>
        <v/>
      </c>
      <c r="V40" s="64">
        <f>'C11 GEG KPI Scorecard'!$I$35</f>
        <v/>
      </c>
      <c r="W40" s="42">
        <f>'C11 GEG KPI Scorecard'!$J$35</f>
        <v/>
      </c>
      <c r="X40" s="59">
        <f>'C11 GEG KPI Scorecard'!$K$35</f>
        <v/>
      </c>
      <c r="Y40" s="12">
        <f>'C11 GEG KPI Scorecard'!$M$35</f>
        <v/>
      </c>
    </row>
    <row r="41">
      <c r="S41" s="59">
        <f>'C11 GEG KPI Scorecard'!$A$36</f>
        <v/>
      </c>
      <c r="T41" s="103">
        <f>'C11 GEG KPI Scorecard'!$C$36</f>
        <v/>
      </c>
      <c r="U41" s="64">
        <f>'C11 GEG KPI Scorecard'!$H$36</f>
        <v/>
      </c>
      <c r="V41" s="64">
        <f>'C11 GEG KPI Scorecard'!$I$36</f>
        <v/>
      </c>
      <c r="W41" s="42">
        <f>'C11 GEG KPI Scorecard'!$J$36</f>
        <v/>
      </c>
      <c r="X41" s="59">
        <f>'C11 GEG KPI Scorecard'!$K$36</f>
        <v/>
      </c>
      <c r="Y41" s="12">
        <f>'C11 GEG KPI Scorecard'!$M$36</f>
        <v/>
      </c>
    </row>
    <row r="42">
      <c r="S42" s="59">
        <f>'C11 GEG KPI Scorecard'!$A$37</f>
        <v/>
      </c>
      <c r="T42" s="103">
        <f>'C11 GEG KPI Scorecard'!$C$37</f>
        <v/>
      </c>
      <c r="U42" s="39">
        <f>'C11 GEG KPI Scorecard'!$H$37</f>
        <v/>
      </c>
      <c r="V42" s="39">
        <f>'C11 GEG KPI Scorecard'!$I$37</f>
        <v/>
      </c>
      <c r="W42" s="42">
        <f>'C11 GEG KPI Scorecard'!$J$37</f>
        <v/>
      </c>
      <c r="X42" s="59">
        <f>'C11 GEG KPI Scorecard'!$K$37</f>
        <v/>
      </c>
      <c r="Y42" s="12">
        <f>'C11 GEG KPI Scorecard'!$M$37</f>
        <v/>
      </c>
    </row>
    <row r="43">
      <c r="S43" s="59">
        <f>'C11 GEG KPI Scorecard'!$A$38</f>
        <v/>
      </c>
      <c r="T43" s="103">
        <f>'C11 GEG KPI Scorecard'!$C$38</f>
        <v/>
      </c>
      <c r="U43" s="88">
        <f>'C11 GEG KPI Scorecard'!$H$38</f>
        <v/>
      </c>
      <c r="V43" s="88">
        <f>'C11 GEG KPI Scorecard'!$I$38</f>
        <v/>
      </c>
      <c r="W43" s="42">
        <f>'C11 GEG KPI Scorecard'!$J$38</f>
        <v/>
      </c>
      <c r="X43" s="59">
        <f>'C11 GEG KPI Scorecard'!$K$38</f>
        <v/>
      </c>
      <c r="Y43" s="12">
        <f>'C11 GEG KPI Scorecard'!$M$38</f>
        <v/>
      </c>
    </row>
    <row r="44">
      <c r="T44" s="46" t="inlineStr">
        <is>
          <t>SKOR TERTIMBANG TOTAL</t>
        </is>
      </c>
      <c r="X44" s="104">
        <f>'C11 GEG KPI Scorecard'!$L$42</f>
        <v/>
      </c>
      <c r="Y44" s="105">
        <f>'C11 GEG KPI Scorecard'!$L$43</f>
        <v/>
      </c>
    </row>
    <row r="45">
      <c r="T45" s="3" t="inlineStr">
        <is>
          <t>Skor 1–5 per KPI; status Hijau ≥100%, Kuning ≥95%, Merah &lt;95% dari target (atur di C1).</t>
        </is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>
      <c r="A74" s="4" t="inlineStr">
        <is>
          <t>DATA GRAFIK (otomatis – jangan diubah). #N/A = bulan setelah bulan laporan, sengaja agar grafik tidak jatuh ke nol.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</row>
    <row r="75" ht="42" customHeight="1">
      <c r="A75" s="16" t="inlineStr">
        <is>
          <t>Bulan</t>
        </is>
      </c>
      <c r="B75" s="16" t="inlineStr">
        <is>
          <t>Pendapatan Aktual</t>
        </is>
      </c>
      <c r="C75" s="16" t="inlineStr">
        <is>
          <t>Pendapatan Budget</t>
        </is>
      </c>
      <c r="D75" s="16" t="inlineStr">
        <is>
          <t>EBITDA Aktual</t>
        </is>
      </c>
      <c r="E75" s="16" t="inlineStr">
        <is>
          <t>EBITDA Budget</t>
        </is>
      </c>
      <c r="F75" s="16" t="inlineStr">
        <is>
          <t>Produksi Aktual (t)</t>
        </is>
      </c>
      <c r="G75" s="16" t="inlineStr">
        <is>
          <t>Produksi Budget (t)</t>
        </is>
      </c>
      <c r="H75" s="16" t="inlineStr">
        <is>
          <t>SR Aktual</t>
        </is>
      </c>
      <c r="I75" s="16" t="inlineStr">
        <is>
          <t>SR Budget</t>
        </is>
      </c>
      <c r="J75" s="16" t="inlineStr">
        <is>
          <t>Cash cost Aktual (USD/t)</t>
        </is>
      </c>
      <c r="K75" s="16" t="inlineStr">
        <is>
          <t>Cash cost Budget (USD/t)</t>
        </is>
      </c>
      <c r="L75" s="16" t="inlineStr">
        <is>
          <t>ASP Aktual (USD/t)</t>
        </is>
      </c>
      <c r="M75" s="16" t="inlineStr">
        <is>
          <t>Fuel ratio Aktual</t>
        </is>
      </c>
      <c r="N75" s="16" t="inlineStr">
        <is>
          <t>Fuel ratio Budget</t>
        </is>
      </c>
    </row>
    <row r="76">
      <c r="A76" s="10" t="inlineStr">
        <is>
          <t>Jan</t>
        </is>
      </c>
      <c r="B76" s="28">
        <f>IF(1&gt;'C1 GEG Setting'!$C$6,NA(),'C5 GEG LR Aktual'!D14)</f>
        <v/>
      </c>
      <c r="C76" s="28">
        <f>'C4 GEG LR Budget'!D14</f>
        <v/>
      </c>
      <c r="D76" s="28">
        <f>IF(1&gt;'C1 GEG Setting'!$C$6,NA(),'C5 GEG LR Aktual'!D86)</f>
        <v/>
      </c>
      <c r="E76" s="28">
        <f>'C4 GEG LR Budget'!D86</f>
        <v/>
      </c>
      <c r="F76" s="28">
        <f>IF(1&gt;'C1 GEG Setting'!$C$6,NA(),'C3 GEG Ops Aktual'!D9)</f>
        <v/>
      </c>
      <c r="G76" s="28">
        <f>'C2 GEG Ops Budget'!D9</f>
        <v/>
      </c>
      <c r="H76" s="39">
        <f>IF(1&gt;'C1 GEG Setting'!$C$6,NA(),'C3 GEG Ops Aktual'!D10)</f>
        <v/>
      </c>
      <c r="I76" s="39">
        <f>'C2 GEG Ops Budget'!D10</f>
        <v/>
      </c>
      <c r="J76" s="39">
        <f>IF(1&gt;'C1 GEG Setting'!$C$6,NA(),IFERROR(('C5 GEG LR Aktual'!D25+'C5 GEG LR Aktual'!D31+'C5 GEG LR Aktual'!D41)*1000000/'C3 GEG Ops Aktual'!D19/'C3 GEG Ops Aktual'!D25,NA()))</f>
        <v/>
      </c>
      <c r="K76" s="39">
        <f>IFERROR(('C4 GEG LR Budget'!D25+'C4 GEG LR Budget'!D31+'C4 GEG LR Budget'!D41)*1000000/'C2 GEG Ops Budget'!D19/'C2 GEG Ops Budget'!D25,NA())</f>
        <v/>
      </c>
      <c r="L76" s="39">
        <f>IF(1&gt;'C1 GEG Setting'!$C$6,NA(),IFERROR(('C5 GEG LR Aktual'!D11+'C5 GEG LR Aktual'!D12)*1000000/'C3 GEG Ops Aktual'!D19/'C3 GEG Ops Aktual'!D25,NA()))</f>
        <v/>
      </c>
      <c r="M76" s="39">
        <f>IF(1&gt;'C1 GEG Setting'!$C$6,NA(),'C3 GEG Ops Aktual'!D28)</f>
        <v/>
      </c>
      <c r="N76" s="39">
        <f>'C2 GEG Ops Budget'!D28</f>
        <v/>
      </c>
    </row>
    <row r="77">
      <c r="A77" s="10" t="inlineStr">
        <is>
          <t>Feb</t>
        </is>
      </c>
      <c r="B77" s="28">
        <f>IF(2&gt;'C1 GEG Setting'!$C$6,NA(),'C5 GEG LR Aktual'!E14)</f>
        <v/>
      </c>
      <c r="C77" s="28">
        <f>'C4 GEG LR Budget'!E14</f>
        <v/>
      </c>
      <c r="D77" s="28">
        <f>IF(2&gt;'C1 GEG Setting'!$C$6,NA(),'C5 GEG LR Aktual'!E86)</f>
        <v/>
      </c>
      <c r="E77" s="28">
        <f>'C4 GEG LR Budget'!E86</f>
        <v/>
      </c>
      <c r="F77" s="28">
        <f>IF(2&gt;'C1 GEG Setting'!$C$6,NA(),'C3 GEG Ops Aktual'!E9)</f>
        <v/>
      </c>
      <c r="G77" s="28">
        <f>'C2 GEG Ops Budget'!E9</f>
        <v/>
      </c>
      <c r="H77" s="39">
        <f>IF(2&gt;'C1 GEG Setting'!$C$6,NA(),'C3 GEG Ops Aktual'!E10)</f>
        <v/>
      </c>
      <c r="I77" s="39">
        <f>'C2 GEG Ops Budget'!E10</f>
        <v/>
      </c>
      <c r="J77" s="39">
        <f>IF(2&gt;'C1 GEG Setting'!$C$6,NA(),IFERROR(('C5 GEG LR Aktual'!E25+'C5 GEG LR Aktual'!E31+'C5 GEG LR Aktual'!E41)*1000000/'C3 GEG Ops Aktual'!E19/'C3 GEG Ops Aktual'!E25,NA()))</f>
        <v/>
      </c>
      <c r="K77" s="39">
        <f>IFERROR(('C4 GEG LR Budget'!E25+'C4 GEG LR Budget'!E31+'C4 GEG LR Budget'!E41)*1000000/'C2 GEG Ops Budget'!E19/'C2 GEG Ops Budget'!E25,NA())</f>
        <v/>
      </c>
      <c r="L77" s="39">
        <f>IF(2&gt;'C1 GEG Setting'!$C$6,NA(),IFERROR(('C5 GEG LR Aktual'!E11+'C5 GEG LR Aktual'!E12)*1000000/'C3 GEG Ops Aktual'!E19/'C3 GEG Ops Aktual'!E25,NA()))</f>
        <v/>
      </c>
      <c r="M77" s="39">
        <f>IF(2&gt;'C1 GEG Setting'!$C$6,NA(),'C3 GEG Ops Aktual'!E28)</f>
        <v/>
      </c>
      <c r="N77" s="39">
        <f>'C2 GEG Ops Budget'!E28</f>
        <v/>
      </c>
    </row>
    <row r="78">
      <c r="A78" s="10" t="inlineStr">
        <is>
          <t>Mar</t>
        </is>
      </c>
      <c r="B78" s="28">
        <f>IF(3&gt;'C1 GEG Setting'!$C$6,NA(),'C5 GEG LR Aktual'!F14)</f>
        <v/>
      </c>
      <c r="C78" s="28">
        <f>'C4 GEG LR Budget'!F14</f>
        <v/>
      </c>
      <c r="D78" s="28">
        <f>IF(3&gt;'C1 GEG Setting'!$C$6,NA(),'C5 GEG LR Aktual'!F86)</f>
        <v/>
      </c>
      <c r="E78" s="28">
        <f>'C4 GEG LR Budget'!F86</f>
        <v/>
      </c>
      <c r="F78" s="28">
        <f>IF(3&gt;'C1 GEG Setting'!$C$6,NA(),'C3 GEG Ops Aktual'!F9)</f>
        <v/>
      </c>
      <c r="G78" s="28">
        <f>'C2 GEG Ops Budget'!F9</f>
        <v/>
      </c>
      <c r="H78" s="39">
        <f>IF(3&gt;'C1 GEG Setting'!$C$6,NA(),'C3 GEG Ops Aktual'!F10)</f>
        <v/>
      </c>
      <c r="I78" s="39">
        <f>'C2 GEG Ops Budget'!F10</f>
        <v/>
      </c>
      <c r="J78" s="39">
        <f>IF(3&gt;'C1 GEG Setting'!$C$6,NA(),IFERROR(('C5 GEG LR Aktual'!F25+'C5 GEG LR Aktual'!F31+'C5 GEG LR Aktual'!F41)*1000000/'C3 GEG Ops Aktual'!F19/'C3 GEG Ops Aktual'!F25,NA()))</f>
        <v/>
      </c>
      <c r="K78" s="39">
        <f>IFERROR(('C4 GEG LR Budget'!F25+'C4 GEG LR Budget'!F31+'C4 GEG LR Budget'!F41)*1000000/'C2 GEG Ops Budget'!F19/'C2 GEG Ops Budget'!F25,NA())</f>
        <v/>
      </c>
      <c r="L78" s="39">
        <f>IF(3&gt;'C1 GEG Setting'!$C$6,NA(),IFERROR(('C5 GEG LR Aktual'!F11+'C5 GEG LR Aktual'!F12)*1000000/'C3 GEG Ops Aktual'!F19/'C3 GEG Ops Aktual'!F25,NA()))</f>
        <v/>
      </c>
      <c r="M78" s="39">
        <f>IF(3&gt;'C1 GEG Setting'!$C$6,NA(),'C3 GEG Ops Aktual'!F28)</f>
        <v/>
      </c>
      <c r="N78" s="39">
        <f>'C2 GEG Ops Budget'!F28</f>
        <v/>
      </c>
    </row>
    <row r="79">
      <c r="A79" s="10" t="inlineStr">
        <is>
          <t>Apr</t>
        </is>
      </c>
      <c r="B79" s="28">
        <f>IF(4&gt;'C1 GEG Setting'!$C$6,NA(),'C5 GEG LR Aktual'!G14)</f>
        <v/>
      </c>
      <c r="C79" s="28">
        <f>'C4 GEG LR Budget'!G14</f>
        <v/>
      </c>
      <c r="D79" s="28">
        <f>IF(4&gt;'C1 GEG Setting'!$C$6,NA(),'C5 GEG LR Aktual'!G86)</f>
        <v/>
      </c>
      <c r="E79" s="28">
        <f>'C4 GEG LR Budget'!G86</f>
        <v/>
      </c>
      <c r="F79" s="28">
        <f>IF(4&gt;'C1 GEG Setting'!$C$6,NA(),'C3 GEG Ops Aktual'!G9)</f>
        <v/>
      </c>
      <c r="G79" s="28">
        <f>'C2 GEG Ops Budget'!G9</f>
        <v/>
      </c>
      <c r="H79" s="39">
        <f>IF(4&gt;'C1 GEG Setting'!$C$6,NA(),'C3 GEG Ops Aktual'!G10)</f>
        <v/>
      </c>
      <c r="I79" s="39">
        <f>'C2 GEG Ops Budget'!G10</f>
        <v/>
      </c>
      <c r="J79" s="39">
        <f>IF(4&gt;'C1 GEG Setting'!$C$6,NA(),IFERROR(('C5 GEG LR Aktual'!G25+'C5 GEG LR Aktual'!G31+'C5 GEG LR Aktual'!G41)*1000000/'C3 GEG Ops Aktual'!G19/'C3 GEG Ops Aktual'!G25,NA()))</f>
        <v/>
      </c>
      <c r="K79" s="39">
        <f>IFERROR(('C4 GEG LR Budget'!G25+'C4 GEG LR Budget'!G31+'C4 GEG LR Budget'!G41)*1000000/'C2 GEG Ops Budget'!G19/'C2 GEG Ops Budget'!G25,NA())</f>
        <v/>
      </c>
      <c r="L79" s="39">
        <f>IF(4&gt;'C1 GEG Setting'!$C$6,NA(),IFERROR(('C5 GEG LR Aktual'!G11+'C5 GEG LR Aktual'!G12)*1000000/'C3 GEG Ops Aktual'!G19/'C3 GEG Ops Aktual'!G25,NA()))</f>
        <v/>
      </c>
      <c r="M79" s="39">
        <f>IF(4&gt;'C1 GEG Setting'!$C$6,NA(),'C3 GEG Ops Aktual'!G28)</f>
        <v/>
      </c>
      <c r="N79" s="39">
        <f>'C2 GEG Ops Budget'!G28</f>
        <v/>
      </c>
    </row>
    <row r="80">
      <c r="A80" s="10" t="inlineStr">
        <is>
          <t>Mei</t>
        </is>
      </c>
      <c r="B80" s="28">
        <f>IF(5&gt;'C1 GEG Setting'!$C$6,NA(),'C5 GEG LR Aktual'!H14)</f>
        <v/>
      </c>
      <c r="C80" s="28">
        <f>'C4 GEG LR Budget'!H14</f>
        <v/>
      </c>
      <c r="D80" s="28">
        <f>IF(5&gt;'C1 GEG Setting'!$C$6,NA(),'C5 GEG LR Aktual'!H86)</f>
        <v/>
      </c>
      <c r="E80" s="28">
        <f>'C4 GEG LR Budget'!H86</f>
        <v/>
      </c>
      <c r="F80" s="28">
        <f>IF(5&gt;'C1 GEG Setting'!$C$6,NA(),'C3 GEG Ops Aktual'!H9)</f>
        <v/>
      </c>
      <c r="G80" s="28">
        <f>'C2 GEG Ops Budget'!H9</f>
        <v/>
      </c>
      <c r="H80" s="39">
        <f>IF(5&gt;'C1 GEG Setting'!$C$6,NA(),'C3 GEG Ops Aktual'!H10)</f>
        <v/>
      </c>
      <c r="I80" s="39">
        <f>'C2 GEG Ops Budget'!H10</f>
        <v/>
      </c>
      <c r="J80" s="39">
        <f>IF(5&gt;'C1 GEG Setting'!$C$6,NA(),IFERROR(('C5 GEG LR Aktual'!H25+'C5 GEG LR Aktual'!H31+'C5 GEG LR Aktual'!H41)*1000000/'C3 GEG Ops Aktual'!H19/'C3 GEG Ops Aktual'!H25,NA()))</f>
        <v/>
      </c>
      <c r="K80" s="39">
        <f>IFERROR(('C4 GEG LR Budget'!H25+'C4 GEG LR Budget'!H31+'C4 GEG LR Budget'!H41)*1000000/'C2 GEG Ops Budget'!H19/'C2 GEG Ops Budget'!H25,NA())</f>
        <v/>
      </c>
      <c r="L80" s="39">
        <f>IF(5&gt;'C1 GEG Setting'!$C$6,NA(),IFERROR(('C5 GEG LR Aktual'!H11+'C5 GEG LR Aktual'!H12)*1000000/'C3 GEG Ops Aktual'!H19/'C3 GEG Ops Aktual'!H25,NA()))</f>
        <v/>
      </c>
      <c r="M80" s="39">
        <f>IF(5&gt;'C1 GEG Setting'!$C$6,NA(),'C3 GEG Ops Aktual'!H28)</f>
        <v/>
      </c>
      <c r="N80" s="39">
        <f>'C2 GEG Ops Budget'!H28</f>
        <v/>
      </c>
    </row>
    <row r="81">
      <c r="A81" s="10" t="inlineStr">
        <is>
          <t>Jun</t>
        </is>
      </c>
      <c r="B81" s="28">
        <f>IF(6&gt;'C1 GEG Setting'!$C$6,NA(),'C5 GEG LR Aktual'!I14)</f>
        <v/>
      </c>
      <c r="C81" s="28">
        <f>'C4 GEG LR Budget'!I14</f>
        <v/>
      </c>
      <c r="D81" s="28">
        <f>IF(6&gt;'C1 GEG Setting'!$C$6,NA(),'C5 GEG LR Aktual'!I86)</f>
        <v/>
      </c>
      <c r="E81" s="28">
        <f>'C4 GEG LR Budget'!I86</f>
        <v/>
      </c>
      <c r="F81" s="28">
        <f>IF(6&gt;'C1 GEG Setting'!$C$6,NA(),'C3 GEG Ops Aktual'!I9)</f>
        <v/>
      </c>
      <c r="G81" s="28">
        <f>'C2 GEG Ops Budget'!I9</f>
        <v/>
      </c>
      <c r="H81" s="39">
        <f>IF(6&gt;'C1 GEG Setting'!$C$6,NA(),'C3 GEG Ops Aktual'!I10)</f>
        <v/>
      </c>
      <c r="I81" s="39">
        <f>'C2 GEG Ops Budget'!I10</f>
        <v/>
      </c>
      <c r="J81" s="39">
        <f>IF(6&gt;'C1 GEG Setting'!$C$6,NA(),IFERROR(('C5 GEG LR Aktual'!I25+'C5 GEG LR Aktual'!I31+'C5 GEG LR Aktual'!I41)*1000000/'C3 GEG Ops Aktual'!I19/'C3 GEG Ops Aktual'!I25,NA()))</f>
        <v/>
      </c>
      <c r="K81" s="39">
        <f>IFERROR(('C4 GEG LR Budget'!I25+'C4 GEG LR Budget'!I31+'C4 GEG LR Budget'!I41)*1000000/'C2 GEG Ops Budget'!I19/'C2 GEG Ops Budget'!I25,NA())</f>
        <v/>
      </c>
      <c r="L81" s="39">
        <f>IF(6&gt;'C1 GEG Setting'!$C$6,NA(),IFERROR(('C5 GEG LR Aktual'!I11+'C5 GEG LR Aktual'!I12)*1000000/'C3 GEG Ops Aktual'!I19/'C3 GEG Ops Aktual'!I25,NA()))</f>
        <v/>
      </c>
      <c r="M81" s="39">
        <f>IF(6&gt;'C1 GEG Setting'!$C$6,NA(),'C3 GEG Ops Aktual'!I28)</f>
        <v/>
      </c>
      <c r="N81" s="39">
        <f>'C2 GEG Ops Budget'!I28</f>
        <v/>
      </c>
    </row>
    <row r="82">
      <c r="A82" s="10" t="inlineStr">
        <is>
          <t>Jul</t>
        </is>
      </c>
      <c r="B82" s="28">
        <f>IF(7&gt;'C1 GEG Setting'!$C$6,NA(),'C5 GEG LR Aktual'!J14)</f>
        <v/>
      </c>
      <c r="C82" s="28">
        <f>'C4 GEG LR Budget'!J14</f>
        <v/>
      </c>
      <c r="D82" s="28">
        <f>IF(7&gt;'C1 GEG Setting'!$C$6,NA(),'C5 GEG LR Aktual'!J86)</f>
        <v/>
      </c>
      <c r="E82" s="28">
        <f>'C4 GEG LR Budget'!J86</f>
        <v/>
      </c>
      <c r="F82" s="28">
        <f>IF(7&gt;'C1 GEG Setting'!$C$6,NA(),'C3 GEG Ops Aktual'!J9)</f>
        <v/>
      </c>
      <c r="G82" s="28">
        <f>'C2 GEG Ops Budget'!J9</f>
        <v/>
      </c>
      <c r="H82" s="39">
        <f>IF(7&gt;'C1 GEG Setting'!$C$6,NA(),'C3 GEG Ops Aktual'!J10)</f>
        <v/>
      </c>
      <c r="I82" s="39">
        <f>'C2 GEG Ops Budget'!J10</f>
        <v/>
      </c>
      <c r="J82" s="39">
        <f>IF(7&gt;'C1 GEG Setting'!$C$6,NA(),IFERROR(('C5 GEG LR Aktual'!J25+'C5 GEG LR Aktual'!J31+'C5 GEG LR Aktual'!J41)*1000000/'C3 GEG Ops Aktual'!J19/'C3 GEG Ops Aktual'!J25,NA()))</f>
        <v/>
      </c>
      <c r="K82" s="39">
        <f>IFERROR(('C4 GEG LR Budget'!J25+'C4 GEG LR Budget'!J31+'C4 GEG LR Budget'!J41)*1000000/'C2 GEG Ops Budget'!J19/'C2 GEG Ops Budget'!J25,NA())</f>
        <v/>
      </c>
      <c r="L82" s="39">
        <f>IF(7&gt;'C1 GEG Setting'!$C$6,NA(),IFERROR(('C5 GEG LR Aktual'!J11+'C5 GEG LR Aktual'!J12)*1000000/'C3 GEG Ops Aktual'!J19/'C3 GEG Ops Aktual'!J25,NA()))</f>
        <v/>
      </c>
      <c r="M82" s="39">
        <f>IF(7&gt;'C1 GEG Setting'!$C$6,NA(),'C3 GEG Ops Aktual'!J28)</f>
        <v/>
      </c>
      <c r="N82" s="39">
        <f>'C2 GEG Ops Budget'!J28</f>
        <v/>
      </c>
    </row>
    <row r="83">
      <c r="A83" s="10" t="inlineStr">
        <is>
          <t>Agu</t>
        </is>
      </c>
      <c r="B83" s="28">
        <f>IF(8&gt;'C1 GEG Setting'!$C$6,NA(),'C5 GEG LR Aktual'!K14)</f>
        <v/>
      </c>
      <c r="C83" s="28">
        <f>'C4 GEG LR Budget'!K14</f>
        <v/>
      </c>
      <c r="D83" s="28">
        <f>IF(8&gt;'C1 GEG Setting'!$C$6,NA(),'C5 GEG LR Aktual'!K86)</f>
        <v/>
      </c>
      <c r="E83" s="28">
        <f>'C4 GEG LR Budget'!K86</f>
        <v/>
      </c>
      <c r="F83" s="28">
        <f>IF(8&gt;'C1 GEG Setting'!$C$6,NA(),'C3 GEG Ops Aktual'!K9)</f>
        <v/>
      </c>
      <c r="G83" s="28">
        <f>'C2 GEG Ops Budget'!K9</f>
        <v/>
      </c>
      <c r="H83" s="39">
        <f>IF(8&gt;'C1 GEG Setting'!$C$6,NA(),'C3 GEG Ops Aktual'!K10)</f>
        <v/>
      </c>
      <c r="I83" s="39">
        <f>'C2 GEG Ops Budget'!K10</f>
        <v/>
      </c>
      <c r="J83" s="39">
        <f>IF(8&gt;'C1 GEG Setting'!$C$6,NA(),IFERROR(('C5 GEG LR Aktual'!K25+'C5 GEG LR Aktual'!K31+'C5 GEG LR Aktual'!K41)*1000000/'C3 GEG Ops Aktual'!K19/'C3 GEG Ops Aktual'!K25,NA()))</f>
        <v/>
      </c>
      <c r="K83" s="39">
        <f>IFERROR(('C4 GEG LR Budget'!K25+'C4 GEG LR Budget'!K31+'C4 GEG LR Budget'!K41)*1000000/'C2 GEG Ops Budget'!K19/'C2 GEG Ops Budget'!K25,NA())</f>
        <v/>
      </c>
      <c r="L83" s="39">
        <f>IF(8&gt;'C1 GEG Setting'!$C$6,NA(),IFERROR(('C5 GEG LR Aktual'!K11+'C5 GEG LR Aktual'!K12)*1000000/'C3 GEG Ops Aktual'!K19/'C3 GEG Ops Aktual'!K25,NA()))</f>
        <v/>
      </c>
      <c r="M83" s="39">
        <f>IF(8&gt;'C1 GEG Setting'!$C$6,NA(),'C3 GEG Ops Aktual'!K28)</f>
        <v/>
      </c>
      <c r="N83" s="39">
        <f>'C2 GEG Ops Budget'!K28</f>
        <v/>
      </c>
    </row>
    <row r="84">
      <c r="A84" s="10" t="inlineStr">
        <is>
          <t>Sep</t>
        </is>
      </c>
      <c r="B84" s="28">
        <f>IF(9&gt;'C1 GEG Setting'!$C$6,NA(),'C5 GEG LR Aktual'!L14)</f>
        <v/>
      </c>
      <c r="C84" s="28">
        <f>'C4 GEG LR Budget'!L14</f>
        <v/>
      </c>
      <c r="D84" s="28">
        <f>IF(9&gt;'C1 GEG Setting'!$C$6,NA(),'C5 GEG LR Aktual'!L86)</f>
        <v/>
      </c>
      <c r="E84" s="28">
        <f>'C4 GEG LR Budget'!L86</f>
        <v/>
      </c>
      <c r="F84" s="28">
        <f>IF(9&gt;'C1 GEG Setting'!$C$6,NA(),'C3 GEG Ops Aktual'!L9)</f>
        <v/>
      </c>
      <c r="G84" s="28">
        <f>'C2 GEG Ops Budget'!L9</f>
        <v/>
      </c>
      <c r="H84" s="39">
        <f>IF(9&gt;'C1 GEG Setting'!$C$6,NA(),'C3 GEG Ops Aktual'!L10)</f>
        <v/>
      </c>
      <c r="I84" s="39">
        <f>'C2 GEG Ops Budget'!L10</f>
        <v/>
      </c>
      <c r="J84" s="39">
        <f>IF(9&gt;'C1 GEG Setting'!$C$6,NA(),IFERROR(('C5 GEG LR Aktual'!L25+'C5 GEG LR Aktual'!L31+'C5 GEG LR Aktual'!L41)*1000000/'C3 GEG Ops Aktual'!L19/'C3 GEG Ops Aktual'!L25,NA()))</f>
        <v/>
      </c>
      <c r="K84" s="39">
        <f>IFERROR(('C4 GEG LR Budget'!L25+'C4 GEG LR Budget'!L31+'C4 GEG LR Budget'!L41)*1000000/'C2 GEG Ops Budget'!L19/'C2 GEG Ops Budget'!L25,NA())</f>
        <v/>
      </c>
      <c r="L84" s="39">
        <f>IF(9&gt;'C1 GEG Setting'!$C$6,NA(),IFERROR(('C5 GEG LR Aktual'!L11+'C5 GEG LR Aktual'!L12)*1000000/'C3 GEG Ops Aktual'!L19/'C3 GEG Ops Aktual'!L25,NA()))</f>
        <v/>
      </c>
      <c r="M84" s="39">
        <f>IF(9&gt;'C1 GEG Setting'!$C$6,NA(),'C3 GEG Ops Aktual'!L28)</f>
        <v/>
      </c>
      <c r="N84" s="39">
        <f>'C2 GEG Ops Budget'!L28</f>
        <v/>
      </c>
    </row>
    <row r="85">
      <c r="A85" s="10" t="inlineStr">
        <is>
          <t>Okt</t>
        </is>
      </c>
      <c r="B85" s="28">
        <f>IF(10&gt;'C1 GEG Setting'!$C$6,NA(),'C5 GEG LR Aktual'!M14)</f>
        <v/>
      </c>
      <c r="C85" s="28">
        <f>'C4 GEG LR Budget'!M14</f>
        <v/>
      </c>
      <c r="D85" s="28">
        <f>IF(10&gt;'C1 GEG Setting'!$C$6,NA(),'C5 GEG LR Aktual'!M86)</f>
        <v/>
      </c>
      <c r="E85" s="28">
        <f>'C4 GEG LR Budget'!M86</f>
        <v/>
      </c>
      <c r="F85" s="28">
        <f>IF(10&gt;'C1 GEG Setting'!$C$6,NA(),'C3 GEG Ops Aktual'!M9)</f>
        <v/>
      </c>
      <c r="G85" s="28">
        <f>'C2 GEG Ops Budget'!M9</f>
        <v/>
      </c>
      <c r="H85" s="39">
        <f>IF(10&gt;'C1 GEG Setting'!$C$6,NA(),'C3 GEG Ops Aktual'!M10)</f>
        <v/>
      </c>
      <c r="I85" s="39">
        <f>'C2 GEG Ops Budget'!M10</f>
        <v/>
      </c>
      <c r="J85" s="39">
        <f>IF(10&gt;'C1 GEG Setting'!$C$6,NA(),IFERROR(('C5 GEG LR Aktual'!M25+'C5 GEG LR Aktual'!M31+'C5 GEG LR Aktual'!M41)*1000000/'C3 GEG Ops Aktual'!M19/'C3 GEG Ops Aktual'!M25,NA()))</f>
        <v/>
      </c>
      <c r="K85" s="39">
        <f>IFERROR(('C4 GEG LR Budget'!M25+'C4 GEG LR Budget'!M31+'C4 GEG LR Budget'!M41)*1000000/'C2 GEG Ops Budget'!M19/'C2 GEG Ops Budget'!M25,NA())</f>
        <v/>
      </c>
      <c r="L85" s="39">
        <f>IF(10&gt;'C1 GEG Setting'!$C$6,NA(),IFERROR(('C5 GEG LR Aktual'!M11+'C5 GEG LR Aktual'!M12)*1000000/'C3 GEG Ops Aktual'!M19/'C3 GEG Ops Aktual'!M25,NA()))</f>
        <v/>
      </c>
      <c r="M85" s="39">
        <f>IF(10&gt;'C1 GEG Setting'!$C$6,NA(),'C3 GEG Ops Aktual'!M28)</f>
        <v/>
      </c>
      <c r="N85" s="39">
        <f>'C2 GEG Ops Budget'!M28</f>
        <v/>
      </c>
    </row>
    <row r="86">
      <c r="A86" s="10" t="inlineStr">
        <is>
          <t>Nov</t>
        </is>
      </c>
      <c r="B86" s="28">
        <f>IF(11&gt;'C1 GEG Setting'!$C$6,NA(),'C5 GEG LR Aktual'!N14)</f>
        <v/>
      </c>
      <c r="C86" s="28">
        <f>'C4 GEG LR Budget'!N14</f>
        <v/>
      </c>
      <c r="D86" s="28">
        <f>IF(11&gt;'C1 GEG Setting'!$C$6,NA(),'C5 GEG LR Aktual'!N86)</f>
        <v/>
      </c>
      <c r="E86" s="28">
        <f>'C4 GEG LR Budget'!N86</f>
        <v/>
      </c>
      <c r="F86" s="28">
        <f>IF(11&gt;'C1 GEG Setting'!$C$6,NA(),'C3 GEG Ops Aktual'!N9)</f>
        <v/>
      </c>
      <c r="G86" s="28">
        <f>'C2 GEG Ops Budget'!N9</f>
        <v/>
      </c>
      <c r="H86" s="39">
        <f>IF(11&gt;'C1 GEG Setting'!$C$6,NA(),'C3 GEG Ops Aktual'!N10)</f>
        <v/>
      </c>
      <c r="I86" s="39">
        <f>'C2 GEG Ops Budget'!N10</f>
        <v/>
      </c>
      <c r="J86" s="39">
        <f>IF(11&gt;'C1 GEG Setting'!$C$6,NA(),IFERROR(('C5 GEG LR Aktual'!N25+'C5 GEG LR Aktual'!N31+'C5 GEG LR Aktual'!N41)*1000000/'C3 GEG Ops Aktual'!N19/'C3 GEG Ops Aktual'!N25,NA()))</f>
        <v/>
      </c>
      <c r="K86" s="39">
        <f>IFERROR(('C4 GEG LR Budget'!N25+'C4 GEG LR Budget'!N31+'C4 GEG LR Budget'!N41)*1000000/'C2 GEG Ops Budget'!N19/'C2 GEG Ops Budget'!N25,NA())</f>
        <v/>
      </c>
      <c r="L86" s="39">
        <f>IF(11&gt;'C1 GEG Setting'!$C$6,NA(),IFERROR(('C5 GEG LR Aktual'!N11+'C5 GEG LR Aktual'!N12)*1000000/'C3 GEG Ops Aktual'!N19/'C3 GEG Ops Aktual'!N25,NA()))</f>
        <v/>
      </c>
      <c r="M86" s="39">
        <f>IF(11&gt;'C1 GEG Setting'!$C$6,NA(),'C3 GEG Ops Aktual'!N28)</f>
        <v/>
      </c>
      <c r="N86" s="39">
        <f>'C2 GEG Ops Budget'!N28</f>
        <v/>
      </c>
    </row>
    <row r="87">
      <c r="A87" s="10" t="inlineStr">
        <is>
          <t>Des</t>
        </is>
      </c>
      <c r="B87" s="28">
        <f>IF(12&gt;'C1 GEG Setting'!$C$6,NA(),'C5 GEG LR Aktual'!O14)</f>
        <v/>
      </c>
      <c r="C87" s="28">
        <f>'C4 GEG LR Budget'!O14</f>
        <v/>
      </c>
      <c r="D87" s="28">
        <f>IF(12&gt;'C1 GEG Setting'!$C$6,NA(),'C5 GEG LR Aktual'!O86)</f>
        <v/>
      </c>
      <c r="E87" s="28">
        <f>'C4 GEG LR Budget'!O86</f>
        <v/>
      </c>
      <c r="F87" s="28">
        <f>IF(12&gt;'C1 GEG Setting'!$C$6,NA(),'C3 GEG Ops Aktual'!O9)</f>
        <v/>
      </c>
      <c r="G87" s="28">
        <f>'C2 GEG Ops Budget'!O9</f>
        <v/>
      </c>
      <c r="H87" s="39">
        <f>IF(12&gt;'C1 GEG Setting'!$C$6,NA(),'C3 GEG Ops Aktual'!O10)</f>
        <v/>
      </c>
      <c r="I87" s="39">
        <f>'C2 GEG Ops Budget'!O10</f>
        <v/>
      </c>
      <c r="J87" s="39">
        <f>IF(12&gt;'C1 GEG Setting'!$C$6,NA(),IFERROR(('C5 GEG LR Aktual'!O25+'C5 GEG LR Aktual'!O31+'C5 GEG LR Aktual'!O41)*1000000/'C3 GEG Ops Aktual'!O19/'C3 GEG Ops Aktual'!O25,NA()))</f>
        <v/>
      </c>
      <c r="K87" s="39">
        <f>IFERROR(('C4 GEG LR Budget'!O25+'C4 GEG LR Budget'!O31+'C4 GEG LR Budget'!O41)*1000000/'C2 GEG Ops Budget'!O19/'C2 GEG Ops Budget'!O25,NA())</f>
        <v/>
      </c>
      <c r="L87" s="39">
        <f>IF(12&gt;'C1 GEG Setting'!$C$6,NA(),IFERROR(('C5 GEG LR Aktual'!O11+'C5 GEG LR Aktual'!O12)*1000000/'C3 GEG Ops Aktual'!O19/'C3 GEG Ops Aktual'!O25,NA()))</f>
        <v/>
      </c>
      <c r="M87" s="39">
        <f>IF(12&gt;'C1 GEG Setting'!$C$6,NA(),'C3 GEG Ops Aktual'!O28)</f>
        <v/>
      </c>
      <c r="N87" s="39">
        <f>'C2 GEG Ops Budget'!O28</f>
        <v/>
      </c>
    </row>
    <row r="88"/>
    <row r="89">
      <c r="A89" s="4" t="inlineStr">
        <is>
          <t>DATA GRAFIK – Struktur biaya kas YTD (Rp juta)</t>
        </is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</row>
    <row r="90">
      <c r="A90" s="16" t="inlineStr">
        <is>
          <t>Komponen</t>
        </is>
      </c>
      <c r="B90" s="16" t="inlineStr">
        <is>
          <t>Aktual YTD</t>
        </is>
      </c>
      <c r="C90" s="16" t="inlineStr">
        <is>
          <t>Budget YTD</t>
        </is>
      </c>
    </row>
    <row r="91">
      <c r="A91" s="10" t="inlineStr">
        <is>
          <t>Pengupasan OB</t>
        </is>
      </c>
      <c r="B91" s="28">
        <f>'C8 GEG Lap LR'!$J$16+'C8 GEG Lap LR'!$J$17+'C8 GEG Lap LR'!$J$18</f>
        <v/>
      </c>
      <c r="C91" s="28">
        <f>'C8 GEG Lap LR'!$K$16+'C8 GEG Lap LR'!$K$17+'C8 GEG Lap LR'!$K$18</f>
        <v/>
      </c>
    </row>
    <row r="92">
      <c r="A92" s="10" t="inlineStr">
        <is>
          <t>Coal getting &amp; tambang lain</t>
        </is>
      </c>
      <c r="B92" s="28">
        <f>'C8 GEG Lap LR'!$J$19+'C8 GEG Lap LR'!$J$20+'C8 GEG Lap LR'!$J$21+'C8 GEG Lap LR'!$J$22+'C8 GEG Lap LR'!$J$23</f>
        <v/>
      </c>
      <c r="C92" s="28">
        <f>'C8 GEG Lap LR'!$K$19+'C8 GEG Lap LR'!$K$20+'C8 GEG Lap LR'!$K$21+'C8 GEG Lap LR'!$K$22+'C8 GEG Lap LR'!$K$23</f>
        <v/>
      </c>
    </row>
    <row r="93">
      <c r="A93" s="10" t="inlineStr">
        <is>
          <t>Pengolahan &amp; hauling</t>
        </is>
      </c>
      <c r="B93" s="28">
        <f>'C8 GEG Lap LR'!$J$26+'C8 GEG Lap LR'!$J$27</f>
        <v/>
      </c>
      <c r="C93" s="28">
        <f>'C8 GEG Lap LR'!$K$26+'C8 GEG Lap LR'!$K$27</f>
        <v/>
      </c>
    </row>
    <row r="94">
      <c r="A94" s="10" t="inlineStr">
        <is>
          <t>Pelabuhan &amp; barging</t>
        </is>
      </c>
      <c r="B94" s="28">
        <f>'C8 GEG Lap LR'!$J$28+'C8 GEG Lap LR'!$J$29</f>
        <v/>
      </c>
      <c r="C94" s="28">
        <f>'C8 GEG Lap LR'!$K$28+'C8 GEG Lap LR'!$K$29</f>
        <v/>
      </c>
    </row>
    <row r="95">
      <c r="A95" s="10" t="inlineStr">
        <is>
          <t>Royalti</t>
        </is>
      </c>
      <c r="B95" s="28">
        <f>'C8 GEG Lap LR'!$J$32</f>
        <v/>
      </c>
      <c r="C95" s="28">
        <f>'C8 GEG Lap LR'!$K$32</f>
        <v/>
      </c>
    </row>
    <row r="96">
      <c r="A96" s="10" t="inlineStr">
        <is>
          <t>Overhead site</t>
        </is>
      </c>
      <c r="B96" s="28">
        <f>'C8 GEG Lap LR'!$J$40</f>
        <v/>
      </c>
      <c r="C96" s="28">
        <f>'C8 GEG Lap LR'!$K$40</f>
        <v/>
      </c>
    </row>
    <row r="97">
      <c r="A97" s="10" t="inlineStr">
        <is>
          <t>Beban penjualan</t>
        </is>
      </c>
      <c r="B97" s="28">
        <f>'C8 GEG Lap LR'!$J$59</f>
        <v/>
      </c>
      <c r="C97" s="28">
        <f>'C8 GEG Lap LR'!$K$59</f>
        <v/>
      </c>
    </row>
    <row r="98">
      <c r="A98" s="10" t="inlineStr">
        <is>
          <t>G&amp;A excl. penyusutan</t>
        </is>
      </c>
      <c r="B98" s="28">
        <f>'C8 GEG Lap LR'!$J$70-'C8 GEG Lap LR'!$J$68</f>
        <v/>
      </c>
      <c r="C98" s="28">
        <f>'C8 GEG Lap LR'!$K$70-'C8 GEG Lap LR'!$K$68</f>
        <v/>
      </c>
    </row>
    <row r="99"/>
    <row r="100">
      <c r="A100" s="4" t="inlineStr">
        <is>
          <t>DATA GRAFIK – Skor KPI per perspektif &amp; jumlah status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</row>
    <row r="101">
      <c r="A101" s="16" t="inlineStr">
        <is>
          <t>Perspektif</t>
        </is>
      </c>
      <c r="B101" s="16" t="inlineStr">
        <is>
          <t>Skor rata-rata (1–5)</t>
        </is>
      </c>
      <c r="C101" s="16" t="inlineStr"/>
      <c r="D101" s="16" t="inlineStr">
        <is>
          <t>Status</t>
        </is>
      </c>
      <c r="E101" s="16" t="inlineStr">
        <is>
          <t>Jumlah KPI</t>
        </is>
      </c>
    </row>
    <row r="102">
      <c r="A102" s="103">
        <f>'C11 GEG KPI Scorecard'!$C$47</f>
        <v/>
      </c>
      <c r="B102" s="39">
        <f>'C11 GEG KPI Scorecard'!$K$47</f>
        <v/>
      </c>
      <c r="D102" s="10" t="inlineStr">
        <is>
          <t>Hijau</t>
        </is>
      </c>
      <c r="E102" s="28">
        <f>'C11 GEG KPI Scorecard'!$K$44</f>
        <v/>
      </c>
    </row>
    <row r="103">
      <c r="A103" s="103">
        <f>'C11 GEG KPI Scorecard'!$C$48</f>
        <v/>
      </c>
      <c r="B103" s="39">
        <f>'C11 GEG KPI Scorecard'!$K$48</f>
        <v/>
      </c>
      <c r="D103" s="10" t="inlineStr">
        <is>
          <t>Kuning</t>
        </is>
      </c>
      <c r="E103" s="28">
        <f>'C11 GEG KPI Scorecard'!$L$44</f>
        <v/>
      </c>
    </row>
    <row r="104">
      <c r="A104" s="103">
        <f>'C11 GEG KPI Scorecard'!$C$49</f>
        <v/>
      </c>
      <c r="B104" s="39">
        <f>'C11 GEG KPI Scorecard'!$K$49</f>
        <v/>
      </c>
      <c r="D104" s="10" t="inlineStr">
        <is>
          <t>Merah</t>
        </is>
      </c>
      <c r="E104" s="28">
        <f>'C11 GEG KPI Scorecard'!$M$44</f>
        <v/>
      </c>
    </row>
    <row r="105">
      <c r="A105" s="103">
        <f>'C11 GEG KPI Scorecard'!$C$50</f>
        <v/>
      </c>
      <c r="B105" s="39">
        <f>'C11 GEG KPI Scorecard'!$K$50</f>
        <v/>
      </c>
    </row>
    <row r="106">
      <c r="A106" s="103">
        <f>'C11 GEG KPI Scorecard'!$C$51</f>
        <v/>
      </c>
      <c r="B106" s="39">
        <f>'C11 GEG KPI Scorecard'!$K$51</f>
        <v/>
      </c>
    </row>
  </sheetData>
  <mergeCells count="24">
    <mergeCell ref="J6:L6"/>
    <mergeCell ref="G6:I6"/>
    <mergeCell ref="M7:O7"/>
    <mergeCell ref="J4:L4"/>
    <mergeCell ref="D7:F7"/>
    <mergeCell ref="M6:O6"/>
    <mergeCell ref="J7:L7"/>
    <mergeCell ref="P7:R7"/>
    <mergeCell ref="A5:C5"/>
    <mergeCell ref="G5:I5"/>
    <mergeCell ref="D4:F4"/>
    <mergeCell ref="G4:I4"/>
    <mergeCell ref="A4:C4"/>
    <mergeCell ref="D5:F5"/>
    <mergeCell ref="P5:R5"/>
    <mergeCell ref="M4:O4"/>
    <mergeCell ref="P4:R4"/>
    <mergeCell ref="J5:L5"/>
    <mergeCell ref="A6:C6"/>
    <mergeCell ref="M5:O5"/>
    <mergeCell ref="D6:F6"/>
    <mergeCell ref="A7:C7"/>
    <mergeCell ref="G7:I7"/>
    <mergeCell ref="P6:R6"/>
  </mergeCells>
  <conditionalFormatting sqref="A7">
    <cfRule type="cellIs" priority="1" operator="equal" dxfId="3">
      <formula>"▲ Sesuai / lebih baik dari budget"</formula>
    </cfRule>
    <cfRule type="cellIs" priority="2" operator="equal" dxfId="4">
      <formula>"▼ Lebih buruk dari budget"</formula>
    </cfRule>
  </conditionalFormatting>
  <conditionalFormatting sqref="D7">
    <cfRule type="cellIs" priority="3" operator="equal" dxfId="3">
      <formula>"▲ Sesuai / lebih baik dari budget"</formula>
    </cfRule>
    <cfRule type="cellIs" priority="4" operator="equal" dxfId="4">
      <formula>"▼ Lebih buruk dari budget"</formula>
    </cfRule>
  </conditionalFormatting>
  <conditionalFormatting sqref="G7">
    <cfRule type="cellIs" priority="5" operator="equal" dxfId="3">
      <formula>"▲ Sesuai / lebih baik dari budget"</formula>
    </cfRule>
    <cfRule type="cellIs" priority="6" operator="equal" dxfId="4">
      <formula>"▼ Lebih buruk dari budget"</formula>
    </cfRule>
  </conditionalFormatting>
  <conditionalFormatting sqref="J7">
    <cfRule type="cellIs" priority="7" operator="equal" dxfId="3">
      <formula>"▲ Sesuai / lebih baik dari budget"</formula>
    </cfRule>
    <cfRule type="cellIs" priority="8" operator="equal" dxfId="4">
      <formula>"▼ Lebih buruk dari budget"</formula>
    </cfRule>
  </conditionalFormatting>
  <conditionalFormatting sqref="M7">
    <cfRule type="cellIs" priority="9" operator="equal" dxfId="3">
      <formula>"▲ Sesuai / lebih baik dari budget"</formula>
    </cfRule>
    <cfRule type="cellIs" priority="10" operator="equal" dxfId="4">
      <formula>"▼ Lebih buruk dari budget"</formula>
    </cfRule>
  </conditionalFormatting>
  <conditionalFormatting sqref="B76:N87">
    <cfRule type="expression" priority="11" dxfId="5">
      <formula>ISNA(B76)</formula>
    </cfRule>
  </conditionalFormatting>
  <conditionalFormatting sqref="X11:X43">
    <cfRule type="dataBar" priority="12">
      <dataBar showValue="1">
        <cfvo type="num" val="0"/>
        <cfvo type="num" val="5"/>
        <color rgb="002A78D6"/>
      </dataBar>
    </cfRule>
  </conditionalFormatting>
  <conditionalFormatting sqref="Y11:Y43">
    <cfRule type="cellIs" priority="13" operator="equal" dxfId="0">
      <formula>"Hijau"</formula>
    </cfRule>
    <cfRule type="cellIs" priority="14" operator="equal" dxfId="2">
      <formula>"Kuning"</formula>
    </cfRule>
    <cfRule type="cellIs" priority="15" operator="equal" dxfId="1">
      <formula>"Merah"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Q6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3" customWidth="1" min="15" max="15"/>
    <col width="14" customWidth="1" min="16" max="16"/>
    <col width="58" customWidth="1" min="17" max="17"/>
  </cols>
  <sheetData>
    <row r="1">
      <c r="A1" s="1" t="inlineStr">
        <is>
          <t>GEG – Financial &amp; Operational Highlight (Key Indicators)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>
        <f>"Bulan laporan: "&amp;'C1 GEG Setting'!$C$7&amp;" "&amp;'C1 GEG Setting'!$C$5&amp;" | Format mengikuti halaman 'Financial Highlight' laporan AAT, disesuaikan untuk tambang batubara"</f>
        <v/>
      </c>
    </row>
    <row r="3"/>
    <row r="4" ht="32" customHeight="1">
      <c r="A4" s="16" t="inlineStr">
        <is>
          <t>Key indicators</t>
        </is>
      </c>
      <c r="B4" s="16" t="inlineStr">
        <is>
          <t>Satuan</t>
        </is>
      </c>
      <c r="C4" s="16" t="inlineStr">
        <is>
          <t>Bulan lalu
Aktual</t>
        </is>
      </c>
      <c r="D4" s="16" t="inlineStr">
        <is>
          <t>Bulan ini
Aktual</t>
        </is>
      </c>
      <c r="E4" s="16" t="inlineStr">
        <is>
          <t>Var MoM</t>
        </is>
      </c>
      <c r="F4" s="16" t="inlineStr">
        <is>
          <t>Var MoM %</t>
        </is>
      </c>
      <c r="G4" s="16" t="inlineStr">
        <is>
          <t>Bulan ini
Budget</t>
        </is>
      </c>
      <c r="H4" s="16" t="inlineStr">
        <is>
          <t>Var vs Budget</t>
        </is>
      </c>
      <c r="I4" s="16" t="inlineStr">
        <is>
          <t>Var %</t>
        </is>
      </c>
      <c r="J4" s="16" t="inlineStr">
        <is>
          <t>YTD
Aktual</t>
        </is>
      </c>
      <c r="K4" s="16" t="inlineStr">
        <is>
          <t>YTD
Budget</t>
        </is>
      </c>
      <c r="L4" s="16" t="inlineStr">
        <is>
          <t>Var YTD</t>
        </is>
      </c>
      <c r="M4" s="16" t="inlineStr">
        <is>
          <t>Var YTD %</t>
        </is>
      </c>
      <c r="N4" s="16" t="inlineStr">
        <is>
          <t>Item non-budget
YTD</t>
        </is>
      </c>
      <c r="O4" s="16" t="inlineStr">
        <is>
          <t>YTD
disesuaikan</t>
        </is>
      </c>
      <c r="P4" s="16" t="inlineStr">
        <is>
          <t>Var disesuaikan
vs Budget</t>
        </is>
      </c>
      <c r="Q4" s="16" t="inlineStr">
        <is>
          <t>Catatan / penjelasan varians (diisi FP&amp;A)</t>
        </is>
      </c>
    </row>
    <row r="5">
      <c r="A5" s="4" t="inlineStr">
        <is>
          <t>OPERASIONAL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10" t="inlineStr">
        <is>
          <t>Jam hujan + slippery</t>
        </is>
      </c>
      <c r="B6" s="3" t="inlineStr">
        <is>
          <t>jam</t>
        </is>
      </c>
      <c r="C6" s="28">
        <f>IF('C1 GEG Setting'!$C$6=1,0,INDEX('C3 GEG Ops Aktual'!$D$29:$O$29,'C1 GEG Setting'!$C$6-1))</f>
        <v/>
      </c>
      <c r="D6" s="28">
        <f>INDEX('C3 GEG Ops Aktual'!$D$29:$O$29,'C1 GEG Setting'!$C$6)</f>
        <v/>
      </c>
      <c r="E6" s="19">
        <f>IFERROR(D6-C6,0)</f>
        <v/>
      </c>
      <c r="F6" s="24">
        <f>IFERROR(E6/ABS(C6),"")</f>
        <v/>
      </c>
      <c r="G6" s="28">
        <f>INDEX('C2 GEG Ops Budget'!$D$29:$O$29,'C1 GEG Setting'!$C$6)</f>
        <v/>
      </c>
      <c r="H6" s="19">
        <f>IFERROR(D6-G6,0)</f>
        <v/>
      </c>
      <c r="I6" s="24">
        <f>IFERROR(H6/ABS(G6),"")</f>
        <v/>
      </c>
      <c r="J6" s="28">
        <f>SUMIF('C3 GEG Ops Aktual'!$D$5:$O$5,"&lt;="&amp;'C1 GEG Setting'!$C$6,'C3 GEG Ops Aktual'!$D$29:$O$29)</f>
        <v/>
      </c>
      <c r="K6" s="28">
        <f>SUMIF('C2 GEG Ops Budget'!$D$5:$O$5,"&lt;="&amp;'C1 GEG Setting'!$C$6,'C2 GEG Ops Budget'!$D$29:$O$29)</f>
        <v/>
      </c>
      <c r="L6" s="19">
        <f>IFERROR(J6-K6,0)</f>
        <v/>
      </c>
      <c r="M6" s="24">
        <f>IFERROR(L6/ABS(K6),"")</f>
        <v/>
      </c>
      <c r="O6" s="19">
        <f>J6-N6</f>
        <v/>
      </c>
      <c r="P6" s="19">
        <f>O6-K6</f>
        <v/>
      </c>
      <c r="Q6" s="76" t="n"/>
    </row>
    <row r="7">
      <c r="A7" s="10" t="inlineStr">
        <is>
          <t>OB removal</t>
        </is>
      </c>
      <c r="B7" s="3" t="inlineStr">
        <is>
          <t>bcm</t>
        </is>
      </c>
      <c r="C7" s="28">
        <f>IF('C1 GEG Setting'!$C$6=1,0,INDEX('C3 GEG Ops Aktual'!$D$8:$O$8,'C1 GEG Setting'!$C$6-1))</f>
        <v/>
      </c>
      <c r="D7" s="28">
        <f>INDEX('C3 GEG Ops Aktual'!$D$8:$O$8,'C1 GEG Setting'!$C$6)</f>
        <v/>
      </c>
      <c r="E7" s="19">
        <f>IFERROR(D7-C7,0)</f>
        <v/>
      </c>
      <c r="F7" s="24">
        <f>IFERROR(E7/ABS(C7),"")</f>
        <v/>
      </c>
      <c r="G7" s="28">
        <f>INDEX('C2 GEG Ops Budget'!$D$8:$O$8,'C1 GEG Setting'!$C$6)</f>
        <v/>
      </c>
      <c r="H7" s="19">
        <f>IFERROR(D7-G7,0)</f>
        <v/>
      </c>
      <c r="I7" s="24">
        <f>IFERROR(H7/ABS(G7),"")</f>
        <v/>
      </c>
      <c r="J7" s="28">
        <f>SUMIF('C3 GEG Ops Aktual'!$D$5:$O$5,"&lt;="&amp;'C1 GEG Setting'!$C$6,'C3 GEG Ops Aktual'!$D$8:$O$8)</f>
        <v/>
      </c>
      <c r="K7" s="28">
        <f>SUMIF('C2 GEG Ops Budget'!$D$5:$O$5,"&lt;="&amp;'C1 GEG Setting'!$C$6,'C2 GEG Ops Budget'!$D$8:$O$8)</f>
        <v/>
      </c>
      <c r="L7" s="19">
        <f>IFERROR(J7-K7,0)</f>
        <v/>
      </c>
      <c r="M7" s="24">
        <f>IFERROR(L7/ABS(K7),"")</f>
        <v/>
      </c>
      <c r="O7" s="19">
        <f>J7-N7</f>
        <v/>
      </c>
      <c r="P7" s="19">
        <f>O7-K7</f>
        <v/>
      </c>
      <c r="Q7" s="76" t="n"/>
    </row>
    <row r="8">
      <c r="A8" s="10" t="inlineStr">
        <is>
          <t>Produksi batubara (ROM)</t>
        </is>
      </c>
      <c r="B8" s="3" t="inlineStr">
        <is>
          <t>ton</t>
        </is>
      </c>
      <c r="C8" s="28">
        <f>IF('C1 GEG Setting'!$C$6=1,0,INDEX('C3 GEG Ops Aktual'!$D$9:$O$9,'C1 GEG Setting'!$C$6-1))</f>
        <v/>
      </c>
      <c r="D8" s="28">
        <f>INDEX('C3 GEG Ops Aktual'!$D$9:$O$9,'C1 GEG Setting'!$C$6)</f>
        <v/>
      </c>
      <c r="E8" s="19">
        <f>IFERROR(D8-C8,0)</f>
        <v/>
      </c>
      <c r="F8" s="24">
        <f>IFERROR(E8/ABS(C8),"")</f>
        <v/>
      </c>
      <c r="G8" s="28">
        <f>INDEX('C2 GEG Ops Budget'!$D$9:$O$9,'C1 GEG Setting'!$C$6)</f>
        <v/>
      </c>
      <c r="H8" s="19">
        <f>IFERROR(D8-G8,0)</f>
        <v/>
      </c>
      <c r="I8" s="24">
        <f>IFERROR(H8/ABS(G8),"")</f>
        <v/>
      </c>
      <c r="J8" s="28">
        <f>SUMIF('C3 GEG Ops Aktual'!$D$5:$O$5,"&lt;="&amp;'C1 GEG Setting'!$C$6,'C3 GEG Ops Aktual'!$D$9:$O$9)</f>
        <v/>
      </c>
      <c r="K8" s="28">
        <f>SUMIF('C2 GEG Ops Budget'!$D$5:$O$5,"&lt;="&amp;'C1 GEG Setting'!$C$6,'C2 GEG Ops Budget'!$D$9:$O$9)</f>
        <v/>
      </c>
      <c r="L8" s="19">
        <f>IFERROR(J8-K8,0)</f>
        <v/>
      </c>
      <c r="M8" s="24">
        <f>IFERROR(L8/ABS(K8),"")</f>
        <v/>
      </c>
      <c r="O8" s="19">
        <f>J8-N8</f>
        <v/>
      </c>
      <c r="P8" s="19">
        <f>O8-K8</f>
        <v/>
      </c>
      <c r="Q8" s="76" t="n"/>
    </row>
    <row r="9">
      <c r="A9" s="10" t="inlineStr">
        <is>
          <t>Stripping ratio</t>
        </is>
      </c>
      <c r="B9" s="3" t="inlineStr">
        <is>
          <t>bcm/t</t>
        </is>
      </c>
      <c r="C9" s="47">
        <f>IFERROR(C7/C8,0)</f>
        <v/>
      </c>
      <c r="D9" s="47">
        <f>IFERROR(D7/D8,0)</f>
        <v/>
      </c>
      <c r="E9" s="47">
        <f>IFERROR(D9-C9,0)</f>
        <v/>
      </c>
      <c r="G9" s="47">
        <f>IFERROR(G7/G8,0)</f>
        <v/>
      </c>
      <c r="H9" s="47">
        <f>IFERROR(D9-G9,0)</f>
        <v/>
      </c>
      <c r="J9" s="47">
        <f>IFERROR(J7/J8,0)</f>
        <v/>
      </c>
      <c r="K9" s="47">
        <f>IFERROR(K7/K8,0)</f>
        <v/>
      </c>
      <c r="L9" s="47">
        <f>IFERROR(J9-K9,0)</f>
        <v/>
      </c>
      <c r="Q9" s="106" t="inlineStr">
        <is>
          <t>Contoh: SR aktual di atas budget karena pengupasan tambahan di Pit Selatan (lihat C16).</t>
        </is>
      </c>
    </row>
    <row r="10">
      <c r="A10" s="10" t="inlineStr">
        <is>
          <t>Hauling ke pelabuhan</t>
        </is>
      </c>
      <c r="B10" s="3" t="inlineStr">
        <is>
          <t>ton</t>
        </is>
      </c>
      <c r="C10" s="28">
        <f>IF('C1 GEG Setting'!$C$6=1,0,INDEX('C3 GEG Ops Aktual'!$D$11:$O$11,'C1 GEG Setting'!$C$6-1))</f>
        <v/>
      </c>
      <c r="D10" s="28">
        <f>INDEX('C3 GEG Ops Aktual'!$D$11:$O$11,'C1 GEG Setting'!$C$6)</f>
        <v/>
      </c>
      <c r="E10" s="19">
        <f>IFERROR(D10-C10,0)</f>
        <v/>
      </c>
      <c r="F10" s="24">
        <f>IFERROR(E10/ABS(C10),"")</f>
        <v/>
      </c>
      <c r="G10" s="28">
        <f>INDEX('C2 GEG Ops Budget'!$D$11:$O$11,'C1 GEG Setting'!$C$6)</f>
        <v/>
      </c>
      <c r="H10" s="19">
        <f>IFERROR(D10-G10,0)</f>
        <v/>
      </c>
      <c r="I10" s="24">
        <f>IFERROR(H10/ABS(G10),"")</f>
        <v/>
      </c>
      <c r="J10" s="28">
        <f>SUMIF('C3 GEG Ops Aktual'!$D$5:$O$5,"&lt;="&amp;'C1 GEG Setting'!$C$6,'C3 GEG Ops Aktual'!$D$11:$O$11)</f>
        <v/>
      </c>
      <c r="K10" s="28">
        <f>SUMIF('C2 GEG Ops Budget'!$D$5:$O$5,"&lt;="&amp;'C1 GEG Setting'!$C$6,'C2 GEG Ops Budget'!$D$11:$O$11)</f>
        <v/>
      </c>
      <c r="L10" s="19">
        <f>IFERROR(J10-K10,0)</f>
        <v/>
      </c>
      <c r="M10" s="24">
        <f>IFERROR(L10/ABS(K10),"")</f>
        <v/>
      </c>
      <c r="O10" s="19">
        <f>J10-N10</f>
        <v/>
      </c>
      <c r="P10" s="19">
        <f>O10-K10</f>
        <v/>
      </c>
      <c r="Q10" s="76" t="n"/>
    </row>
    <row r="11">
      <c r="A11" s="10" t="inlineStr">
        <is>
          <t>Barging</t>
        </is>
      </c>
      <c r="B11" s="3" t="inlineStr">
        <is>
          <t>ton</t>
        </is>
      </c>
      <c r="C11" s="28">
        <f>IF('C1 GEG Setting'!$C$6=1,0,INDEX('C3 GEG Ops Aktual'!$D$13:$O$13,'C1 GEG Setting'!$C$6-1))</f>
        <v/>
      </c>
      <c r="D11" s="28">
        <f>INDEX('C3 GEG Ops Aktual'!$D$13:$O$13,'C1 GEG Setting'!$C$6)</f>
        <v/>
      </c>
      <c r="E11" s="19">
        <f>IFERROR(D11-C11,0)</f>
        <v/>
      </c>
      <c r="F11" s="24">
        <f>IFERROR(E11/ABS(C11),"")</f>
        <v/>
      </c>
      <c r="G11" s="28">
        <f>INDEX('C2 GEG Ops Budget'!$D$13:$O$13,'C1 GEG Setting'!$C$6)</f>
        <v/>
      </c>
      <c r="H11" s="19">
        <f>IFERROR(D11-G11,0)</f>
        <v/>
      </c>
      <c r="I11" s="24">
        <f>IFERROR(H11/ABS(G11),"")</f>
        <v/>
      </c>
      <c r="J11" s="28">
        <f>SUMIF('C3 GEG Ops Aktual'!$D$5:$O$5,"&lt;="&amp;'C1 GEG Setting'!$C$6,'C3 GEG Ops Aktual'!$D$13:$O$13)</f>
        <v/>
      </c>
      <c r="K11" s="28">
        <f>SUMIF('C2 GEG Ops Budget'!$D$5:$O$5,"&lt;="&amp;'C1 GEG Setting'!$C$6,'C2 GEG Ops Budget'!$D$13:$O$13)</f>
        <v/>
      </c>
      <c r="L11" s="19">
        <f>IFERROR(J11-K11,0)</f>
        <v/>
      </c>
      <c r="M11" s="24">
        <f>IFERROR(L11/ABS(K11),"")</f>
        <v/>
      </c>
      <c r="O11" s="19">
        <f>J11-N11</f>
        <v/>
      </c>
      <c r="P11" s="19">
        <f>O11-K11</f>
        <v/>
      </c>
      <c r="Q11" s="76" t="n"/>
    </row>
    <row r="12">
      <c r="A12" s="10" t="inlineStr">
        <is>
          <t>Penjualan batubara</t>
        </is>
      </c>
      <c r="B12" s="3" t="inlineStr">
        <is>
          <t>ton</t>
        </is>
      </c>
      <c r="C12" s="28">
        <f>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</f>
        <v/>
      </c>
      <c r="D12" s="28">
        <f>(INDEX('C3 GEG Ops Aktual'!$D$16:$O$16,'C1 GEG Setting'!$C$6)+INDEX('C3 GEG Ops Aktual'!$D$17:$O$17,'C1 GEG Setting'!$C$6)+INDEX('C3 GEG Ops Aktual'!$D$18:$O$18,'C1 GEG Setting'!$C$6))</f>
        <v/>
      </c>
      <c r="E12" s="19">
        <f>IFERROR(D12-C12,0)</f>
        <v/>
      </c>
      <c r="F12" s="24">
        <f>IFERROR(E12/ABS(C12),"")</f>
        <v/>
      </c>
      <c r="G12" s="28">
        <f>(INDEX('C2 GEG Ops Budget'!$D$16:$O$16,'C1 GEG Setting'!$C$6)+INDEX('C2 GEG Ops Budget'!$D$17:$O$17,'C1 GEG Setting'!$C$6)+INDEX('C2 GEG Ops Budget'!$D$18:$O$18,'C1 GEG Setting'!$C$6))</f>
        <v/>
      </c>
      <c r="H12" s="19">
        <f>IFERROR(D12-G12,0)</f>
        <v/>
      </c>
      <c r="I12" s="24">
        <f>IFERROR(H12/ABS(G12),"")</f>
        <v/>
      </c>
      <c r="J12" s="28">
        <f>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</f>
        <v/>
      </c>
      <c r="K12" s="28">
        <f>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</f>
        <v/>
      </c>
      <c r="L12" s="19">
        <f>IFERROR(J12-K12,0)</f>
        <v/>
      </c>
      <c r="M12" s="24">
        <f>IFERROR(L12/ABS(K12),"")</f>
        <v/>
      </c>
      <c r="O12" s="19">
        <f>J12-N12</f>
        <v/>
      </c>
      <c r="P12" s="19">
        <f>O12-K12</f>
        <v/>
      </c>
      <c r="Q12" s="76" t="n"/>
    </row>
    <row r="13">
      <c r="A13" s="10" t="inlineStr">
        <is>
          <t>Kurs rata-rata</t>
        </is>
      </c>
      <c r="B13" s="3" t="inlineStr">
        <is>
          <t>Rp/USD</t>
        </is>
      </c>
      <c r="C13" s="28">
        <f>IF('C1 GEG Setting'!$C$6=1,0,INDEX('C3 GEG Ops Aktual'!$D$25:$O$25,'C1 GEG Setting'!$C$6-1))</f>
        <v/>
      </c>
      <c r="D13" s="28">
        <f>INDEX('C3 GEG Ops Aktual'!$D$25:$O$25,'C1 GEG Setting'!$C$6)</f>
        <v/>
      </c>
      <c r="E13" s="19">
        <f>IFERROR(D13-C13,0)</f>
        <v/>
      </c>
      <c r="G13" s="28">
        <f>INDEX('C2 GEG Ops Budget'!$D$25:$O$25,'C1 GEG Setting'!$C$6)</f>
        <v/>
      </c>
      <c r="H13" s="19">
        <f>IFERROR(D13-G13,0)</f>
        <v/>
      </c>
      <c r="J13" s="28">
        <f>IFERROR(AVERAGEIFS('C3 GEG Ops Aktual'!$D$25:$O$25,'C3 GEG Ops Aktual'!$D$5:$O$5,"&lt;="&amp;'C1 GEG Setting'!$C$6),0)</f>
        <v/>
      </c>
      <c r="K13" s="28">
        <f>IFERROR(AVERAGEIFS('C2 GEG Ops Budget'!$D$25:$O$25,'C2 GEG Ops Budget'!$D$5:$O$5,"&lt;="&amp;'C1 GEG Setting'!$C$6),0)</f>
        <v/>
      </c>
      <c r="L13" s="19">
        <f>IFERROR(J13-K13,0)</f>
        <v/>
      </c>
      <c r="Q13" s="76" t="n"/>
    </row>
    <row r="14">
      <c r="A14" s="10" t="inlineStr">
        <is>
          <t>Harga jual rata-rata (ASP), neto penalti</t>
        </is>
      </c>
      <c r="B14" s="3" t="inlineStr">
        <is>
          <t>USD/t</t>
        </is>
      </c>
      <c r="C14" s="47">
        <f>IFERROR(C21*1000000/C12/C13,0)</f>
        <v/>
      </c>
      <c r="D14" s="47">
        <f>IFERROR(D21*1000000/D12/D13,0)</f>
        <v/>
      </c>
      <c r="E14" s="47">
        <f>IFERROR(D14-C14,0)</f>
        <v/>
      </c>
      <c r="G14" s="47">
        <f>IFERROR(G21*1000000/G12/G13,0)</f>
        <v/>
      </c>
      <c r="H14" s="47">
        <f>IFERROR(D14-G14,0)</f>
        <v/>
      </c>
      <c r="J14" s="47">
        <f>IFERROR(J21*1000000/J12/J13,0)</f>
        <v/>
      </c>
      <c r="K14" s="47">
        <f>IFERROR(K21*1000000/K12/K13,0)</f>
        <v/>
      </c>
      <c r="L14" s="47">
        <f>IFERROR(J14-K14,0)</f>
        <v/>
      </c>
      <c r="Q14" s="76" t="n"/>
    </row>
    <row r="15">
      <c r="A15" s="10" t="inlineStr">
        <is>
          <t>Stok batubara akhir</t>
        </is>
      </c>
      <c r="B15" s="3" t="inlineStr">
        <is>
          <t>ton</t>
        </is>
      </c>
      <c r="C15" s="28">
        <f>IF('C1 GEG Setting'!$C$6=1,0,INDEX('C3 GEG Ops Aktual'!$D$14:$O$14,'C1 GEG Setting'!$C$6-1))</f>
        <v/>
      </c>
      <c r="D15" s="28">
        <f>INDEX('C3 GEG Ops Aktual'!$D$14:$O$14,'C1 GEG Setting'!$C$6)</f>
        <v/>
      </c>
      <c r="E15" s="19">
        <f>IFERROR(D15-C15,0)</f>
        <v/>
      </c>
      <c r="G15" s="28">
        <f>INDEX('C2 GEG Ops Budget'!$D$14:$O$14,'C1 GEG Setting'!$C$6)</f>
        <v/>
      </c>
      <c r="H15" s="19">
        <f>IFERROR(D15-G15,0)</f>
        <v/>
      </c>
      <c r="J15" s="28">
        <f>INDEX('C3 GEG Ops Aktual'!$D$14:$O$14,'C1 GEG Setting'!$C$6)</f>
        <v/>
      </c>
      <c r="K15" s="28">
        <f>INDEX('C2 GEG Ops Budget'!$D$14:$O$14,'C1 GEG Setting'!$C$6)</f>
        <v/>
      </c>
      <c r="L15" s="19">
        <f>IFERROR(J15-K15,0)</f>
        <v/>
      </c>
      <c r="Q15" s="76" t="n"/>
    </row>
    <row r="16">
      <c r="A16" s="10" t="inlineStr">
        <is>
          <t>Fuel ratio</t>
        </is>
      </c>
      <c r="B16" s="3" t="inlineStr">
        <is>
          <t>L/bcm</t>
        </is>
      </c>
      <c r="C16" s="39">
        <f>IFERROR(IF('C1 GEG Setting'!$C$6=1,0,INDEX('C3 GEG Ops Aktual'!$D$27:$O$27,'C1 GEG Setting'!$C$6-1))/IF('C1 GEG Setting'!$C$6=1,0,INDEX('C3 GEG Ops Aktual'!$D$8:$O$8,'C1 GEG Setting'!$C$6-1)),0)</f>
        <v/>
      </c>
      <c r="D16" s="39">
        <f>IFERROR(INDEX('C3 GEG Ops Aktual'!$D$27:$O$27,'C1 GEG Setting'!$C$6)/INDEX('C3 GEG Ops Aktual'!$D$8:$O$8,'C1 GEG Setting'!$C$6),0)</f>
        <v/>
      </c>
      <c r="E16" s="47">
        <f>IFERROR(D16-C16,0)</f>
        <v/>
      </c>
      <c r="G16" s="39">
        <f>IFERROR(INDEX('C2 GEG Ops Budget'!$D$27:$O$27,'C1 GEG Setting'!$C$6)/INDEX('C2 GEG Ops Budget'!$D$8:$O$8,'C1 GEG Setting'!$C$6),0)</f>
        <v/>
      </c>
      <c r="H16" s="47">
        <f>IFERROR(D16-G16,0)</f>
        <v/>
      </c>
      <c r="J16" s="39">
        <f>IFERROR(SUMIF('C3 GEG Ops Aktual'!$D$5:$O$5,"&lt;="&amp;'C1 GEG Setting'!$C$6,'C3 GEG Ops Aktual'!$D$27:$O$27)/SUMIF('C3 GEG Ops Aktual'!$D$5:$O$5,"&lt;="&amp;'C1 GEG Setting'!$C$6,'C3 GEG Ops Aktual'!$D$8:$O$8),0)</f>
        <v/>
      </c>
      <c r="K16" s="39">
        <f>IFERROR(SUMIF('C2 GEG Ops Budget'!$D$5:$O$5,"&lt;="&amp;'C1 GEG Setting'!$C$6,'C2 GEG Ops Budget'!$D$27:$O$27)/SUMIF('C2 GEG Ops Budget'!$D$5:$O$5,"&lt;="&amp;'C1 GEG Setting'!$C$6,'C2 GEG Ops Budget'!$D$8:$O$8),0)</f>
        <v/>
      </c>
      <c r="L16" s="47">
        <f>IFERROR(J16-K16,0)</f>
        <v/>
      </c>
      <c r="Q16" s="76" t="n"/>
    </row>
    <row r="17">
      <c r="A17" s="10" t="inlineStr">
        <is>
          <t>Physical availability</t>
        </is>
      </c>
      <c r="B17" s="3" t="inlineStr">
        <is>
          <t>%</t>
        </is>
      </c>
      <c r="C17" s="42">
        <f>IF('C1 GEG Setting'!$C$6=1,0,INDEX('C3 GEG Ops Aktual'!$D$30:$O$30,'C1 GEG Setting'!$C$6-1))</f>
        <v/>
      </c>
      <c r="D17" s="42">
        <f>INDEX('C3 GEG Ops Aktual'!$D$30:$O$30,'C1 GEG Setting'!$C$6)</f>
        <v/>
      </c>
      <c r="E17" s="24">
        <f>IFERROR(D17-C17,0)</f>
        <v/>
      </c>
      <c r="G17" s="42">
        <f>INDEX('C2 GEG Ops Budget'!$D$30:$O$30,'C1 GEG Setting'!$C$6)</f>
        <v/>
      </c>
      <c r="H17" s="24">
        <f>IFERROR(D17-G17,0)</f>
        <v/>
      </c>
      <c r="J17" s="42">
        <f>IFERROR(AVERAGEIFS('C3 GEG Ops Aktual'!$D$30:$O$30,'C3 GEG Ops Aktual'!$D$5:$O$5,"&lt;="&amp;'C1 GEG Setting'!$C$6),0)</f>
        <v/>
      </c>
      <c r="K17" s="42">
        <f>IFERROR(AVERAGEIFS('C2 GEG Ops Budget'!$D$30:$O$30,'C2 GEG Ops Budget'!$D$5:$O$5,"&lt;="&amp;'C1 GEG Setting'!$C$6),0)</f>
        <v/>
      </c>
      <c r="L17" s="24">
        <f>IFERROR(J17-K17,0)</f>
        <v/>
      </c>
      <c r="Q17" s="76" t="n"/>
    </row>
    <row r="18">
      <c r="A18" s="10" t="inlineStr">
        <is>
          <t>Tenaga kerja</t>
        </is>
      </c>
      <c r="B18" s="3" t="inlineStr">
        <is>
          <t>orang</t>
        </is>
      </c>
      <c r="C18" s="28">
        <f>IF('C1 GEG Setting'!$C$6=1,0,INDEX('C3 GEG Ops Aktual'!$D$33:$O$33,'C1 GEG Setting'!$C$6-1))</f>
        <v/>
      </c>
      <c r="D18" s="28">
        <f>INDEX('C3 GEG Ops Aktual'!$D$33:$O$33,'C1 GEG Setting'!$C$6)</f>
        <v/>
      </c>
      <c r="E18" s="19">
        <f>IFERROR(D18-C18,0)</f>
        <v/>
      </c>
      <c r="G18" s="28">
        <f>INDEX('C2 GEG Ops Budget'!$D$33:$O$33,'C1 GEG Setting'!$C$6)</f>
        <v/>
      </c>
      <c r="H18" s="19">
        <f>IFERROR(D18-G18,0)</f>
        <v/>
      </c>
      <c r="J18" s="28">
        <f>INDEX('C3 GEG Ops Aktual'!$D$33:$O$33,'C1 GEG Setting'!$C$6)</f>
        <v/>
      </c>
      <c r="K18" s="28">
        <f>INDEX('C2 GEG Ops Budget'!$D$33:$O$33,'C1 GEG Setting'!$C$6)</f>
        <v/>
      </c>
      <c r="L18" s="19">
        <f>IFERROR(J18-K18,0)</f>
        <v/>
      </c>
      <c r="Q18" s="76" t="n"/>
    </row>
    <row r="19">
      <c r="A19" s="4" t="inlineStr">
        <is>
          <t>KEUANGAN (Rp juta; beban ditampilkan negatif)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8" t="inlineStr">
        <is>
          <t>Pendapatan bersih</t>
        </is>
      </c>
      <c r="B20" s="49" t="inlineStr">
        <is>
          <t>Rp juta</t>
        </is>
      </c>
      <c r="C20" s="50">
        <f>IF('C1 GEG Setting'!$C$6=1,0,INDEX('C5 GEG LR Aktual'!$D$14:$O$14,'C1 GEG Setting'!$C$6-1))</f>
        <v/>
      </c>
      <c r="D20" s="50">
        <f>INDEX('C5 GEG LR Aktual'!$D$14:$O$14,'C1 GEG Setting'!$C$6)</f>
        <v/>
      </c>
      <c r="E20" s="107">
        <f>IFERROR(D20-C20,0)</f>
        <v/>
      </c>
      <c r="F20" s="54">
        <f>IFERROR(E20/ABS(C20),"")</f>
        <v/>
      </c>
      <c r="G20" s="50">
        <f>INDEX('C4 GEG LR Budget'!$D$14:$O$14,'C1 GEG Setting'!$C$6)</f>
        <v/>
      </c>
      <c r="H20" s="107">
        <f>IFERROR(D20-G20,0)</f>
        <v/>
      </c>
      <c r="I20" s="54">
        <f>IFERROR(H20/ABS(G20),"")</f>
        <v/>
      </c>
      <c r="J20" s="50">
        <f>SUMIF('C5 GEG LR Aktual'!$D$5:$O$5,"&lt;="&amp;'C1 GEG Setting'!$C$6,'C5 GEG LR Aktual'!$D$14:$O$14)</f>
        <v/>
      </c>
      <c r="K20" s="50">
        <f>SUMIF('C4 GEG LR Budget'!$D$5:$O$5,"&lt;="&amp;'C1 GEG Setting'!$C$6,'C4 GEG LR Budget'!$D$14:$O$14)</f>
        <v/>
      </c>
      <c r="L20" s="107">
        <f>IFERROR(J20-K20,0)</f>
        <v/>
      </c>
      <c r="M20" s="54">
        <f>IFERROR(L20/ABS(K20),"")</f>
        <v/>
      </c>
      <c r="N20" s="72" t="n"/>
      <c r="O20" s="58">
        <f>J20-N20</f>
        <v/>
      </c>
      <c r="P20" s="58">
        <f>O20-K20</f>
        <v/>
      </c>
      <c r="Q20" s="108" t="n"/>
    </row>
    <row r="21">
      <c r="A21" s="10" t="inlineStr">
        <is>
          <t xml:space="preserve">   – Penjualan batubara (neto penalti)</t>
        </is>
      </c>
      <c r="B21" s="3" t="inlineStr">
        <is>
          <t>Rp juta</t>
        </is>
      </c>
      <c r="C21" s="28">
        <f>IF('C1 GEG Setting'!$C$6=1,0,INDEX('C5 GEG LR Aktual'!$D$11:$O$11,'C1 GEG Setting'!$C$6-1))+IF('C1 GEG Setting'!$C$6=1,0,INDEX('C5 GEG LR Aktual'!$D$12:$O$12,'C1 GEG Setting'!$C$6-1))</f>
        <v/>
      </c>
      <c r="D21" s="28">
        <f>INDEX('C5 GEG LR Aktual'!$D$11:$O$11,'C1 GEG Setting'!$C$6)+INDEX('C5 GEG LR Aktual'!$D$12:$O$12,'C1 GEG Setting'!$C$6)</f>
        <v/>
      </c>
      <c r="E21" s="19">
        <f>IFERROR(D21-C21,0)</f>
        <v/>
      </c>
      <c r="F21" s="24">
        <f>IFERROR(E21/ABS(C21),"")</f>
        <v/>
      </c>
      <c r="G21" s="28">
        <f>INDEX('C4 GEG LR Budget'!$D$11:$O$11,'C1 GEG Setting'!$C$6)+INDEX('C4 GEG LR Budget'!$D$12:$O$12,'C1 GEG Setting'!$C$6)</f>
        <v/>
      </c>
      <c r="H21" s="19">
        <f>IFERROR(D21-G21,0)</f>
        <v/>
      </c>
      <c r="I21" s="24">
        <f>IFERROR(H21/ABS(G21),"")</f>
        <v/>
      </c>
      <c r="J21" s="28">
        <f>SUMIF('C5 GEG LR Aktual'!$D$5:$O$5,"&lt;="&amp;'C1 GEG Setting'!$C$6,'C5 GEG LR Aktual'!$D$11:$O$11)+SUMIF('C5 GEG LR Aktual'!$D$5:$O$5,"&lt;="&amp;'C1 GEG Setting'!$C$6,'C5 GEG LR Aktual'!$D$12:$O$12)</f>
        <v/>
      </c>
      <c r="K21" s="28">
        <f>SUMIF('C4 GEG LR Budget'!$D$5:$O$5,"&lt;="&amp;'C1 GEG Setting'!$C$6,'C4 GEG LR Budget'!$D$11:$O$11)+SUMIF('C4 GEG LR Budget'!$D$5:$O$5,"&lt;="&amp;'C1 GEG Setting'!$C$6,'C4 GEG LR Budget'!$D$12:$O$12)</f>
        <v/>
      </c>
      <c r="L21" s="19">
        <f>IFERROR(J21-K21,0)</f>
        <v/>
      </c>
      <c r="M21" s="24">
        <f>IFERROR(L21/ABS(K21),"")</f>
        <v/>
      </c>
      <c r="O21" s="19">
        <f>J21-N21</f>
        <v/>
      </c>
      <c r="P21" s="19">
        <f>O21-K21</f>
        <v/>
      </c>
      <c r="Q21" s="76" t="n"/>
    </row>
    <row r="22">
      <c r="A22" s="10" t="inlineStr">
        <is>
          <t xml:space="preserve">   Biaya penambangan</t>
        </is>
      </c>
      <c r="B22" s="3" t="inlineStr">
        <is>
          <t>Rp juta</t>
        </is>
      </c>
      <c r="C22" s="28">
        <f>-IF('C1 GEG Setting'!$C$6=1,0,INDEX('C5 GEG LR Aktual'!$D$25:$O$25,'C1 GEG Setting'!$C$6-1))</f>
        <v/>
      </c>
      <c r="D22" s="28">
        <f>-INDEX('C5 GEG LR Aktual'!$D$25:$O$25,'C1 GEG Setting'!$C$6)</f>
        <v/>
      </c>
      <c r="E22" s="19">
        <f>IFERROR(D22-C22,0)</f>
        <v/>
      </c>
      <c r="F22" s="24">
        <f>IFERROR(E22/ABS(C22),"")</f>
        <v/>
      </c>
      <c r="G22" s="28">
        <f>-INDEX('C4 GEG LR Budget'!$D$25:$O$25,'C1 GEG Setting'!$C$6)</f>
        <v/>
      </c>
      <c r="H22" s="19">
        <f>IFERROR(D22-G22,0)</f>
        <v/>
      </c>
      <c r="I22" s="24">
        <f>IFERROR(H22/ABS(G22),"")</f>
        <v/>
      </c>
      <c r="J22" s="28">
        <f>-SUMIF('C5 GEG LR Aktual'!$D$5:$O$5,"&lt;="&amp;'C1 GEG Setting'!$C$6,'C5 GEG LR Aktual'!$D$25:$O$25)</f>
        <v/>
      </c>
      <c r="K22" s="28">
        <f>-SUMIF('C4 GEG LR Budget'!$D$5:$O$5,"&lt;="&amp;'C1 GEG Setting'!$C$6,'C4 GEG LR Budget'!$D$25:$O$25)</f>
        <v/>
      </c>
      <c r="L22" s="19">
        <f>IFERROR(J22-K22,0)</f>
        <v/>
      </c>
      <c r="M22" s="24">
        <f>IFERROR(L22/ABS(K22),"")</f>
        <v/>
      </c>
      <c r="N22" s="19">
        <f>-SUMIF($C$60:$C$63,"Penambangan",$P$60:$P$63)</f>
        <v/>
      </c>
      <c r="O22" s="19">
        <f>J22-N22</f>
        <v/>
      </c>
      <c r="P22" s="19">
        <f>O22-K22</f>
        <v/>
      </c>
      <c r="Q22" s="76" t="n"/>
    </row>
    <row r="23">
      <c r="A23" s="10" t="inlineStr">
        <is>
          <t xml:space="preserve">   Pengolahan &amp; logistik</t>
        </is>
      </c>
      <c r="B23" s="3" t="inlineStr">
        <is>
          <t>Rp juta</t>
        </is>
      </c>
      <c r="C23" s="28">
        <f>-IF('C1 GEG Setting'!$C$6=1,0,INDEX('C5 GEG LR Aktual'!$D$31:$O$31,'C1 GEG Setting'!$C$6-1))</f>
        <v/>
      </c>
      <c r="D23" s="28">
        <f>-INDEX('C5 GEG LR Aktual'!$D$31:$O$31,'C1 GEG Setting'!$C$6)</f>
        <v/>
      </c>
      <c r="E23" s="19">
        <f>IFERROR(D23-C23,0)</f>
        <v/>
      </c>
      <c r="F23" s="24">
        <f>IFERROR(E23/ABS(C23),"")</f>
        <v/>
      </c>
      <c r="G23" s="28">
        <f>-INDEX('C4 GEG LR Budget'!$D$31:$O$31,'C1 GEG Setting'!$C$6)</f>
        <v/>
      </c>
      <c r="H23" s="19">
        <f>IFERROR(D23-G23,0)</f>
        <v/>
      </c>
      <c r="I23" s="24">
        <f>IFERROR(H23/ABS(G23),"")</f>
        <v/>
      </c>
      <c r="J23" s="28">
        <f>-SUMIF('C5 GEG LR Aktual'!$D$5:$O$5,"&lt;="&amp;'C1 GEG Setting'!$C$6,'C5 GEG LR Aktual'!$D$31:$O$31)</f>
        <v/>
      </c>
      <c r="K23" s="28">
        <f>-SUMIF('C4 GEG LR Budget'!$D$5:$O$5,"&lt;="&amp;'C1 GEG Setting'!$C$6,'C4 GEG LR Budget'!$D$31:$O$31)</f>
        <v/>
      </c>
      <c r="L23" s="19">
        <f>IFERROR(J23-K23,0)</f>
        <v/>
      </c>
      <c r="M23" s="24">
        <f>IFERROR(L23/ABS(K23),"")</f>
        <v/>
      </c>
      <c r="N23" s="19">
        <f>-SUMIF($C$60:$C$63,"Pengolahan &amp; logistik",$P$60:$P$63)</f>
        <v/>
      </c>
      <c r="O23" s="19">
        <f>J23-N23</f>
        <v/>
      </c>
      <c r="P23" s="19">
        <f>O23-K23</f>
        <v/>
      </c>
      <c r="Q23" s="76" t="n"/>
    </row>
    <row r="24">
      <c r="A24" s="10" t="inlineStr">
        <is>
          <t xml:space="preserve">   Royalti / PNBP</t>
        </is>
      </c>
      <c r="B24" s="3" t="inlineStr">
        <is>
          <t>Rp juta</t>
        </is>
      </c>
      <c r="C24" s="28">
        <f>-IF('C1 GEG Setting'!$C$6=1,0,INDEX('C5 GEG LR Aktual'!$D$33:$O$33,'C1 GEG Setting'!$C$6-1))</f>
        <v/>
      </c>
      <c r="D24" s="28">
        <f>-INDEX('C5 GEG LR Aktual'!$D$33:$O$33,'C1 GEG Setting'!$C$6)</f>
        <v/>
      </c>
      <c r="E24" s="19">
        <f>IFERROR(D24-C24,0)</f>
        <v/>
      </c>
      <c r="F24" s="24">
        <f>IFERROR(E24/ABS(C24),"")</f>
        <v/>
      </c>
      <c r="G24" s="28">
        <f>-INDEX('C4 GEG LR Budget'!$D$33:$O$33,'C1 GEG Setting'!$C$6)</f>
        <v/>
      </c>
      <c r="H24" s="19">
        <f>IFERROR(D24-G24,0)</f>
        <v/>
      </c>
      <c r="I24" s="24">
        <f>IFERROR(H24/ABS(G24),"")</f>
        <v/>
      </c>
      <c r="J24" s="28">
        <f>-SUMIF('C5 GEG LR Aktual'!$D$5:$O$5,"&lt;="&amp;'C1 GEG Setting'!$C$6,'C5 GEG LR Aktual'!$D$33:$O$33)</f>
        <v/>
      </c>
      <c r="K24" s="28">
        <f>-SUMIF('C4 GEG LR Budget'!$D$5:$O$5,"&lt;="&amp;'C1 GEG Setting'!$C$6,'C4 GEG LR Budget'!$D$33:$O$33)</f>
        <v/>
      </c>
      <c r="L24" s="19">
        <f>IFERROR(J24-K24,0)</f>
        <v/>
      </c>
      <c r="M24" s="24">
        <f>IFERROR(L24/ABS(K24),"")</f>
        <v/>
      </c>
      <c r="N24" s="19">
        <f>-SUMIF($C$60:$C$63,"Royalti",$P$60:$P$63)</f>
        <v/>
      </c>
      <c r="O24" s="19">
        <f>J24-N24</f>
        <v/>
      </c>
      <c r="P24" s="19">
        <f>O24-K24</f>
        <v/>
      </c>
      <c r="Q24" s="76" t="n"/>
    </row>
    <row r="25">
      <c r="A25" s="10" t="inlineStr">
        <is>
          <t xml:space="preserve">   Overhead site</t>
        </is>
      </c>
      <c r="B25" s="3" t="inlineStr">
        <is>
          <t>Rp juta</t>
        </is>
      </c>
      <c r="C25" s="28">
        <f>-IF('C1 GEG Setting'!$C$6=1,0,INDEX('C5 GEG LR Aktual'!$D$41:$O$41,'C1 GEG Setting'!$C$6-1))</f>
        <v/>
      </c>
      <c r="D25" s="28">
        <f>-INDEX('C5 GEG LR Aktual'!$D$41:$O$41,'C1 GEG Setting'!$C$6)</f>
        <v/>
      </c>
      <c r="E25" s="19">
        <f>IFERROR(D25-C25,0)</f>
        <v/>
      </c>
      <c r="F25" s="24">
        <f>IFERROR(E25/ABS(C25),"")</f>
        <v/>
      </c>
      <c r="G25" s="28">
        <f>-INDEX('C4 GEG LR Budget'!$D$41:$O$41,'C1 GEG Setting'!$C$6)</f>
        <v/>
      </c>
      <c r="H25" s="19">
        <f>IFERROR(D25-G25,0)</f>
        <v/>
      </c>
      <c r="I25" s="24">
        <f>IFERROR(H25/ABS(G25),"")</f>
        <v/>
      </c>
      <c r="J25" s="28">
        <f>-SUMIF('C5 GEG LR Aktual'!$D$5:$O$5,"&lt;="&amp;'C1 GEG Setting'!$C$6,'C5 GEG LR Aktual'!$D$41:$O$41)</f>
        <v/>
      </c>
      <c r="K25" s="28">
        <f>-SUMIF('C4 GEG LR Budget'!$D$5:$O$5,"&lt;="&amp;'C1 GEG Setting'!$C$6,'C4 GEG LR Budget'!$D$41:$O$41)</f>
        <v/>
      </c>
      <c r="L25" s="19">
        <f>IFERROR(J25-K25,0)</f>
        <v/>
      </c>
      <c r="M25" s="24">
        <f>IFERROR(L25/ABS(K25),"")</f>
        <v/>
      </c>
      <c r="N25" s="19">
        <f>-SUMIF($C$60:$C$63,"Overhead site",$P$60:$P$63)</f>
        <v/>
      </c>
      <c r="O25" s="19">
        <f>J25-N25</f>
        <v/>
      </c>
      <c r="P25" s="19">
        <f>O25-K25</f>
        <v/>
      </c>
      <c r="Q25" s="76" t="n"/>
    </row>
    <row r="26">
      <c r="A26" s="10" t="inlineStr">
        <is>
          <t xml:space="preserve">   Perubahan persediaan</t>
        </is>
      </c>
      <c r="B26" s="3" t="inlineStr">
        <is>
          <t>Rp juta</t>
        </is>
      </c>
      <c r="C26" s="28">
        <f>-IF('C1 GEG Setting'!$C$6=1,0,INDEX('C5 GEG LR Aktual'!$D$48:$O$48,'C1 GEG Setting'!$C$6-1))</f>
        <v/>
      </c>
      <c r="D26" s="28">
        <f>-INDEX('C5 GEG LR Aktual'!$D$48:$O$48,'C1 GEG Setting'!$C$6)</f>
        <v/>
      </c>
      <c r="E26" s="19">
        <f>IFERROR(D26-C26,0)</f>
        <v/>
      </c>
      <c r="F26" s="24">
        <f>IFERROR(E26/ABS(C26),"")</f>
        <v/>
      </c>
      <c r="G26" s="28">
        <f>-INDEX('C4 GEG LR Budget'!$D$48:$O$48,'C1 GEG Setting'!$C$6)</f>
        <v/>
      </c>
      <c r="H26" s="19">
        <f>IFERROR(D26-G26,0)</f>
        <v/>
      </c>
      <c r="I26" s="24">
        <f>IFERROR(H26/ABS(G26),"")</f>
        <v/>
      </c>
      <c r="J26" s="28">
        <f>-SUMIF('C5 GEG LR Aktual'!$D$5:$O$5,"&lt;="&amp;'C1 GEG Setting'!$C$6,'C5 GEG LR Aktual'!$D$48:$O$48)</f>
        <v/>
      </c>
      <c r="K26" s="28">
        <f>-SUMIF('C4 GEG LR Budget'!$D$5:$O$5,"&lt;="&amp;'C1 GEG Setting'!$C$6,'C4 GEG LR Budget'!$D$48:$O$48)</f>
        <v/>
      </c>
      <c r="L26" s="19">
        <f>IFERROR(J26-K26,0)</f>
        <v/>
      </c>
      <c r="M26" s="24">
        <f>IFERROR(L26/ABS(K26),"")</f>
        <v/>
      </c>
      <c r="O26" s="19">
        <f>J26-N26</f>
        <v/>
      </c>
      <c r="P26" s="19">
        <f>O26-K26</f>
        <v/>
      </c>
      <c r="Q26" s="76" t="n"/>
    </row>
    <row r="27">
      <c r="A27" s="10" t="inlineStr">
        <is>
          <t xml:space="preserve">   Beban penjualan</t>
        </is>
      </c>
      <c r="B27" s="3" t="inlineStr">
        <is>
          <t>Rp juta</t>
        </is>
      </c>
      <c r="C27" s="28">
        <f>-IF('C1 GEG Setting'!$C$6=1,0,INDEX('C5 GEG LR Aktual'!$D$60:$O$60,'C1 GEG Setting'!$C$6-1))</f>
        <v/>
      </c>
      <c r="D27" s="28">
        <f>-INDEX('C5 GEG LR Aktual'!$D$60:$O$60,'C1 GEG Setting'!$C$6)</f>
        <v/>
      </c>
      <c r="E27" s="19">
        <f>IFERROR(D27-C27,0)</f>
        <v/>
      </c>
      <c r="F27" s="24">
        <f>IFERROR(E27/ABS(C27),"")</f>
        <v/>
      </c>
      <c r="G27" s="28">
        <f>-INDEX('C4 GEG LR Budget'!$D$60:$O$60,'C1 GEG Setting'!$C$6)</f>
        <v/>
      </c>
      <c r="H27" s="19">
        <f>IFERROR(D27-G27,0)</f>
        <v/>
      </c>
      <c r="I27" s="24">
        <f>IFERROR(H27/ABS(G27),"")</f>
        <v/>
      </c>
      <c r="J27" s="28">
        <f>-SUMIF('C5 GEG LR Aktual'!$D$5:$O$5,"&lt;="&amp;'C1 GEG Setting'!$C$6,'C5 GEG LR Aktual'!$D$60:$O$60)</f>
        <v/>
      </c>
      <c r="K27" s="28">
        <f>-SUMIF('C4 GEG LR Budget'!$D$5:$O$5,"&lt;="&amp;'C1 GEG Setting'!$C$6,'C4 GEG LR Budget'!$D$60:$O$60)</f>
        <v/>
      </c>
      <c r="L27" s="19">
        <f>IFERROR(J27-K27,0)</f>
        <v/>
      </c>
      <c r="M27" s="24">
        <f>IFERROR(L27/ABS(K27),"")</f>
        <v/>
      </c>
      <c r="N27" s="19">
        <f>-SUMIF($C$60:$C$63,"Beban penjualan",$P$60:$P$63)</f>
        <v/>
      </c>
      <c r="O27" s="19">
        <f>J27-N27</f>
        <v/>
      </c>
      <c r="P27" s="19">
        <f>O27-K27</f>
        <v/>
      </c>
      <c r="Q27" s="76" t="n"/>
    </row>
    <row r="28">
      <c r="A28" s="10" t="inlineStr">
        <is>
          <t xml:space="preserve">   Beban umum &amp; administrasi (excl. penyusutan)</t>
        </is>
      </c>
      <c r="B28" s="3" t="inlineStr">
        <is>
          <t>Rp juta</t>
        </is>
      </c>
      <c r="C28" s="28">
        <f>-(IF('C1 GEG Setting'!$C$6=1,0,INDEX('C5 GEG LR Aktual'!$D$71:$O$71,'C1 GEG Setting'!$C$6-1))-IF('C1 GEG Setting'!$C$6=1,0,INDEX('C5 GEG LR Aktual'!$D$69:$O$69,'C1 GEG Setting'!$C$6-1)))</f>
        <v/>
      </c>
      <c r="D28" s="28">
        <f>-(INDEX('C5 GEG LR Aktual'!$D$71:$O$71,'C1 GEG Setting'!$C$6)-INDEX('C5 GEG LR Aktual'!$D$69:$O$69,'C1 GEG Setting'!$C$6))</f>
        <v/>
      </c>
      <c r="E28" s="19">
        <f>IFERROR(D28-C28,0)</f>
        <v/>
      </c>
      <c r="F28" s="24">
        <f>IFERROR(E28/ABS(C28),"")</f>
        <v/>
      </c>
      <c r="G28" s="28">
        <f>-(INDEX('C4 GEG LR Budget'!$D$71:$O$71,'C1 GEG Setting'!$C$6)-INDEX('C4 GEG LR Budget'!$D$69:$O$69,'C1 GEG Setting'!$C$6))</f>
        <v/>
      </c>
      <c r="H28" s="19">
        <f>IFERROR(D28-G28,0)</f>
        <v/>
      </c>
      <c r="I28" s="24">
        <f>IFERROR(H28/ABS(G28),"")</f>
        <v/>
      </c>
      <c r="J28" s="28">
        <f>-(SUMIF('C5 GEG LR Aktual'!$D$5:$O$5,"&lt;="&amp;'C1 GEG Setting'!$C$6,'C5 GEG LR Aktual'!$D$71:$O$71)-SUMIF('C5 GEG LR Aktual'!$D$5:$O$5,"&lt;="&amp;'C1 GEG Setting'!$C$6,'C5 GEG LR Aktual'!$D$69:$O$69))</f>
        <v/>
      </c>
      <c r="K28" s="28">
        <f>-(SUMIF('C4 GEG LR Budget'!$D$5:$O$5,"&lt;="&amp;'C1 GEG Setting'!$C$6,'C4 GEG LR Budget'!$D$71:$O$71)-SUMIF('C4 GEG LR Budget'!$D$5:$O$5,"&lt;="&amp;'C1 GEG Setting'!$C$6,'C4 GEG LR Budget'!$D$69:$O$69))</f>
        <v/>
      </c>
      <c r="L28" s="19">
        <f>IFERROR(J28-K28,0)</f>
        <v/>
      </c>
      <c r="M28" s="24">
        <f>IFERROR(L28/ABS(K28),"")</f>
        <v/>
      </c>
      <c r="N28" s="19">
        <f>-SUMIF($C$60:$C$63,"G&amp;A",$P$60:$P$63)</f>
        <v/>
      </c>
      <c r="O28" s="19">
        <f>J28-N28</f>
        <v/>
      </c>
      <c r="P28" s="19">
        <f>O28-K28</f>
        <v/>
      </c>
      <c r="Q28" s="76" t="n"/>
    </row>
    <row r="29">
      <c r="A29" s="48" t="inlineStr">
        <is>
          <t>Total beban kas</t>
        </is>
      </c>
      <c r="B29" s="49" t="inlineStr">
        <is>
          <t>Rp juta</t>
        </is>
      </c>
      <c r="C29" s="58">
        <f>SUM(C22:C28)</f>
        <v/>
      </c>
      <c r="D29" s="58">
        <f>SUM(D22:D28)</f>
        <v/>
      </c>
      <c r="E29" s="107">
        <f>IFERROR(D29-C29,0)</f>
        <v/>
      </c>
      <c r="F29" s="54">
        <f>IFERROR(E29/ABS(C29),"")</f>
        <v/>
      </c>
      <c r="G29" s="58">
        <f>SUM(G22:G28)</f>
        <v/>
      </c>
      <c r="H29" s="107">
        <f>IFERROR(D29-G29,0)</f>
        <v/>
      </c>
      <c r="I29" s="54">
        <f>IFERROR(H29/ABS(G29),"")</f>
        <v/>
      </c>
      <c r="J29" s="58">
        <f>SUM(J22:J28)</f>
        <v/>
      </c>
      <c r="K29" s="58">
        <f>SUM(K22:K28)</f>
        <v/>
      </c>
      <c r="L29" s="107">
        <f>IFERROR(J29-K29,0)</f>
        <v/>
      </c>
      <c r="M29" s="54">
        <f>IFERROR(L29/ABS(K29),"")</f>
        <v/>
      </c>
      <c r="N29" s="72" t="n"/>
      <c r="O29" s="58">
        <f>J29-N29</f>
        <v/>
      </c>
      <c r="P29" s="58">
        <f>O29-K29</f>
        <v/>
      </c>
      <c r="Q29" s="108" t="n"/>
    </row>
    <row r="30">
      <c r="A30" s="48" t="inlineStr">
        <is>
          <t>EBITDA</t>
        </is>
      </c>
      <c r="B30" s="49" t="inlineStr">
        <is>
          <t>Rp juta</t>
        </is>
      </c>
      <c r="C30" s="58">
        <f>C20+C29</f>
        <v/>
      </c>
      <c r="D30" s="58">
        <f>D20+D29</f>
        <v/>
      </c>
      <c r="E30" s="107">
        <f>IFERROR(D30-C30,0)</f>
        <v/>
      </c>
      <c r="F30" s="54">
        <f>IFERROR(E30/ABS(C30),"")</f>
        <v/>
      </c>
      <c r="G30" s="58">
        <f>G20+G29</f>
        <v/>
      </c>
      <c r="H30" s="107">
        <f>IFERROR(D30-G30,0)</f>
        <v/>
      </c>
      <c r="I30" s="54">
        <f>IFERROR(H30/ABS(G30),"")</f>
        <v/>
      </c>
      <c r="J30" s="58">
        <f>J20+J29</f>
        <v/>
      </c>
      <c r="K30" s="58">
        <f>K20+K29</f>
        <v/>
      </c>
      <c r="L30" s="107">
        <f>IFERROR(J30-K30,0)</f>
        <v/>
      </c>
      <c r="M30" s="54">
        <f>IFERROR(L30/ABS(K30),"")</f>
        <v/>
      </c>
      <c r="N30" s="58">
        <f>N22+N23+N24+N25+N27+N28</f>
        <v/>
      </c>
      <c r="O30" s="58">
        <f>J30-N30</f>
        <v/>
      </c>
      <c r="P30" s="58">
        <f>O30-K30</f>
        <v/>
      </c>
      <c r="Q30" s="106" t="inlineStr">
        <is>
          <t>Contoh: EBITDA di bawah budget – kombinasi volume jual lebih rendah, tarif OB &amp; BBM naik, penalti kualitas.</t>
        </is>
      </c>
    </row>
    <row r="31">
      <c r="A31" s="10" t="inlineStr">
        <is>
          <t xml:space="preserve">   Marjin EBITDA</t>
        </is>
      </c>
      <c r="B31" s="3" t="inlineStr">
        <is>
          <t>%</t>
        </is>
      </c>
      <c r="C31" s="24">
        <f>IFERROR(C30/C20,0)</f>
        <v/>
      </c>
      <c r="D31" s="24">
        <f>IFERROR(D30/D20,0)</f>
        <v/>
      </c>
      <c r="E31" s="24">
        <f>IFERROR(D31-C31,0)</f>
        <v/>
      </c>
      <c r="G31" s="24">
        <f>IFERROR(G30/G20,0)</f>
        <v/>
      </c>
      <c r="H31" s="24">
        <f>IFERROR(D31-G31,0)</f>
        <v/>
      </c>
      <c r="J31" s="24">
        <f>IFERROR(J30/J20,0)</f>
        <v/>
      </c>
      <c r="K31" s="24">
        <f>IFERROR(K30/K20,0)</f>
        <v/>
      </c>
      <c r="L31" s="24">
        <f>IFERROR(J31-K31,0)</f>
        <v/>
      </c>
      <c r="O31" s="24">
        <f>IFERROR(O30/O20,0)</f>
        <v/>
      </c>
      <c r="P31" s="24">
        <f>O31-K31</f>
        <v/>
      </c>
      <c r="Q31" s="76" t="n"/>
    </row>
    <row r="32">
      <c r="A32" s="10" t="inlineStr">
        <is>
          <t xml:space="preserve">   Item non-rutin (ditambahkan kembali)</t>
        </is>
      </c>
      <c r="B32" s="3" t="inlineStr">
        <is>
          <t>Rp juta</t>
        </is>
      </c>
      <c r="C32" s="28">
        <f>IF('C1 GEG Setting'!$C$6=1,0,INDEX('C13 GEG Financial Highlight'!$D$66:$O$66,'C1 GEG Setting'!$C$6-1))</f>
        <v/>
      </c>
      <c r="D32" s="28">
        <f>INDEX('C13 GEG Financial Highlight'!$D$66:$O$66,'C1 GEG Setting'!$C$6)</f>
        <v/>
      </c>
      <c r="E32" s="19">
        <f>IFERROR(D32-C32,0)</f>
        <v/>
      </c>
      <c r="F32" s="24">
        <f>IFERROR(E32/ABS(C32),"")</f>
        <v/>
      </c>
      <c r="G32" s="109" t="n">
        <v>0</v>
      </c>
      <c r="H32" s="19">
        <f>IFERROR(D32-G32,0)</f>
        <v/>
      </c>
      <c r="I32" s="24">
        <f>IFERROR(H32/ABS(G32),"")</f>
        <v/>
      </c>
      <c r="J32" s="28">
        <f>SUMIF('C13 GEG Financial Highlight'!$D$57:$O$57,"&lt;="&amp;'C1 GEG Setting'!$C$6,'C13 GEG Financial Highlight'!$D$66:$O$66)</f>
        <v/>
      </c>
      <c r="K32" s="109" t="n">
        <v>0</v>
      </c>
      <c r="L32" s="19">
        <f>IFERROR(J32-K32,0)</f>
        <v/>
      </c>
      <c r="M32" s="24">
        <f>IFERROR(L32/ABS(K32),"")</f>
        <v/>
      </c>
      <c r="O32" s="19">
        <f>J32-N32</f>
        <v/>
      </c>
      <c r="P32" s="19">
        <f>O32-K32</f>
        <v/>
      </c>
      <c r="Q32" s="76" t="n"/>
    </row>
    <row r="33">
      <c r="A33" s="48" t="inlineStr">
        <is>
          <t>EBITDA normalisasi (excl. item non-rutin)</t>
        </is>
      </c>
      <c r="B33" s="49" t="inlineStr">
        <is>
          <t>Rp juta</t>
        </is>
      </c>
      <c r="C33" s="58">
        <f>C30+C32</f>
        <v/>
      </c>
      <c r="D33" s="58">
        <f>D30+D32</f>
        <v/>
      </c>
      <c r="E33" s="107">
        <f>IFERROR(D33-C33,0)</f>
        <v/>
      </c>
      <c r="F33" s="54">
        <f>IFERROR(E33/ABS(C33),"")</f>
        <v/>
      </c>
      <c r="G33" s="58">
        <f>G30+G32</f>
        <v/>
      </c>
      <c r="H33" s="107">
        <f>IFERROR(D33-G33,0)</f>
        <v/>
      </c>
      <c r="I33" s="54">
        <f>IFERROR(H33/ABS(G33),"")</f>
        <v/>
      </c>
      <c r="J33" s="58">
        <f>J30+J32</f>
        <v/>
      </c>
      <c r="K33" s="58">
        <f>K30+K32</f>
        <v/>
      </c>
      <c r="L33" s="107">
        <f>IFERROR(J33-K33,0)</f>
        <v/>
      </c>
      <c r="M33" s="54">
        <f>IFERROR(L33/ABS(K33),"")</f>
        <v/>
      </c>
      <c r="N33" s="72" t="n"/>
      <c r="O33" s="58">
        <f>J33-N33</f>
        <v/>
      </c>
      <c r="P33" s="58">
        <f>O33-K33</f>
        <v/>
      </c>
      <c r="Q33" s="106" t="inlineStr">
        <is>
          <t>Contoh: excl. denda administratif &amp; sponsorship di luar budget (lihat blok item non-rutin di bawah).</t>
        </is>
      </c>
    </row>
    <row r="34">
      <c r="A34" s="10" t="inlineStr">
        <is>
          <t xml:space="preserve">   Marjin EBITDA normalisasi</t>
        </is>
      </c>
      <c r="B34" s="3" t="inlineStr">
        <is>
          <t>%</t>
        </is>
      </c>
      <c r="C34" s="24">
        <f>IFERROR(C33/C20,0)</f>
        <v/>
      </c>
      <c r="D34" s="24">
        <f>IFERROR(D33/D20,0)</f>
        <v/>
      </c>
      <c r="E34" s="24">
        <f>IFERROR(D34-C34,0)</f>
        <v/>
      </c>
      <c r="G34" s="24">
        <f>IFERROR(G33/G20,0)</f>
        <v/>
      </c>
      <c r="H34" s="24">
        <f>IFERROR(D34-G34,0)</f>
        <v/>
      </c>
      <c r="J34" s="24">
        <f>IFERROR(J33/J20,0)</f>
        <v/>
      </c>
      <c r="K34" s="24">
        <f>IFERROR(K33/K20,0)</f>
        <v/>
      </c>
      <c r="L34" s="24">
        <f>IFERROR(J34-K34,0)</f>
        <v/>
      </c>
      <c r="Q34" s="76" t="n"/>
    </row>
    <row r="35">
      <c r="A35" s="48" t="inlineStr">
        <is>
          <t>Laba bersih</t>
        </is>
      </c>
      <c r="B35" s="49" t="inlineStr">
        <is>
          <t>Rp juta</t>
        </is>
      </c>
      <c r="C35" s="50">
        <f>IF('C1 GEG Setting'!$C$6=1,0,INDEX('C5 GEG LR Aktual'!$D$83:$O$83,'C1 GEG Setting'!$C$6-1))</f>
        <v/>
      </c>
      <c r="D35" s="50">
        <f>INDEX('C5 GEG LR Aktual'!$D$83:$O$83,'C1 GEG Setting'!$C$6)</f>
        <v/>
      </c>
      <c r="E35" s="107">
        <f>IFERROR(D35-C35,0)</f>
        <v/>
      </c>
      <c r="F35" s="54">
        <f>IFERROR(E35/ABS(C35),"")</f>
        <v/>
      </c>
      <c r="G35" s="50">
        <f>INDEX('C4 GEG LR Budget'!$D$83:$O$83,'C1 GEG Setting'!$C$6)</f>
        <v/>
      </c>
      <c r="H35" s="107">
        <f>IFERROR(D35-G35,0)</f>
        <v/>
      </c>
      <c r="I35" s="54">
        <f>IFERROR(H35/ABS(G35),"")</f>
        <v/>
      </c>
      <c r="J35" s="50">
        <f>SUMIF('C5 GEG LR Aktual'!$D$5:$O$5,"&lt;="&amp;'C1 GEG Setting'!$C$6,'C5 GEG LR Aktual'!$D$83:$O$83)</f>
        <v/>
      </c>
      <c r="K35" s="50">
        <f>SUMIF('C4 GEG LR Budget'!$D$5:$O$5,"&lt;="&amp;'C1 GEG Setting'!$C$6,'C4 GEG LR Budget'!$D$83:$O$83)</f>
        <v/>
      </c>
      <c r="L35" s="107">
        <f>IFERROR(J35-K35,0)</f>
        <v/>
      </c>
      <c r="M35" s="54">
        <f>IFERROR(L35/ABS(K35),"")</f>
        <v/>
      </c>
      <c r="N35" s="58">
        <f>-$P$64</f>
        <v/>
      </c>
      <c r="O35" s="58">
        <f>J35-N35</f>
        <v/>
      </c>
      <c r="P35" s="58">
        <f>O35-K35</f>
        <v/>
      </c>
      <c r="Q35" s="108" t="n"/>
    </row>
    <row r="36">
      <c r="A36" s="10" t="inlineStr">
        <is>
          <t xml:space="preserve">   Marjin laba bersih</t>
        </is>
      </c>
      <c r="B36" s="3" t="inlineStr">
        <is>
          <t>%</t>
        </is>
      </c>
      <c r="C36" s="24">
        <f>IFERROR(C35/C20,0)</f>
        <v/>
      </c>
      <c r="D36" s="24">
        <f>IFERROR(D35/D20,0)</f>
        <v/>
      </c>
      <c r="E36" s="24">
        <f>IFERROR(D36-C36,0)</f>
        <v/>
      </c>
      <c r="G36" s="24">
        <f>IFERROR(G35/G20,0)</f>
        <v/>
      </c>
      <c r="H36" s="24">
        <f>IFERROR(D36-G36,0)</f>
        <v/>
      </c>
      <c r="J36" s="24">
        <f>IFERROR(J35/J20,0)</f>
        <v/>
      </c>
      <c r="K36" s="24">
        <f>IFERROR(K35/K20,0)</f>
        <v/>
      </c>
      <c r="L36" s="24">
        <f>IFERROR(J36-K36,0)</f>
        <v/>
      </c>
      <c r="O36" s="24">
        <f>IFERROR(O35/O20,0)</f>
        <v/>
      </c>
      <c r="P36" s="24">
        <f>O36-K36</f>
        <v/>
      </c>
      <c r="Q36" s="76" t="n"/>
    </row>
    <row r="37">
      <c r="A37" s="10" t="inlineStr">
        <is>
          <t>Cash cost FOB excl. royalti</t>
        </is>
      </c>
      <c r="B37" s="3" t="inlineStr">
        <is>
          <t>USD/t</t>
        </is>
      </c>
      <c r="C37" s="47">
        <f>IFERROR(-(C22+C23+C25)*1000000/C12/C13,0)</f>
        <v/>
      </c>
      <c r="D37" s="47">
        <f>IFERROR(-(D22+D23+D25)*1000000/D12/D13,0)</f>
        <v/>
      </c>
      <c r="E37" s="47">
        <f>IFERROR(D37-C37,0)</f>
        <v/>
      </c>
      <c r="G37" s="47">
        <f>IFERROR(-(G22+G23+G25)*1000000/G12/G13,0)</f>
        <v/>
      </c>
      <c r="H37" s="47">
        <f>IFERROR(D37-G37,0)</f>
        <v/>
      </c>
      <c r="J37" s="47">
        <f>IFERROR(-(J22+J23+J25)*1000000/J12/J13,0)</f>
        <v/>
      </c>
      <c r="K37" s="47">
        <f>IFERROR(-(K22+K23+K25)*1000000/K12/K13,0)</f>
        <v/>
      </c>
      <c r="L37" s="47">
        <f>IFERROR(J37-K37,0)</f>
        <v/>
      </c>
      <c r="Q37" s="76" t="n"/>
    </row>
    <row r="38">
      <c r="A38" s="10" t="inlineStr">
        <is>
          <t>Capex &amp; investasi</t>
        </is>
      </c>
      <c r="B38" s="3" t="inlineStr">
        <is>
          <t>Rp juta</t>
        </is>
      </c>
      <c r="C38" s="28">
        <f>'C17 GEG Arus Kas Langsung'!C16</f>
        <v/>
      </c>
      <c r="D38" s="28">
        <f>'C17 GEG Arus Kas Langsung'!D16</f>
        <v/>
      </c>
      <c r="E38" s="19">
        <f>IFERROR(D38-C38,0)</f>
        <v/>
      </c>
      <c r="F38" s="24">
        <f>IFERROR(E38/ABS(C38),"")</f>
        <v/>
      </c>
      <c r="G38" s="28">
        <f>'C17 GEG Arus Kas Langsung'!G16</f>
        <v/>
      </c>
      <c r="H38" s="19">
        <f>IFERROR(D38-G38,0)</f>
        <v/>
      </c>
      <c r="I38" s="24">
        <f>IFERROR(H38/ABS(G38),"")</f>
        <v/>
      </c>
      <c r="J38" s="28">
        <f>'C17 GEG Arus Kas Langsung'!J16</f>
        <v/>
      </c>
      <c r="K38" s="28">
        <f>'C17 GEG Arus Kas Langsung'!K16</f>
        <v/>
      </c>
      <c r="L38" s="19">
        <f>IFERROR(J38-K38,0)</f>
        <v/>
      </c>
      <c r="M38" s="24">
        <f>IFERROR(L38/ABS(K38),"")</f>
        <v/>
      </c>
      <c r="O38" s="19">
        <f>J38-N38</f>
        <v/>
      </c>
      <c r="P38" s="19">
        <f>O38-K38</f>
        <v/>
      </c>
      <c r="Q38" s="76" t="n"/>
    </row>
    <row r="39">
      <c r="A39" s="48" t="inlineStr">
        <is>
          <t>Kas tersedia setelah debt service (CADS)</t>
        </is>
      </c>
      <c r="B39" s="49" t="inlineStr">
        <is>
          <t>Rp juta</t>
        </is>
      </c>
      <c r="C39" s="50">
        <f>'C17 GEG Arus Kas Langsung'!C15</f>
        <v/>
      </c>
      <c r="D39" s="50">
        <f>'C17 GEG Arus Kas Langsung'!D15</f>
        <v/>
      </c>
      <c r="E39" s="107">
        <f>IFERROR(D39-C39,0)</f>
        <v/>
      </c>
      <c r="F39" s="54">
        <f>IFERROR(E39/ABS(C39),"")</f>
        <v/>
      </c>
      <c r="G39" s="50">
        <f>'C17 GEG Arus Kas Langsung'!G15</f>
        <v/>
      </c>
      <c r="H39" s="107">
        <f>IFERROR(D39-G39,0)</f>
        <v/>
      </c>
      <c r="I39" s="54">
        <f>IFERROR(H39/ABS(G39),"")</f>
        <v/>
      </c>
      <c r="J39" s="50">
        <f>'C17 GEG Arus Kas Langsung'!J15</f>
        <v/>
      </c>
      <c r="K39" s="50">
        <f>'C17 GEG Arus Kas Langsung'!K15</f>
        <v/>
      </c>
      <c r="L39" s="107">
        <f>IFERROR(J39-K39,0)</f>
        <v/>
      </c>
      <c r="M39" s="54">
        <f>IFERROR(L39/ABS(K39),"")</f>
        <v/>
      </c>
      <c r="N39" s="72" t="n"/>
      <c r="O39" s="58">
        <f>J39-N39</f>
        <v/>
      </c>
      <c r="P39" s="58">
        <f>O39-K39</f>
        <v/>
      </c>
      <c r="Q39" s="108" t="n"/>
    </row>
    <row r="40">
      <c r="A40" s="10" t="inlineStr">
        <is>
          <t>DSCR</t>
        </is>
      </c>
      <c r="B40" s="3" t="inlineStr">
        <is>
          <t>x</t>
        </is>
      </c>
      <c r="C40" s="64">
        <f>'C17 GEG Arus Kas Langsung'!C21</f>
        <v/>
      </c>
      <c r="D40" s="64">
        <f>'C17 GEG Arus Kas Langsung'!D21</f>
        <v/>
      </c>
      <c r="E40" s="110">
        <f>IFERROR(D40-C40,0)</f>
        <v/>
      </c>
      <c r="G40" s="64">
        <f>'C17 GEG Arus Kas Langsung'!G21</f>
        <v/>
      </c>
      <c r="H40" s="110">
        <f>IFERROR(D40-G40,0)</f>
        <v/>
      </c>
      <c r="J40" s="64">
        <f>'C17 GEG Arus Kas Langsung'!J21</f>
        <v/>
      </c>
      <c r="K40" s="64">
        <f>'C17 GEG Arus Kas Langsung'!K21</f>
        <v/>
      </c>
      <c r="L40" s="110">
        <f>IFERROR(J40-K40,0)</f>
        <v/>
      </c>
      <c r="Q40" s="76" t="n"/>
    </row>
    <row r="41">
      <c r="A41" s="48" t="inlineStr">
        <is>
          <t>Kas &amp; setara kas akhir</t>
        </is>
      </c>
      <c r="B41" s="49" t="inlineStr">
        <is>
          <t>Rp juta</t>
        </is>
      </c>
      <c r="C41" s="50">
        <f>'C17 GEG Arus Kas Langsung'!C20</f>
        <v/>
      </c>
      <c r="D41" s="50">
        <f>'C17 GEG Arus Kas Langsung'!D20</f>
        <v/>
      </c>
      <c r="E41" s="107">
        <f>IFERROR(D41-C41,0)</f>
        <v/>
      </c>
      <c r="F41" s="54">
        <f>IFERROR(E41/ABS(C41),"")</f>
        <v/>
      </c>
      <c r="G41" s="50">
        <f>'C17 GEG Arus Kas Langsung'!G20</f>
        <v/>
      </c>
      <c r="H41" s="107">
        <f>IFERROR(D41-G41,0)</f>
        <v/>
      </c>
      <c r="I41" s="54">
        <f>IFERROR(H41/ABS(G41),"")</f>
        <v/>
      </c>
      <c r="J41" s="50">
        <f>'C17 GEG Arus Kas Langsung'!J20</f>
        <v/>
      </c>
      <c r="K41" s="50">
        <f>'C17 GEG Arus Kas Langsung'!K20</f>
        <v/>
      </c>
      <c r="L41" s="107">
        <f>IFERROR(J41-K41,0)</f>
        <v/>
      </c>
      <c r="M41" s="54">
        <f>IFERROR(L41/ABS(K41),"")</f>
        <v/>
      </c>
      <c r="N41" s="72" t="n"/>
      <c r="O41" s="58">
        <f>J41-N41</f>
        <v/>
      </c>
      <c r="P41" s="58">
        <f>O41-K41</f>
        <v/>
      </c>
      <c r="Q41" s="108" t="n"/>
    </row>
    <row r="42">
      <c r="A42" s="37" t="inlineStr">
        <is>
          <t xml:space="preserve">   Cek: EBITDA vs laporan laba rugi C8 (harus 0)</t>
        </is>
      </c>
      <c r="D42" s="111">
        <f>ROUND(D30-'C8 GEG Lap LR'!D85,0)</f>
        <v/>
      </c>
      <c r="J42" s="111">
        <f>ROUND(J30-'C8 GEG Lap LR'!J85,0)</f>
        <v/>
      </c>
    </row>
    <row r="43">
      <c r="A43" s="3" t="inlineStr">
        <is>
          <t>Var untuk beban (negatif) : angka positif = lebih hemat dari pembanding. Baris rasio: varians dalam satuan baris (bukan %).</t>
        </is>
      </c>
    </row>
    <row r="44"/>
    <row r="45"/>
    <row r="46"/>
    <row r="47"/>
    <row r="48"/>
    <row r="49"/>
    <row r="50"/>
    <row r="51"/>
    <row r="52"/>
    <row r="53"/>
    <row r="54"/>
    <row r="55"/>
    <row r="56"/>
    <row r="57">
      <c r="D57" s="80" t="n">
        <v>1</v>
      </c>
      <c r="E57" s="80" t="n">
        <v>2</v>
      </c>
      <c r="F57" s="80" t="n">
        <v>3</v>
      </c>
      <c r="G57" s="80" t="n">
        <v>4</v>
      </c>
      <c r="H57" s="80" t="n">
        <v>5</v>
      </c>
      <c r="I57" s="80" t="n">
        <v>6</v>
      </c>
      <c r="J57" s="80" t="n">
        <v>7</v>
      </c>
      <c r="K57" s="80" t="n">
        <v>8</v>
      </c>
      <c r="L57" s="80" t="n">
        <v>9</v>
      </c>
      <c r="M57" s="80" t="n">
        <v>10</v>
      </c>
      <c r="N57" s="80" t="n">
        <v>11</v>
      </c>
      <c r="O57" s="80" t="n">
        <v>12</v>
      </c>
    </row>
    <row r="58">
      <c r="A58" s="4" t="inlineStr">
        <is>
          <t>ITEM NON-BUDGET / NON-RUTIN AKTUAL (Rp juta, beban positif) – dipakai untuk EBITDA normalisasi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</row>
    <row r="59">
      <c r="A59" s="16" t="inlineStr">
        <is>
          <t>Uraian item</t>
        </is>
      </c>
      <c r="B59" s="16" t="inlineStr">
        <is>
          <t>Akun</t>
        </is>
      </c>
      <c r="C59" s="16" t="inlineStr">
        <is>
          <t>Masuk ke baris</t>
        </is>
      </c>
      <c r="D59" s="16" t="inlineStr">
        <is>
          <t>Jan</t>
        </is>
      </c>
      <c r="E59" s="16" t="inlineStr">
        <is>
          <t>Feb</t>
        </is>
      </c>
      <c r="F59" s="16" t="inlineStr">
        <is>
          <t>Mar</t>
        </is>
      </c>
      <c r="G59" s="16" t="inlineStr">
        <is>
          <t>Apr</t>
        </is>
      </c>
      <c r="H59" s="16" t="inlineStr">
        <is>
          <t>Mei</t>
        </is>
      </c>
      <c r="I59" s="16" t="inlineStr">
        <is>
          <t>Jun</t>
        </is>
      </c>
      <c r="J59" s="16" t="inlineStr">
        <is>
          <t>Jul</t>
        </is>
      </c>
      <c r="K59" s="16" t="inlineStr">
        <is>
          <t>Agu</t>
        </is>
      </c>
      <c r="L59" s="16" t="inlineStr">
        <is>
          <t>Sep</t>
        </is>
      </c>
      <c r="M59" s="16" t="inlineStr">
        <is>
          <t>Okt</t>
        </is>
      </c>
      <c r="N59" s="16" t="inlineStr">
        <is>
          <t>Nov</t>
        </is>
      </c>
      <c r="O59" s="16" t="inlineStr">
        <is>
          <t>Des</t>
        </is>
      </c>
      <c r="P59" s="16" t="inlineStr">
        <is>
          <t>YTD</t>
        </is>
      </c>
    </row>
    <row r="60">
      <c r="A60" s="10" t="inlineStr">
        <is>
          <t>Denda / sanksi administratif (tidak dianggarkan)</t>
        </is>
      </c>
      <c r="B60" s="45" t="inlineStr">
        <is>
          <t>7401</t>
        </is>
      </c>
      <c r="C60" s="76" t="inlineStr">
        <is>
          <t>Di bawah EBITDA</t>
        </is>
      </c>
      <c r="D60" s="17" t="n">
        <v>0</v>
      </c>
      <c r="E60" s="17" t="n">
        <v>0</v>
      </c>
      <c r="F60" s="17" t="n">
        <v>1500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12" t="n"/>
      <c r="M60" s="112" t="n"/>
      <c r="N60" s="112" t="n"/>
      <c r="O60" s="112" t="n"/>
      <c r="P60" s="70">
        <f>SUMIF($D$57:$O$57,"&lt;="&amp;'C1 GEG Setting'!$C$6,D60:O60)</f>
        <v/>
      </c>
    </row>
    <row r="61">
      <c r="A61" s="10" t="inlineStr">
        <is>
          <t>Sponsorship &amp; donasi di luar budget</t>
        </is>
      </c>
      <c r="B61" s="45" t="inlineStr">
        <is>
          <t>6209</t>
        </is>
      </c>
      <c r="C61" s="76" t="inlineStr">
        <is>
          <t>G&amp;A</t>
        </is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800</v>
      </c>
      <c r="J61" s="17" t="n">
        <v>0</v>
      </c>
      <c r="K61" s="17" t="n">
        <v>0</v>
      </c>
      <c r="L61" s="112" t="n"/>
      <c r="M61" s="112" t="n"/>
      <c r="N61" s="112" t="n"/>
      <c r="O61" s="112" t="n"/>
      <c r="P61" s="70">
        <f>SUMIF($D$57:$O$57,"&lt;="&amp;'C1 GEG Setting'!$C$6,D61:O61)</f>
        <v/>
      </c>
    </row>
    <row r="62">
      <c r="A62" s="10" t="inlineStr">
        <is>
          <t>Biaya restrukturisasi / pesangon</t>
        </is>
      </c>
      <c r="B62" s="45" t="inlineStr">
        <is>
          <t>6201</t>
        </is>
      </c>
      <c r="C62" s="76" t="inlineStr">
        <is>
          <t>G&amp;A</t>
        </is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12" t="n"/>
      <c r="M62" s="112" t="n"/>
      <c r="N62" s="112" t="n"/>
      <c r="O62" s="112" t="n"/>
      <c r="P62" s="70">
        <f>SUMIF($D$57:$O$57,"&lt;="&amp;'C1 GEG Setting'!$C$6,D62:O62)</f>
        <v/>
      </c>
    </row>
    <row r="63">
      <c r="A63" s="10" t="inlineStr">
        <is>
          <t>Perbaikan jalan hauling darurat (banjir)</t>
        </is>
      </c>
      <c r="B63" s="45" t="inlineStr">
        <is>
          <t>5106</t>
        </is>
      </c>
      <c r="C63" s="76" t="inlineStr">
        <is>
          <t>Penambangan</t>
        </is>
      </c>
      <c r="D63" s="17" t="n">
        <v>0</v>
      </c>
      <c r="E63" s="17" t="n">
        <v>1200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12" t="n"/>
      <c r="M63" s="112" t="n"/>
      <c r="N63" s="112" t="n"/>
      <c r="O63" s="112" t="n"/>
      <c r="P63" s="70">
        <f>SUMIF($D$57:$O$57,"&lt;="&amp;'C1 GEG Setting'!$C$6,D63:O63)</f>
        <v/>
      </c>
    </row>
    <row r="64">
      <c r="A64" s="46" t="inlineStr">
        <is>
          <t>Total item non-rutin</t>
        </is>
      </c>
      <c r="D64" s="71">
        <f>SUM(D60:D63)</f>
        <v/>
      </c>
      <c r="E64" s="71">
        <f>SUM(E60:E63)</f>
        <v/>
      </c>
      <c r="F64" s="71">
        <f>SUM(F60:F63)</f>
        <v/>
      </c>
      <c r="G64" s="71">
        <f>SUM(G60:G63)</f>
        <v/>
      </c>
      <c r="H64" s="71">
        <f>SUM(H60:H63)</f>
        <v/>
      </c>
      <c r="I64" s="71">
        <f>SUM(I60:I63)</f>
        <v/>
      </c>
      <c r="J64" s="71">
        <f>SUM(J60:J63)</f>
        <v/>
      </c>
      <c r="K64" s="71">
        <f>SUM(K60:K63)</f>
        <v/>
      </c>
      <c r="L64" s="71">
        <f>SUM(L60:L63)</f>
        <v/>
      </c>
      <c r="M64" s="71">
        <f>SUM(M60:M63)</f>
        <v/>
      </c>
      <c r="N64" s="71">
        <f>SUM(N60:N63)</f>
        <v/>
      </c>
      <c r="O64" s="71">
        <f>SUM(O60:O63)</f>
        <v/>
      </c>
      <c r="P64" s="71">
        <f>SUM(P60:P63)</f>
        <v/>
      </c>
    </row>
    <row r="65">
      <c r="A65" s="3" t="inlineStr">
        <is>
          <t>Kolom "Masuk ke baris" menentukan baris Financial Highlight yang dikoreksi di kolom Non-Budget / Adjusted (ala AAT). "Di bawah EBITDA" hanya mengoreksi laba bersih.</t>
        </is>
      </c>
    </row>
    <row r="66">
      <c r="A66" s="46" t="inlineStr">
        <is>
          <t>Total non-rutin di atas EBITDA (untuk EBITDA normalisasi)</t>
        </is>
      </c>
      <c r="D66" s="71">
        <f>SUMIF($C$60:$C$63,"&lt;&gt;Di bawah EBITDA",D60:D63)</f>
        <v/>
      </c>
      <c r="E66" s="71">
        <f>SUMIF($C$60:$C$63,"&lt;&gt;Di bawah EBITDA",E60:E63)</f>
        <v/>
      </c>
      <c r="F66" s="71">
        <f>SUMIF($C$60:$C$63,"&lt;&gt;Di bawah EBITDA",F60:F63)</f>
        <v/>
      </c>
      <c r="G66" s="71">
        <f>SUMIF($C$60:$C$63,"&lt;&gt;Di bawah EBITDA",G60:G63)</f>
        <v/>
      </c>
      <c r="H66" s="71">
        <f>SUMIF($C$60:$C$63,"&lt;&gt;Di bawah EBITDA",H60:H63)</f>
        <v/>
      </c>
      <c r="I66" s="71">
        <f>SUMIF($C$60:$C$63,"&lt;&gt;Di bawah EBITDA",I60:I63)</f>
        <v/>
      </c>
      <c r="J66" s="71">
        <f>SUMIF($C$60:$C$63,"&lt;&gt;Di bawah EBITDA",J60:J63)</f>
        <v/>
      </c>
      <c r="K66" s="71">
        <f>SUMIF($C$60:$C$63,"&lt;&gt;Di bawah EBITDA",K60:K63)</f>
        <v/>
      </c>
      <c r="L66" s="71">
        <f>SUMIF($C$60:$C$63,"&lt;&gt;Di bawah EBITDA",L60:L63)</f>
        <v/>
      </c>
      <c r="M66" s="71">
        <f>SUMIF($C$60:$C$63,"&lt;&gt;Di bawah EBITDA",M60:M63)</f>
        <v/>
      </c>
      <c r="N66" s="71">
        <f>SUMIF($C$60:$C$63,"&lt;&gt;Di bawah EBITDA",N60:N63)</f>
        <v/>
      </c>
      <c r="O66" s="71">
        <f>SUMIF($C$60:$C$63,"&lt;&gt;Di bawah EBITDA",O60:O63)</f>
        <v/>
      </c>
      <c r="P66" s="71">
        <f>SUMIF($C$60:$C$63,"&lt;&gt;Di bawah EBITDA",P60:P63)</f>
        <v/>
      </c>
    </row>
  </sheetData>
  <dataValidations count="1">
    <dataValidation sqref="C60 C61 C62 C63" showDropDown="0" showInputMessage="0" showErrorMessage="0" allowBlank="1" type="list">
      <formula1>"Penambangan,Pengolahan &amp; logistik,Royalti,Overhead site,Beban penjualan,G&amp;A,Di bawah EBITDA"</formula1>
    </dataValidation>
  </dataValidation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N8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58" customWidth="1" min="14" max="14"/>
  </cols>
  <sheetData>
    <row r="1">
      <c r="A1" s="1" t="inlineStr">
        <is>
          <t>GEG – Analisa Biaya &amp; Profitabilitas + Unit Cost (MoM, vs Budget, YTD)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>
        <f>"Bulan laporan: "&amp;'C1 GEG Setting'!$C$7&amp;" "&amp;'C1 GEG Setting'!$C$5&amp;" | Format mengikuti halaman 'Cost &amp; Profitability Analysis' dan 'Unit Cost Analysis' laporan AAT"</f>
        <v/>
      </c>
    </row>
    <row r="3"/>
    <row r="4">
      <c r="A4" s="4" t="inlineStr">
        <is>
          <t>A. ANALISA BIAYA PER AKUN (Rp juta, beban positif)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 ht="32" customHeight="1">
      <c r="A5" s="16" t="inlineStr">
        <is>
          <t>Akun biaya</t>
        </is>
      </c>
      <c r="B5" s="16" t="inlineStr">
        <is>
          <t>Satuan</t>
        </is>
      </c>
      <c r="C5" s="16" t="inlineStr">
        <is>
          <t>Bulan lalu
Aktual</t>
        </is>
      </c>
      <c r="D5" s="16" t="inlineStr">
        <is>
          <t>Bulan ini
Aktual</t>
        </is>
      </c>
      <c r="E5" s="16" t="inlineStr">
        <is>
          <t>Var MoM</t>
        </is>
      </c>
      <c r="F5" s="16" t="inlineStr">
        <is>
          <t>Var MoM %</t>
        </is>
      </c>
      <c r="G5" s="16" t="inlineStr">
        <is>
          <t>Bulan ini
Budget</t>
        </is>
      </c>
      <c r="H5" s="16" t="inlineStr">
        <is>
          <t>Var vs Budget</t>
        </is>
      </c>
      <c r="I5" s="16" t="inlineStr">
        <is>
          <t>Var %</t>
        </is>
      </c>
      <c r="J5" s="16" t="inlineStr">
        <is>
          <t>YTD
Aktual</t>
        </is>
      </c>
      <c r="K5" s="16" t="inlineStr">
        <is>
          <t>YTD
Budget</t>
        </is>
      </c>
      <c r="L5" s="16" t="inlineStr">
        <is>
          <t>Var YTD</t>
        </is>
      </c>
      <c r="M5" s="16" t="inlineStr">
        <is>
          <t>Var YTD %</t>
        </is>
      </c>
      <c r="N5" s="16" t="inlineStr">
        <is>
          <t>Catatan / penjelasan varians (diisi FP&amp;A)</t>
        </is>
      </c>
    </row>
    <row r="6">
      <c r="A6" s="35" t="inlineStr">
        <is>
          <t>A. Biaya penambangan</t>
        </is>
      </c>
    </row>
    <row r="7">
      <c r="A7" s="10" t="inlineStr">
        <is>
          <t>5101  Jasa kontraktor OB removal</t>
        </is>
      </c>
      <c r="B7" s="3" t="inlineStr">
        <is>
          <t>Rp juta</t>
        </is>
      </c>
      <c r="C7" s="28">
        <f>IF('C1 GEG Setting'!$C$6=1,0,INDEX('C5 GEG LR Aktual'!$D$17:$O$17,'C1 GEG Setting'!$C$6-1))</f>
        <v/>
      </c>
      <c r="D7" s="28">
        <f>INDEX('C5 GEG LR Aktual'!$D$17:$O$17,'C1 GEG Setting'!$C$6)</f>
        <v/>
      </c>
      <c r="E7" s="19">
        <f>D7-C7</f>
        <v/>
      </c>
      <c r="F7" s="24">
        <f>IFERROR(E7/ABS(C7),"")</f>
        <v/>
      </c>
      <c r="G7" s="28">
        <f>INDEX('C4 GEG LR Budget'!$D$17:$O$17,'C1 GEG Setting'!$C$6)</f>
        <v/>
      </c>
      <c r="H7" s="19">
        <f>D7-G7</f>
        <v/>
      </c>
      <c r="I7" s="24">
        <f>IFERROR(H7/ABS(G7),"")</f>
        <v/>
      </c>
      <c r="J7" s="28">
        <f>SUMIF('C5 GEG LR Aktual'!$D$5:$O$5,"&lt;="&amp;'C1 GEG Setting'!$C$6,'C5 GEG LR Aktual'!$D$17:$O$17)</f>
        <v/>
      </c>
      <c r="K7" s="28">
        <f>SUMIF('C4 GEG LR Budget'!$D$5:$O$5,"&lt;="&amp;'C1 GEG Setting'!$C$6,'C4 GEG LR Budget'!$D$17:$O$17)</f>
        <v/>
      </c>
      <c r="L7" s="19">
        <f>J7-K7</f>
        <v/>
      </c>
      <c r="M7" s="24">
        <f>IFERROR(L7/ABS(K7),"")</f>
        <v/>
      </c>
      <c r="N7" s="106" t="inlineStr">
        <is>
          <t>Contoh: volume OB sesuai plan, tetapi tarif kontraktor naik (rise &amp; fall BBM) +2%.</t>
        </is>
      </c>
    </row>
    <row r="8">
      <c r="A8" s="10" t="inlineStr">
        <is>
          <t>5102  Bahan bakar (BBM)</t>
        </is>
      </c>
      <c r="B8" s="3" t="inlineStr">
        <is>
          <t>Rp juta</t>
        </is>
      </c>
      <c r="C8" s="28">
        <f>IF('C1 GEG Setting'!$C$6=1,0,INDEX('C5 GEG LR Aktual'!$D$18:$O$18,'C1 GEG Setting'!$C$6-1))</f>
        <v/>
      </c>
      <c r="D8" s="28">
        <f>INDEX('C5 GEG LR Aktual'!$D$18:$O$18,'C1 GEG Setting'!$C$6)</f>
        <v/>
      </c>
      <c r="E8" s="19">
        <f>D8-C8</f>
        <v/>
      </c>
      <c r="F8" s="24">
        <f>IFERROR(E8/ABS(C8),"")</f>
        <v/>
      </c>
      <c r="G8" s="28">
        <f>INDEX('C4 GEG LR Budget'!$D$18:$O$18,'C1 GEG Setting'!$C$6)</f>
        <v/>
      </c>
      <c r="H8" s="19">
        <f>D8-G8</f>
        <v/>
      </c>
      <c r="I8" s="24">
        <f>IFERROR(H8/ABS(G8),"")</f>
        <v/>
      </c>
      <c r="J8" s="28">
        <f>SUMIF('C5 GEG LR Aktual'!$D$5:$O$5,"&lt;="&amp;'C1 GEG Setting'!$C$6,'C5 GEG LR Aktual'!$D$18:$O$18)</f>
        <v/>
      </c>
      <c r="K8" s="28">
        <f>SUMIF('C4 GEG LR Budget'!$D$5:$O$5,"&lt;="&amp;'C1 GEG Setting'!$C$6,'C4 GEG LR Budget'!$D$18:$O$18)</f>
        <v/>
      </c>
      <c r="L8" s="19">
        <f>J8-K8</f>
        <v/>
      </c>
      <c r="M8" s="24">
        <f>IFERROR(L8/ABS(K8),"")</f>
        <v/>
      </c>
      <c r="N8" s="106" t="inlineStr">
        <is>
          <t>Contoh: fuel ratio 0,98 L/bcm vs budget 0,95 – idle time HD785 tinggi saat hujan; harga solar naik 3%.</t>
        </is>
      </c>
    </row>
    <row r="9">
      <c r="A9" s="10" t="inlineStr">
        <is>
          <t>5103  Peledakan (drill &amp; blast)</t>
        </is>
      </c>
      <c r="B9" s="3" t="inlineStr">
        <is>
          <t>Rp juta</t>
        </is>
      </c>
      <c r="C9" s="28">
        <f>IF('C1 GEG Setting'!$C$6=1,0,INDEX('C5 GEG LR Aktual'!$D$19:$O$19,'C1 GEG Setting'!$C$6-1))</f>
        <v/>
      </c>
      <c r="D9" s="28">
        <f>INDEX('C5 GEG LR Aktual'!$D$19:$O$19,'C1 GEG Setting'!$C$6)</f>
        <v/>
      </c>
      <c r="E9" s="19">
        <f>D9-C9</f>
        <v/>
      </c>
      <c r="F9" s="24">
        <f>IFERROR(E9/ABS(C9),"")</f>
        <v/>
      </c>
      <c r="G9" s="28">
        <f>INDEX('C4 GEG LR Budget'!$D$19:$O$19,'C1 GEG Setting'!$C$6)</f>
        <v/>
      </c>
      <c r="H9" s="19">
        <f>D9-G9</f>
        <v/>
      </c>
      <c r="I9" s="24">
        <f>IFERROR(H9/ABS(G9),"")</f>
        <v/>
      </c>
      <c r="J9" s="28">
        <f>SUMIF('C5 GEG LR Aktual'!$D$5:$O$5,"&lt;="&amp;'C1 GEG Setting'!$C$6,'C5 GEG LR Aktual'!$D$19:$O$19)</f>
        <v/>
      </c>
      <c r="K9" s="28">
        <f>SUMIF('C4 GEG LR Budget'!$D$5:$O$5,"&lt;="&amp;'C1 GEG Setting'!$C$6,'C4 GEG LR Budget'!$D$19:$O$19)</f>
        <v/>
      </c>
      <c r="L9" s="19">
        <f>J9-K9</f>
        <v/>
      </c>
      <c r="M9" s="24">
        <f>IFERROR(L9/ABS(K9),"")</f>
        <v/>
      </c>
      <c r="N9" s="76" t="n"/>
    </row>
    <row r="10">
      <c r="A10" s="10" t="inlineStr">
        <is>
          <t>5104  Penggalian batubara (coal getting)</t>
        </is>
      </c>
      <c r="B10" s="3" t="inlineStr">
        <is>
          <t>Rp juta</t>
        </is>
      </c>
      <c r="C10" s="28">
        <f>IF('C1 GEG Setting'!$C$6=1,0,INDEX('C5 GEG LR Aktual'!$D$20:$O$20,'C1 GEG Setting'!$C$6-1))</f>
        <v/>
      </c>
      <c r="D10" s="28">
        <f>INDEX('C5 GEG LR Aktual'!$D$20:$O$20,'C1 GEG Setting'!$C$6)</f>
        <v/>
      </c>
      <c r="E10" s="19">
        <f>D10-C10</f>
        <v/>
      </c>
      <c r="F10" s="24">
        <f>IFERROR(E10/ABS(C10),"")</f>
        <v/>
      </c>
      <c r="G10" s="28">
        <f>INDEX('C4 GEG LR Budget'!$D$20:$O$20,'C1 GEG Setting'!$C$6)</f>
        <v/>
      </c>
      <c r="H10" s="19">
        <f>D10-G10</f>
        <v/>
      </c>
      <c r="I10" s="24">
        <f>IFERROR(H10/ABS(G10),"")</f>
        <v/>
      </c>
      <c r="J10" s="28">
        <f>SUMIF('C5 GEG LR Aktual'!$D$5:$O$5,"&lt;="&amp;'C1 GEG Setting'!$C$6,'C5 GEG LR Aktual'!$D$20:$O$20)</f>
        <v/>
      </c>
      <c r="K10" s="28">
        <f>SUMIF('C4 GEG LR Budget'!$D$5:$O$5,"&lt;="&amp;'C1 GEG Setting'!$C$6,'C4 GEG LR Budget'!$D$20:$O$20)</f>
        <v/>
      </c>
      <c r="L10" s="19">
        <f>J10-K10</f>
        <v/>
      </c>
      <c r="M10" s="24">
        <f>IFERROR(L10/ABS(K10),"")</f>
        <v/>
      </c>
      <c r="N10" s="76" t="n"/>
    </row>
    <row r="11">
      <c r="A11" s="10" t="inlineStr">
        <is>
          <t>5105  Sewa alat berat &amp; sarana penunjang</t>
        </is>
      </c>
      <c r="B11" s="3" t="inlineStr">
        <is>
          <t>Rp juta</t>
        </is>
      </c>
      <c r="C11" s="28">
        <f>IF('C1 GEG Setting'!$C$6=1,0,INDEX('C5 GEG LR Aktual'!$D$21:$O$21,'C1 GEG Setting'!$C$6-1))</f>
        <v/>
      </c>
      <c r="D11" s="28">
        <f>INDEX('C5 GEG LR Aktual'!$D$21:$O$21,'C1 GEG Setting'!$C$6)</f>
        <v/>
      </c>
      <c r="E11" s="19">
        <f>D11-C11</f>
        <v/>
      </c>
      <c r="F11" s="24">
        <f>IFERROR(E11/ABS(C11),"")</f>
        <v/>
      </c>
      <c r="G11" s="28">
        <f>INDEX('C4 GEG LR Budget'!$D$21:$O$21,'C1 GEG Setting'!$C$6)</f>
        <v/>
      </c>
      <c r="H11" s="19">
        <f>D11-G11</f>
        <v/>
      </c>
      <c r="I11" s="24">
        <f>IFERROR(H11/ABS(G11),"")</f>
        <v/>
      </c>
      <c r="J11" s="28">
        <f>SUMIF('C5 GEG LR Aktual'!$D$5:$O$5,"&lt;="&amp;'C1 GEG Setting'!$C$6,'C5 GEG LR Aktual'!$D$21:$O$21)</f>
        <v/>
      </c>
      <c r="K11" s="28">
        <f>SUMIF('C4 GEG LR Budget'!$D$5:$O$5,"&lt;="&amp;'C1 GEG Setting'!$C$6,'C4 GEG LR Budget'!$D$21:$O$21)</f>
        <v/>
      </c>
      <c r="L11" s="19">
        <f>J11-K11</f>
        <v/>
      </c>
      <c r="M11" s="24">
        <f>IFERROR(L11/ABS(K11),"")</f>
        <v/>
      </c>
      <c r="N11" s="76" t="n"/>
    </row>
    <row r="12">
      <c r="A12" s="10" t="inlineStr">
        <is>
          <t>5106  Pemeliharaan jalan tambang &amp; infrastruktur</t>
        </is>
      </c>
      <c r="B12" s="3" t="inlineStr">
        <is>
          <t>Rp juta</t>
        </is>
      </c>
      <c r="C12" s="28">
        <f>IF('C1 GEG Setting'!$C$6=1,0,INDEX('C5 GEG LR Aktual'!$D$22:$O$22,'C1 GEG Setting'!$C$6-1))</f>
        <v/>
      </c>
      <c r="D12" s="28">
        <f>INDEX('C5 GEG LR Aktual'!$D$22:$O$22,'C1 GEG Setting'!$C$6)</f>
        <v/>
      </c>
      <c r="E12" s="19">
        <f>D12-C12</f>
        <v/>
      </c>
      <c r="F12" s="24">
        <f>IFERROR(E12/ABS(C12),"")</f>
        <v/>
      </c>
      <c r="G12" s="28">
        <f>INDEX('C4 GEG LR Budget'!$D$22:$O$22,'C1 GEG Setting'!$C$6)</f>
        <v/>
      </c>
      <c r="H12" s="19">
        <f>D12-G12</f>
        <v/>
      </c>
      <c r="I12" s="24">
        <f>IFERROR(H12/ABS(G12),"")</f>
        <v/>
      </c>
      <c r="J12" s="28">
        <f>SUMIF('C5 GEG LR Aktual'!$D$5:$O$5,"&lt;="&amp;'C1 GEG Setting'!$C$6,'C5 GEG LR Aktual'!$D$22:$O$22)</f>
        <v/>
      </c>
      <c r="K12" s="28">
        <f>SUMIF('C4 GEG LR Budget'!$D$5:$O$5,"&lt;="&amp;'C1 GEG Setting'!$C$6,'C4 GEG LR Budget'!$D$22:$O$22)</f>
        <v/>
      </c>
      <c r="L12" s="19">
        <f>J12-K12</f>
        <v/>
      </c>
      <c r="M12" s="24">
        <f>IFERROR(L12/ABS(K12),"")</f>
        <v/>
      </c>
      <c r="N12" s="76" t="n"/>
    </row>
    <row r="13">
      <c r="A13" s="10" t="inlineStr">
        <is>
          <t>5107  Pengelolaan air tambang (dewatering)</t>
        </is>
      </c>
      <c r="B13" s="3" t="inlineStr">
        <is>
          <t>Rp juta</t>
        </is>
      </c>
      <c r="C13" s="28">
        <f>IF('C1 GEG Setting'!$C$6=1,0,INDEX('C5 GEG LR Aktual'!$D$23:$O$23,'C1 GEG Setting'!$C$6-1))</f>
        <v/>
      </c>
      <c r="D13" s="28">
        <f>INDEX('C5 GEG LR Aktual'!$D$23:$O$23,'C1 GEG Setting'!$C$6)</f>
        <v/>
      </c>
      <c r="E13" s="19">
        <f>D13-C13</f>
        <v/>
      </c>
      <c r="F13" s="24">
        <f>IFERROR(E13/ABS(C13),"")</f>
        <v/>
      </c>
      <c r="G13" s="28">
        <f>INDEX('C4 GEG LR Budget'!$D$23:$O$23,'C1 GEG Setting'!$C$6)</f>
        <v/>
      </c>
      <c r="H13" s="19">
        <f>D13-G13</f>
        <v/>
      </c>
      <c r="I13" s="24">
        <f>IFERROR(H13/ABS(G13),"")</f>
        <v/>
      </c>
      <c r="J13" s="28">
        <f>SUMIF('C5 GEG LR Aktual'!$D$5:$O$5,"&lt;="&amp;'C1 GEG Setting'!$C$6,'C5 GEG LR Aktual'!$D$23:$O$23)</f>
        <v/>
      </c>
      <c r="K13" s="28">
        <f>SUMIF('C4 GEG LR Budget'!$D$5:$O$5,"&lt;="&amp;'C1 GEG Setting'!$C$6,'C4 GEG LR Budget'!$D$23:$O$23)</f>
        <v/>
      </c>
      <c r="L13" s="19">
        <f>J13-K13</f>
        <v/>
      </c>
      <c r="M13" s="24">
        <f>IFERROR(L13/ABS(K13),"")</f>
        <v/>
      </c>
      <c r="N13" s="76" t="n"/>
    </row>
    <row r="14">
      <c r="A14" s="10" t="inlineStr">
        <is>
          <t>5108  Survei, geologi &amp; grade control</t>
        </is>
      </c>
      <c r="B14" s="3" t="inlineStr">
        <is>
          <t>Rp juta</t>
        </is>
      </c>
      <c r="C14" s="28">
        <f>IF('C1 GEG Setting'!$C$6=1,0,INDEX('C5 GEG LR Aktual'!$D$24:$O$24,'C1 GEG Setting'!$C$6-1))</f>
        <v/>
      </c>
      <c r="D14" s="28">
        <f>INDEX('C5 GEG LR Aktual'!$D$24:$O$24,'C1 GEG Setting'!$C$6)</f>
        <v/>
      </c>
      <c r="E14" s="19">
        <f>D14-C14</f>
        <v/>
      </c>
      <c r="F14" s="24">
        <f>IFERROR(E14/ABS(C14),"")</f>
        <v/>
      </c>
      <c r="G14" s="28">
        <f>INDEX('C4 GEG LR Budget'!$D$24:$O$24,'C1 GEG Setting'!$C$6)</f>
        <v/>
      </c>
      <c r="H14" s="19">
        <f>D14-G14</f>
        <v/>
      </c>
      <c r="I14" s="24">
        <f>IFERROR(H14/ABS(G14),"")</f>
        <v/>
      </c>
      <c r="J14" s="28">
        <f>SUMIF('C5 GEG LR Aktual'!$D$5:$O$5,"&lt;="&amp;'C1 GEG Setting'!$C$6,'C5 GEG LR Aktual'!$D$24:$O$24)</f>
        <v/>
      </c>
      <c r="K14" s="28">
        <f>SUMIF('C4 GEG LR Budget'!$D$5:$O$5,"&lt;="&amp;'C1 GEG Setting'!$C$6,'C4 GEG LR Budget'!$D$24:$O$24)</f>
        <v/>
      </c>
      <c r="L14" s="19">
        <f>J14-K14</f>
        <v/>
      </c>
      <c r="M14" s="24">
        <f>IFERROR(L14/ABS(K14),"")</f>
        <v/>
      </c>
      <c r="N14" s="76" t="n"/>
    </row>
    <row r="15">
      <c r="A15" s="48" t="inlineStr">
        <is>
          <t>Subtotal biaya penambangan</t>
        </is>
      </c>
      <c r="B15" s="49" t="inlineStr">
        <is>
          <t>Rp juta</t>
        </is>
      </c>
      <c r="C15" s="50">
        <f>IF('C1 GEG Setting'!$C$6=1,0,INDEX('C5 GEG LR Aktual'!$D$25:$O$25,'C1 GEG Setting'!$C$6-1))</f>
        <v/>
      </c>
      <c r="D15" s="50">
        <f>INDEX('C5 GEG LR Aktual'!$D$25:$O$25,'C1 GEG Setting'!$C$6)</f>
        <v/>
      </c>
      <c r="E15" s="107">
        <f>D15-C15</f>
        <v/>
      </c>
      <c r="F15" s="54">
        <f>IFERROR(E15/ABS(C15),"")</f>
        <v/>
      </c>
      <c r="G15" s="50">
        <f>INDEX('C4 GEG LR Budget'!$D$25:$O$25,'C1 GEG Setting'!$C$6)</f>
        <v/>
      </c>
      <c r="H15" s="107">
        <f>D15-G15</f>
        <v/>
      </c>
      <c r="I15" s="54">
        <f>IFERROR(H15/ABS(G15),"")</f>
        <v/>
      </c>
      <c r="J15" s="50">
        <f>SUMIF('C5 GEG LR Aktual'!$D$5:$O$5,"&lt;="&amp;'C1 GEG Setting'!$C$6,'C5 GEG LR Aktual'!$D$25:$O$25)</f>
        <v/>
      </c>
      <c r="K15" s="50">
        <f>SUMIF('C4 GEG LR Budget'!$D$5:$O$5,"&lt;="&amp;'C1 GEG Setting'!$C$6,'C4 GEG LR Budget'!$D$25:$O$25)</f>
        <v/>
      </c>
      <c r="L15" s="107">
        <f>J15-K15</f>
        <v/>
      </c>
      <c r="M15" s="54">
        <f>IFERROR(L15/ABS(K15),"")</f>
        <v/>
      </c>
      <c r="N15" s="108" t="n"/>
    </row>
    <row r="16">
      <c r="A16" s="35" t="inlineStr">
        <is>
          <t>B. Pengolahan &amp; logistik</t>
        </is>
      </c>
    </row>
    <row r="17">
      <c r="A17" s="10" t="inlineStr">
        <is>
          <t>5201  Crushing &amp; pengolahan (CPP)</t>
        </is>
      </c>
      <c r="B17" s="3" t="inlineStr">
        <is>
          <t>Rp juta</t>
        </is>
      </c>
      <c r="C17" s="28">
        <f>IF('C1 GEG Setting'!$C$6=1,0,INDEX('C5 GEG LR Aktual'!$D$27:$O$27,'C1 GEG Setting'!$C$6-1))</f>
        <v/>
      </c>
      <c r="D17" s="28">
        <f>INDEX('C5 GEG LR Aktual'!$D$27:$O$27,'C1 GEG Setting'!$C$6)</f>
        <v/>
      </c>
      <c r="E17" s="19">
        <f>D17-C17</f>
        <v/>
      </c>
      <c r="F17" s="24">
        <f>IFERROR(E17/ABS(C17),"")</f>
        <v/>
      </c>
      <c r="G17" s="28">
        <f>INDEX('C4 GEG LR Budget'!$D$27:$O$27,'C1 GEG Setting'!$C$6)</f>
        <v/>
      </c>
      <c r="H17" s="19">
        <f>D17-G17</f>
        <v/>
      </c>
      <c r="I17" s="24">
        <f>IFERROR(H17/ABS(G17),"")</f>
        <v/>
      </c>
      <c r="J17" s="28">
        <f>SUMIF('C5 GEG LR Aktual'!$D$5:$O$5,"&lt;="&amp;'C1 GEG Setting'!$C$6,'C5 GEG LR Aktual'!$D$27:$O$27)</f>
        <v/>
      </c>
      <c r="K17" s="28">
        <f>SUMIF('C4 GEG LR Budget'!$D$5:$O$5,"&lt;="&amp;'C1 GEG Setting'!$C$6,'C4 GEG LR Budget'!$D$27:$O$27)</f>
        <v/>
      </c>
      <c r="L17" s="19">
        <f>J17-K17</f>
        <v/>
      </c>
      <c r="M17" s="24">
        <f>IFERROR(L17/ABS(K17),"")</f>
        <v/>
      </c>
      <c r="N17" s="76" t="n"/>
    </row>
    <row r="18">
      <c r="A18" s="10" t="inlineStr">
        <is>
          <t>5202  Hauling tambang – pelabuhan</t>
        </is>
      </c>
      <c r="B18" s="3" t="inlineStr">
        <is>
          <t>Rp juta</t>
        </is>
      </c>
      <c r="C18" s="28">
        <f>IF('C1 GEG Setting'!$C$6=1,0,INDEX('C5 GEG LR Aktual'!$D$28:$O$28,'C1 GEG Setting'!$C$6-1))</f>
        <v/>
      </c>
      <c r="D18" s="28">
        <f>INDEX('C5 GEG LR Aktual'!$D$28:$O$28,'C1 GEG Setting'!$C$6)</f>
        <v/>
      </c>
      <c r="E18" s="19">
        <f>D18-C18</f>
        <v/>
      </c>
      <c r="F18" s="24">
        <f>IFERROR(E18/ABS(C18),"")</f>
        <v/>
      </c>
      <c r="G18" s="28">
        <f>INDEX('C4 GEG LR Budget'!$D$28:$O$28,'C1 GEG Setting'!$C$6)</f>
        <v/>
      </c>
      <c r="H18" s="19">
        <f>D18-G18</f>
        <v/>
      </c>
      <c r="I18" s="24">
        <f>IFERROR(H18/ABS(G18),"")</f>
        <v/>
      </c>
      <c r="J18" s="28">
        <f>SUMIF('C5 GEG LR Aktual'!$D$5:$O$5,"&lt;="&amp;'C1 GEG Setting'!$C$6,'C5 GEG LR Aktual'!$D$28:$O$28)</f>
        <v/>
      </c>
      <c r="K18" s="28">
        <f>SUMIF('C4 GEG LR Budget'!$D$5:$O$5,"&lt;="&amp;'C1 GEG Setting'!$C$6,'C4 GEG LR Budget'!$D$28:$O$28)</f>
        <v/>
      </c>
      <c r="L18" s="19">
        <f>J18-K18</f>
        <v/>
      </c>
      <c r="M18" s="24">
        <f>IFERROR(L18/ABS(K18),"")</f>
        <v/>
      </c>
      <c r="N18" s="76" t="n"/>
    </row>
    <row r="19">
      <c r="A19" s="10" t="inlineStr">
        <is>
          <t>5203  Penanganan pelabuhan &amp; stockpile</t>
        </is>
      </c>
      <c r="B19" s="3" t="inlineStr">
        <is>
          <t>Rp juta</t>
        </is>
      </c>
      <c r="C19" s="28">
        <f>IF('C1 GEG Setting'!$C$6=1,0,INDEX('C5 GEG LR Aktual'!$D$29:$O$29,'C1 GEG Setting'!$C$6-1))</f>
        <v/>
      </c>
      <c r="D19" s="28">
        <f>INDEX('C5 GEG LR Aktual'!$D$29:$O$29,'C1 GEG Setting'!$C$6)</f>
        <v/>
      </c>
      <c r="E19" s="19">
        <f>D19-C19</f>
        <v/>
      </c>
      <c r="F19" s="24">
        <f>IFERROR(E19/ABS(C19),"")</f>
        <v/>
      </c>
      <c r="G19" s="28">
        <f>INDEX('C4 GEG LR Budget'!$D$29:$O$29,'C1 GEG Setting'!$C$6)</f>
        <v/>
      </c>
      <c r="H19" s="19">
        <f>D19-G19</f>
        <v/>
      </c>
      <c r="I19" s="24">
        <f>IFERROR(H19/ABS(G19),"")</f>
        <v/>
      </c>
      <c r="J19" s="28">
        <f>SUMIF('C5 GEG LR Aktual'!$D$5:$O$5,"&lt;="&amp;'C1 GEG Setting'!$C$6,'C5 GEG LR Aktual'!$D$29:$O$29)</f>
        <v/>
      </c>
      <c r="K19" s="28">
        <f>SUMIF('C4 GEG LR Budget'!$D$5:$O$5,"&lt;="&amp;'C1 GEG Setting'!$C$6,'C4 GEG LR Budget'!$D$29:$O$29)</f>
        <v/>
      </c>
      <c r="L19" s="19">
        <f>J19-K19</f>
        <v/>
      </c>
      <c r="M19" s="24">
        <f>IFERROR(L19/ABS(K19),"")</f>
        <v/>
      </c>
      <c r="N19" s="76" t="n"/>
    </row>
    <row r="20">
      <c r="A20" s="10" t="inlineStr">
        <is>
          <t>5204  Tongkang &amp; transshipment (barging)</t>
        </is>
      </c>
      <c r="B20" s="3" t="inlineStr">
        <is>
          <t>Rp juta</t>
        </is>
      </c>
      <c r="C20" s="28">
        <f>IF('C1 GEG Setting'!$C$6=1,0,INDEX('C5 GEG LR Aktual'!$D$30:$O$30,'C1 GEG Setting'!$C$6-1))</f>
        <v/>
      </c>
      <c r="D20" s="28">
        <f>INDEX('C5 GEG LR Aktual'!$D$30:$O$30,'C1 GEG Setting'!$C$6)</f>
        <v/>
      </c>
      <c r="E20" s="19">
        <f>D20-C20</f>
        <v/>
      </c>
      <c r="F20" s="24">
        <f>IFERROR(E20/ABS(C20),"")</f>
        <v/>
      </c>
      <c r="G20" s="28">
        <f>INDEX('C4 GEG LR Budget'!$D$30:$O$30,'C1 GEG Setting'!$C$6)</f>
        <v/>
      </c>
      <c r="H20" s="19">
        <f>D20-G20</f>
        <v/>
      </c>
      <c r="I20" s="24">
        <f>IFERROR(H20/ABS(G20),"")</f>
        <v/>
      </c>
      <c r="J20" s="28">
        <f>SUMIF('C5 GEG LR Aktual'!$D$5:$O$5,"&lt;="&amp;'C1 GEG Setting'!$C$6,'C5 GEG LR Aktual'!$D$30:$O$30)</f>
        <v/>
      </c>
      <c r="K20" s="28">
        <f>SUMIF('C4 GEG LR Budget'!$D$5:$O$5,"&lt;="&amp;'C1 GEG Setting'!$C$6,'C4 GEG LR Budget'!$D$30:$O$30)</f>
        <v/>
      </c>
      <c r="L20" s="19">
        <f>J20-K20</f>
        <v/>
      </c>
      <c r="M20" s="24">
        <f>IFERROR(L20/ABS(K20),"")</f>
        <v/>
      </c>
      <c r="N20" s="76" t="n"/>
    </row>
    <row r="21">
      <c r="A21" s="48" t="inlineStr">
        <is>
          <t>Subtotal pengolahan &amp; logistik</t>
        </is>
      </c>
      <c r="B21" s="49" t="inlineStr">
        <is>
          <t>Rp juta</t>
        </is>
      </c>
      <c r="C21" s="50">
        <f>IF('C1 GEG Setting'!$C$6=1,0,INDEX('C5 GEG LR Aktual'!$D$31:$O$31,'C1 GEG Setting'!$C$6-1))</f>
        <v/>
      </c>
      <c r="D21" s="50">
        <f>INDEX('C5 GEG LR Aktual'!$D$31:$O$31,'C1 GEG Setting'!$C$6)</f>
        <v/>
      </c>
      <c r="E21" s="107">
        <f>D21-C21</f>
        <v/>
      </c>
      <c r="F21" s="54">
        <f>IFERROR(E21/ABS(C21),"")</f>
        <v/>
      </c>
      <c r="G21" s="50">
        <f>INDEX('C4 GEG LR Budget'!$D$31:$O$31,'C1 GEG Setting'!$C$6)</f>
        <v/>
      </c>
      <c r="H21" s="107">
        <f>D21-G21</f>
        <v/>
      </c>
      <c r="I21" s="54">
        <f>IFERROR(H21/ABS(G21),"")</f>
        <v/>
      </c>
      <c r="J21" s="50">
        <f>SUMIF('C5 GEG LR Aktual'!$D$5:$O$5,"&lt;="&amp;'C1 GEG Setting'!$C$6,'C5 GEG LR Aktual'!$D$31:$O$31)</f>
        <v/>
      </c>
      <c r="K21" s="50">
        <f>SUMIF('C4 GEG LR Budget'!$D$5:$O$5,"&lt;="&amp;'C1 GEG Setting'!$C$6,'C4 GEG LR Budget'!$D$31:$O$31)</f>
        <v/>
      </c>
      <c r="L21" s="107">
        <f>J21-K21</f>
        <v/>
      </c>
      <c r="M21" s="54">
        <f>IFERROR(L21/ABS(K21),"")</f>
        <v/>
      </c>
      <c r="N21" s="108" t="n"/>
    </row>
    <row r="22">
      <c r="A22" s="35" t="inlineStr">
        <is>
          <t>C. Royalti</t>
        </is>
      </c>
    </row>
    <row r="23">
      <c r="A23" s="10" t="inlineStr">
        <is>
          <t>5301  Royalti / PNBP (DHPB)</t>
        </is>
      </c>
      <c r="B23" s="3" t="inlineStr">
        <is>
          <t>Rp juta</t>
        </is>
      </c>
      <c r="C23" s="28">
        <f>IF('C1 GEG Setting'!$C$6=1,0,INDEX('C5 GEG LR Aktual'!$D$33:$O$33,'C1 GEG Setting'!$C$6-1))</f>
        <v/>
      </c>
      <c r="D23" s="28">
        <f>INDEX('C5 GEG LR Aktual'!$D$33:$O$33,'C1 GEG Setting'!$C$6)</f>
        <v/>
      </c>
      <c r="E23" s="19">
        <f>D23-C23</f>
        <v/>
      </c>
      <c r="F23" s="24">
        <f>IFERROR(E23/ABS(C23),"")</f>
        <v/>
      </c>
      <c r="G23" s="28">
        <f>INDEX('C4 GEG LR Budget'!$D$33:$O$33,'C1 GEG Setting'!$C$6)</f>
        <v/>
      </c>
      <c r="H23" s="19">
        <f>D23-G23</f>
        <v/>
      </c>
      <c r="I23" s="24">
        <f>IFERROR(H23/ABS(G23),"")</f>
        <v/>
      </c>
      <c r="J23" s="28">
        <f>SUMIF('C5 GEG LR Aktual'!$D$5:$O$5,"&lt;="&amp;'C1 GEG Setting'!$C$6,'C5 GEG LR Aktual'!$D$33:$O$33)</f>
        <v/>
      </c>
      <c r="K23" s="28">
        <f>SUMIF('C4 GEG LR Budget'!$D$5:$O$5,"&lt;="&amp;'C1 GEG Setting'!$C$6,'C4 GEG LR Budget'!$D$33:$O$33)</f>
        <v/>
      </c>
      <c r="L23" s="19">
        <f>J23-K23</f>
        <v/>
      </c>
      <c r="M23" s="24">
        <f>IFERROR(L23/ABS(K23),"")</f>
        <v/>
      </c>
      <c r="N23" s="76" t="n"/>
    </row>
    <row r="24">
      <c r="A24" s="35" t="inlineStr">
        <is>
          <t>D. Overhead site</t>
        </is>
      </c>
    </row>
    <row r="25">
      <c r="A25" s="10" t="inlineStr">
        <is>
          <t>5401  Gaji &amp; tunjangan karyawan site</t>
        </is>
      </c>
      <c r="B25" s="3" t="inlineStr">
        <is>
          <t>Rp juta</t>
        </is>
      </c>
      <c r="C25" s="28">
        <f>IF('C1 GEG Setting'!$C$6=1,0,INDEX('C5 GEG LR Aktual'!$D$35:$O$35,'C1 GEG Setting'!$C$6-1))</f>
        <v/>
      </c>
      <c r="D25" s="28">
        <f>INDEX('C5 GEG LR Aktual'!$D$35:$O$35,'C1 GEG Setting'!$C$6)</f>
        <v/>
      </c>
      <c r="E25" s="19">
        <f>D25-C25</f>
        <v/>
      </c>
      <c r="F25" s="24">
        <f>IFERROR(E25/ABS(C25),"")</f>
        <v/>
      </c>
      <c r="G25" s="28">
        <f>INDEX('C4 GEG LR Budget'!$D$35:$O$35,'C1 GEG Setting'!$C$6)</f>
        <v/>
      </c>
      <c r="H25" s="19">
        <f>D25-G25</f>
        <v/>
      </c>
      <c r="I25" s="24">
        <f>IFERROR(H25/ABS(G25),"")</f>
        <v/>
      </c>
      <c r="J25" s="28">
        <f>SUMIF('C5 GEG LR Aktual'!$D$5:$O$5,"&lt;="&amp;'C1 GEG Setting'!$C$6,'C5 GEG LR Aktual'!$D$35:$O$35)</f>
        <v/>
      </c>
      <c r="K25" s="28">
        <f>SUMIF('C4 GEG LR Budget'!$D$5:$O$5,"&lt;="&amp;'C1 GEG Setting'!$C$6,'C4 GEG LR Budget'!$D$35:$O$35)</f>
        <v/>
      </c>
      <c r="L25" s="19">
        <f>J25-K25</f>
        <v/>
      </c>
      <c r="M25" s="24">
        <f>IFERROR(L25/ABS(K25),"")</f>
        <v/>
      </c>
      <c r="N25" s="76" t="n"/>
    </row>
    <row r="26">
      <c r="A26" s="10" t="inlineStr">
        <is>
          <t>5402  Camp, mess &amp; katering</t>
        </is>
      </c>
      <c r="B26" s="3" t="inlineStr">
        <is>
          <t>Rp juta</t>
        </is>
      </c>
      <c r="C26" s="28">
        <f>IF('C1 GEG Setting'!$C$6=1,0,INDEX('C5 GEG LR Aktual'!$D$36:$O$36,'C1 GEG Setting'!$C$6-1))</f>
        <v/>
      </c>
      <c r="D26" s="28">
        <f>INDEX('C5 GEG LR Aktual'!$D$36:$O$36,'C1 GEG Setting'!$C$6)</f>
        <v/>
      </c>
      <c r="E26" s="19">
        <f>D26-C26</f>
        <v/>
      </c>
      <c r="F26" s="24">
        <f>IFERROR(E26/ABS(C26),"")</f>
        <v/>
      </c>
      <c r="G26" s="28">
        <f>INDEX('C4 GEG LR Budget'!$D$36:$O$36,'C1 GEG Setting'!$C$6)</f>
        <v/>
      </c>
      <c r="H26" s="19">
        <f>D26-G26</f>
        <v/>
      </c>
      <c r="I26" s="24">
        <f>IFERROR(H26/ABS(G26),"")</f>
        <v/>
      </c>
      <c r="J26" s="28">
        <f>SUMIF('C5 GEG LR Aktual'!$D$5:$O$5,"&lt;="&amp;'C1 GEG Setting'!$C$6,'C5 GEG LR Aktual'!$D$36:$O$36)</f>
        <v/>
      </c>
      <c r="K26" s="28">
        <f>SUMIF('C4 GEG LR Budget'!$D$5:$O$5,"&lt;="&amp;'C1 GEG Setting'!$C$6,'C4 GEG LR Budget'!$D$36:$O$36)</f>
        <v/>
      </c>
      <c r="L26" s="19">
        <f>J26-K26</f>
        <v/>
      </c>
      <c r="M26" s="24">
        <f>IFERROR(L26/ABS(K26),"")</f>
        <v/>
      </c>
      <c r="N26" s="76" t="n"/>
    </row>
    <row r="27">
      <c r="A27" s="10" t="inlineStr">
        <is>
          <t>5403  K3 / HSE</t>
        </is>
      </c>
      <c r="B27" s="3" t="inlineStr">
        <is>
          <t>Rp juta</t>
        </is>
      </c>
      <c r="C27" s="28">
        <f>IF('C1 GEG Setting'!$C$6=1,0,INDEX('C5 GEG LR Aktual'!$D$37:$O$37,'C1 GEG Setting'!$C$6-1))</f>
        <v/>
      </c>
      <c r="D27" s="28">
        <f>INDEX('C5 GEG LR Aktual'!$D$37:$O$37,'C1 GEG Setting'!$C$6)</f>
        <v/>
      </c>
      <c r="E27" s="19">
        <f>D27-C27</f>
        <v/>
      </c>
      <c r="F27" s="24">
        <f>IFERROR(E27/ABS(C27),"")</f>
        <v/>
      </c>
      <c r="G27" s="28">
        <f>INDEX('C4 GEG LR Budget'!$D$37:$O$37,'C1 GEG Setting'!$C$6)</f>
        <v/>
      </c>
      <c r="H27" s="19">
        <f>D27-G27</f>
        <v/>
      </c>
      <c r="I27" s="24">
        <f>IFERROR(H27/ABS(G27),"")</f>
        <v/>
      </c>
      <c r="J27" s="28">
        <f>SUMIF('C5 GEG LR Aktual'!$D$5:$O$5,"&lt;="&amp;'C1 GEG Setting'!$C$6,'C5 GEG LR Aktual'!$D$37:$O$37)</f>
        <v/>
      </c>
      <c r="K27" s="28">
        <f>SUMIF('C4 GEG LR Budget'!$D$5:$O$5,"&lt;="&amp;'C1 GEG Setting'!$C$6,'C4 GEG LR Budget'!$D$37:$O$37)</f>
        <v/>
      </c>
      <c r="L27" s="19">
        <f>J27-K27</f>
        <v/>
      </c>
      <c r="M27" s="24">
        <f>IFERROR(L27/ABS(K27),"")</f>
        <v/>
      </c>
      <c r="N27" s="76" t="n"/>
    </row>
    <row r="28">
      <c r="A28" s="10" t="inlineStr">
        <is>
          <t>5404  Lingkungan &amp; reklamasi (provisi)</t>
        </is>
      </c>
      <c r="B28" s="3" t="inlineStr">
        <is>
          <t>Rp juta</t>
        </is>
      </c>
      <c r="C28" s="28">
        <f>IF('C1 GEG Setting'!$C$6=1,0,INDEX('C5 GEG LR Aktual'!$D$38:$O$38,'C1 GEG Setting'!$C$6-1))</f>
        <v/>
      </c>
      <c r="D28" s="28">
        <f>INDEX('C5 GEG LR Aktual'!$D$38:$O$38,'C1 GEG Setting'!$C$6)</f>
        <v/>
      </c>
      <c r="E28" s="19">
        <f>D28-C28</f>
        <v/>
      </c>
      <c r="F28" s="24">
        <f>IFERROR(E28/ABS(C28),"")</f>
        <v/>
      </c>
      <c r="G28" s="28">
        <f>INDEX('C4 GEG LR Budget'!$D$38:$O$38,'C1 GEG Setting'!$C$6)</f>
        <v/>
      </c>
      <c r="H28" s="19">
        <f>D28-G28</f>
        <v/>
      </c>
      <c r="I28" s="24">
        <f>IFERROR(H28/ABS(G28),"")</f>
        <v/>
      </c>
      <c r="J28" s="28">
        <f>SUMIF('C5 GEG LR Aktual'!$D$5:$O$5,"&lt;="&amp;'C1 GEG Setting'!$C$6,'C5 GEG LR Aktual'!$D$38:$O$38)</f>
        <v/>
      </c>
      <c r="K28" s="28">
        <f>SUMIF('C4 GEG LR Budget'!$D$5:$O$5,"&lt;="&amp;'C1 GEG Setting'!$C$6,'C4 GEG LR Budget'!$D$38:$O$38)</f>
        <v/>
      </c>
      <c r="L28" s="19">
        <f>J28-K28</f>
        <v/>
      </c>
      <c r="M28" s="24">
        <f>IFERROR(L28/ABS(K28),"")</f>
        <v/>
      </c>
      <c r="N28" s="76" t="n"/>
    </row>
    <row r="29">
      <c r="A29" s="10" t="inlineStr">
        <is>
          <t>5405  PPM / CSR</t>
        </is>
      </c>
      <c r="B29" s="3" t="inlineStr">
        <is>
          <t>Rp juta</t>
        </is>
      </c>
      <c r="C29" s="28">
        <f>IF('C1 GEG Setting'!$C$6=1,0,INDEX('C5 GEG LR Aktual'!$D$39:$O$39,'C1 GEG Setting'!$C$6-1))</f>
        <v/>
      </c>
      <c r="D29" s="28">
        <f>INDEX('C5 GEG LR Aktual'!$D$39:$O$39,'C1 GEG Setting'!$C$6)</f>
        <v/>
      </c>
      <c r="E29" s="19">
        <f>D29-C29</f>
        <v/>
      </c>
      <c r="F29" s="24">
        <f>IFERROR(E29/ABS(C29),"")</f>
        <v/>
      </c>
      <c r="G29" s="28">
        <f>INDEX('C4 GEG LR Budget'!$D$39:$O$39,'C1 GEG Setting'!$C$6)</f>
        <v/>
      </c>
      <c r="H29" s="19">
        <f>D29-G29</f>
        <v/>
      </c>
      <c r="I29" s="24">
        <f>IFERROR(H29/ABS(G29),"")</f>
        <v/>
      </c>
      <c r="J29" s="28">
        <f>SUMIF('C5 GEG LR Aktual'!$D$5:$O$5,"&lt;="&amp;'C1 GEG Setting'!$C$6,'C5 GEG LR Aktual'!$D$39:$O$39)</f>
        <v/>
      </c>
      <c r="K29" s="28">
        <f>SUMIF('C4 GEG LR Budget'!$D$5:$O$5,"&lt;="&amp;'C1 GEG Setting'!$C$6,'C4 GEG LR Budget'!$D$39:$O$39)</f>
        <v/>
      </c>
      <c r="L29" s="19">
        <f>J29-K29</f>
        <v/>
      </c>
      <c r="M29" s="24">
        <f>IFERROR(L29/ABS(K29),"")</f>
        <v/>
      </c>
      <c r="N29" s="76" t="n"/>
    </row>
    <row r="30">
      <c r="A30" s="10" t="inlineStr">
        <is>
          <t>5406  Iuran tetap &amp; kompensasi lahan</t>
        </is>
      </c>
      <c r="B30" s="3" t="inlineStr">
        <is>
          <t>Rp juta</t>
        </is>
      </c>
      <c r="C30" s="28">
        <f>IF('C1 GEG Setting'!$C$6=1,0,INDEX('C5 GEG LR Aktual'!$D$40:$O$40,'C1 GEG Setting'!$C$6-1))</f>
        <v/>
      </c>
      <c r="D30" s="28">
        <f>INDEX('C5 GEG LR Aktual'!$D$40:$O$40,'C1 GEG Setting'!$C$6)</f>
        <v/>
      </c>
      <c r="E30" s="19">
        <f>D30-C30</f>
        <v/>
      </c>
      <c r="F30" s="24">
        <f>IFERROR(E30/ABS(C30),"")</f>
        <v/>
      </c>
      <c r="G30" s="28">
        <f>INDEX('C4 GEG LR Budget'!$D$40:$O$40,'C1 GEG Setting'!$C$6)</f>
        <v/>
      </c>
      <c r="H30" s="19">
        <f>D30-G30</f>
        <v/>
      </c>
      <c r="I30" s="24">
        <f>IFERROR(H30/ABS(G30),"")</f>
        <v/>
      </c>
      <c r="J30" s="28">
        <f>SUMIF('C5 GEG LR Aktual'!$D$5:$O$5,"&lt;="&amp;'C1 GEG Setting'!$C$6,'C5 GEG LR Aktual'!$D$40:$O$40)</f>
        <v/>
      </c>
      <c r="K30" s="28">
        <f>SUMIF('C4 GEG LR Budget'!$D$5:$O$5,"&lt;="&amp;'C1 GEG Setting'!$C$6,'C4 GEG LR Budget'!$D$40:$O$40)</f>
        <v/>
      </c>
      <c r="L30" s="19">
        <f>J30-K30</f>
        <v/>
      </c>
      <c r="M30" s="24">
        <f>IFERROR(L30/ABS(K30),"")</f>
        <v/>
      </c>
      <c r="N30" s="76" t="n"/>
    </row>
    <row r="31">
      <c r="A31" s="48" t="inlineStr">
        <is>
          <t>Subtotal overhead site</t>
        </is>
      </c>
      <c r="B31" s="49" t="inlineStr">
        <is>
          <t>Rp juta</t>
        </is>
      </c>
      <c r="C31" s="50">
        <f>IF('C1 GEG Setting'!$C$6=1,0,INDEX('C5 GEG LR Aktual'!$D$41:$O$41,'C1 GEG Setting'!$C$6-1))</f>
        <v/>
      </c>
      <c r="D31" s="50">
        <f>INDEX('C5 GEG LR Aktual'!$D$41:$O$41,'C1 GEG Setting'!$C$6)</f>
        <v/>
      </c>
      <c r="E31" s="107">
        <f>D31-C31</f>
        <v/>
      </c>
      <c r="F31" s="54">
        <f>IFERROR(E31/ABS(C31),"")</f>
        <v/>
      </c>
      <c r="G31" s="50">
        <f>INDEX('C4 GEG LR Budget'!$D$41:$O$41,'C1 GEG Setting'!$C$6)</f>
        <v/>
      </c>
      <c r="H31" s="107">
        <f>D31-G31</f>
        <v/>
      </c>
      <c r="I31" s="54">
        <f>IFERROR(H31/ABS(G31),"")</f>
        <v/>
      </c>
      <c r="J31" s="50">
        <f>SUMIF('C5 GEG LR Aktual'!$D$5:$O$5,"&lt;="&amp;'C1 GEG Setting'!$C$6,'C5 GEG LR Aktual'!$D$41:$O$41)</f>
        <v/>
      </c>
      <c r="K31" s="50">
        <f>SUMIF('C4 GEG LR Budget'!$D$5:$O$5,"&lt;="&amp;'C1 GEG Setting'!$C$6,'C4 GEG LR Budget'!$D$41:$O$41)</f>
        <v/>
      </c>
      <c r="L31" s="107">
        <f>J31-K31</f>
        <v/>
      </c>
      <c r="M31" s="54">
        <f>IFERROR(L31/ABS(K31),"")</f>
        <v/>
      </c>
      <c r="N31" s="108" t="n"/>
    </row>
    <row r="32">
      <c r="A32" s="35" t="inlineStr">
        <is>
          <t>E. Penyusutan &amp; amortisasi</t>
        </is>
      </c>
    </row>
    <row r="33">
      <c r="A33" s="10" t="inlineStr">
        <is>
          <t>5501  Penyusutan aset tetap</t>
        </is>
      </c>
      <c r="B33" s="3" t="inlineStr">
        <is>
          <t>Rp juta</t>
        </is>
      </c>
      <c r="C33" s="28">
        <f>IF('C1 GEG Setting'!$C$6=1,0,INDEX('C5 GEG LR Aktual'!$D$43:$O$43,'C1 GEG Setting'!$C$6-1))</f>
        <v/>
      </c>
      <c r="D33" s="28">
        <f>INDEX('C5 GEG LR Aktual'!$D$43:$O$43,'C1 GEG Setting'!$C$6)</f>
        <v/>
      </c>
      <c r="E33" s="19">
        <f>D33-C33</f>
        <v/>
      </c>
      <c r="F33" s="24">
        <f>IFERROR(E33/ABS(C33),"")</f>
        <v/>
      </c>
      <c r="G33" s="28">
        <f>INDEX('C4 GEG LR Budget'!$D$43:$O$43,'C1 GEG Setting'!$C$6)</f>
        <v/>
      </c>
      <c r="H33" s="19">
        <f>D33-G33</f>
        <v/>
      </c>
      <c r="I33" s="24">
        <f>IFERROR(H33/ABS(G33),"")</f>
        <v/>
      </c>
      <c r="J33" s="28">
        <f>SUMIF('C5 GEG LR Aktual'!$D$5:$O$5,"&lt;="&amp;'C1 GEG Setting'!$C$6,'C5 GEG LR Aktual'!$D$43:$O$43)</f>
        <v/>
      </c>
      <c r="K33" s="28">
        <f>SUMIF('C4 GEG LR Budget'!$D$5:$O$5,"&lt;="&amp;'C1 GEG Setting'!$C$6,'C4 GEG LR Budget'!$D$43:$O$43)</f>
        <v/>
      </c>
      <c r="L33" s="19">
        <f>J33-K33</f>
        <v/>
      </c>
      <c r="M33" s="24">
        <f>IFERROR(L33/ABS(K33),"")</f>
        <v/>
      </c>
      <c r="N33" s="76" t="n"/>
    </row>
    <row r="34">
      <c r="A34" s="10" t="inlineStr">
        <is>
          <t>5502  Amortisasi properti pertambangan</t>
        </is>
      </c>
      <c r="B34" s="3" t="inlineStr">
        <is>
          <t>Rp juta</t>
        </is>
      </c>
      <c r="C34" s="28">
        <f>IF('C1 GEG Setting'!$C$6=1,0,INDEX('C5 GEG LR Aktual'!$D$44:$O$44,'C1 GEG Setting'!$C$6-1))</f>
        <v/>
      </c>
      <c r="D34" s="28">
        <f>INDEX('C5 GEG LR Aktual'!$D$44:$O$44,'C1 GEG Setting'!$C$6)</f>
        <v/>
      </c>
      <c r="E34" s="19">
        <f>D34-C34</f>
        <v/>
      </c>
      <c r="F34" s="24">
        <f>IFERROR(E34/ABS(C34),"")</f>
        <v/>
      </c>
      <c r="G34" s="28">
        <f>INDEX('C4 GEG LR Budget'!$D$44:$O$44,'C1 GEG Setting'!$C$6)</f>
        <v/>
      </c>
      <c r="H34" s="19">
        <f>D34-G34</f>
        <v/>
      </c>
      <c r="I34" s="24">
        <f>IFERROR(H34/ABS(G34),"")</f>
        <v/>
      </c>
      <c r="J34" s="28">
        <f>SUMIF('C5 GEG LR Aktual'!$D$5:$O$5,"&lt;="&amp;'C1 GEG Setting'!$C$6,'C5 GEG LR Aktual'!$D$44:$O$44)</f>
        <v/>
      </c>
      <c r="K34" s="28">
        <f>SUMIF('C4 GEG LR Budget'!$D$5:$O$5,"&lt;="&amp;'C1 GEG Setting'!$C$6,'C4 GEG LR Budget'!$D$44:$O$44)</f>
        <v/>
      </c>
      <c r="L34" s="19">
        <f>J34-K34</f>
        <v/>
      </c>
      <c r="M34" s="24">
        <f>IFERROR(L34/ABS(K34),"")</f>
        <v/>
      </c>
      <c r="N34" s="76" t="n"/>
    </row>
    <row r="35">
      <c r="A35" s="10" t="inlineStr">
        <is>
          <t>5503  Amortisasi biaya pengupasan tangguhan</t>
        </is>
      </c>
      <c r="B35" s="3" t="inlineStr">
        <is>
          <t>Rp juta</t>
        </is>
      </c>
      <c r="C35" s="28">
        <f>IF('C1 GEG Setting'!$C$6=1,0,INDEX('C5 GEG LR Aktual'!$D$45:$O$45,'C1 GEG Setting'!$C$6-1))</f>
        <v/>
      </c>
      <c r="D35" s="28">
        <f>INDEX('C5 GEG LR Aktual'!$D$45:$O$45,'C1 GEG Setting'!$C$6)</f>
        <v/>
      </c>
      <c r="E35" s="19">
        <f>D35-C35</f>
        <v/>
      </c>
      <c r="F35" s="24">
        <f>IFERROR(E35/ABS(C35),"")</f>
        <v/>
      </c>
      <c r="G35" s="28">
        <f>INDEX('C4 GEG LR Budget'!$D$45:$O$45,'C1 GEG Setting'!$C$6)</f>
        <v/>
      </c>
      <c r="H35" s="19">
        <f>D35-G35</f>
        <v/>
      </c>
      <c r="I35" s="24">
        <f>IFERROR(H35/ABS(G35),"")</f>
        <v/>
      </c>
      <c r="J35" s="28">
        <f>SUMIF('C5 GEG LR Aktual'!$D$5:$O$5,"&lt;="&amp;'C1 GEG Setting'!$C$6,'C5 GEG LR Aktual'!$D$45:$O$45)</f>
        <v/>
      </c>
      <c r="K35" s="28">
        <f>SUMIF('C4 GEG LR Budget'!$D$5:$O$5,"&lt;="&amp;'C1 GEG Setting'!$C$6,'C4 GEG LR Budget'!$D$45:$O$45)</f>
        <v/>
      </c>
      <c r="L35" s="19">
        <f>J35-K35</f>
        <v/>
      </c>
      <c r="M35" s="24">
        <f>IFERROR(L35/ABS(K35),"")</f>
        <v/>
      </c>
      <c r="N35" s="76" t="n"/>
    </row>
    <row r="36">
      <c r="A36" s="48" t="inlineStr">
        <is>
          <t>Subtotal penyusutan &amp; amortisasi</t>
        </is>
      </c>
      <c r="B36" s="49" t="inlineStr">
        <is>
          <t>Rp juta</t>
        </is>
      </c>
      <c r="C36" s="50">
        <f>IF('C1 GEG Setting'!$C$6=1,0,INDEX('C5 GEG LR Aktual'!$D$46:$O$46,'C1 GEG Setting'!$C$6-1))</f>
        <v/>
      </c>
      <c r="D36" s="50">
        <f>INDEX('C5 GEG LR Aktual'!$D$46:$O$46,'C1 GEG Setting'!$C$6)</f>
        <v/>
      </c>
      <c r="E36" s="107">
        <f>D36-C36</f>
        <v/>
      </c>
      <c r="F36" s="54">
        <f>IFERROR(E36/ABS(C36),"")</f>
        <v/>
      </c>
      <c r="G36" s="50">
        <f>INDEX('C4 GEG LR Budget'!$D$46:$O$46,'C1 GEG Setting'!$C$6)</f>
        <v/>
      </c>
      <c r="H36" s="107">
        <f>D36-G36</f>
        <v/>
      </c>
      <c r="I36" s="54">
        <f>IFERROR(H36/ABS(G36),"")</f>
        <v/>
      </c>
      <c r="J36" s="50">
        <f>SUMIF('C5 GEG LR Aktual'!$D$5:$O$5,"&lt;="&amp;'C1 GEG Setting'!$C$6,'C5 GEG LR Aktual'!$D$46:$O$46)</f>
        <v/>
      </c>
      <c r="K36" s="50">
        <f>SUMIF('C4 GEG LR Budget'!$D$5:$O$5,"&lt;="&amp;'C1 GEG Setting'!$C$6,'C4 GEG LR Budget'!$D$46:$O$46)</f>
        <v/>
      </c>
      <c r="L36" s="107">
        <f>J36-K36</f>
        <v/>
      </c>
      <c r="M36" s="54">
        <f>IFERROR(L36/ABS(K36),"")</f>
        <v/>
      </c>
      <c r="N36" s="108" t="n"/>
    </row>
    <row r="37">
      <c r="A37" s="48" t="inlineStr">
        <is>
          <t>Total biaya produksi</t>
        </is>
      </c>
      <c r="B37" s="49" t="inlineStr">
        <is>
          <t>Rp juta</t>
        </is>
      </c>
      <c r="C37" s="50">
        <f>IF('C1 GEG Setting'!$C$6=1,0,INDEX('C5 GEG LR Aktual'!$D$47:$O$47,'C1 GEG Setting'!$C$6-1))</f>
        <v/>
      </c>
      <c r="D37" s="50">
        <f>INDEX('C5 GEG LR Aktual'!$D$47:$O$47,'C1 GEG Setting'!$C$6)</f>
        <v/>
      </c>
      <c r="E37" s="107">
        <f>D37-C37</f>
        <v/>
      </c>
      <c r="F37" s="54">
        <f>IFERROR(E37/ABS(C37),"")</f>
        <v/>
      </c>
      <c r="G37" s="50">
        <f>INDEX('C4 GEG LR Budget'!$D$47:$O$47,'C1 GEG Setting'!$C$6)</f>
        <v/>
      </c>
      <c r="H37" s="107">
        <f>D37-G37</f>
        <v/>
      </c>
      <c r="I37" s="54">
        <f>IFERROR(H37/ABS(G37),"")</f>
        <v/>
      </c>
      <c r="J37" s="50">
        <f>SUMIF('C5 GEG LR Aktual'!$D$5:$O$5,"&lt;="&amp;'C1 GEG Setting'!$C$6,'C5 GEG LR Aktual'!$D$47:$O$47)</f>
        <v/>
      </c>
      <c r="K37" s="50">
        <f>SUMIF('C4 GEG LR Budget'!$D$5:$O$5,"&lt;="&amp;'C1 GEG Setting'!$C$6,'C4 GEG LR Budget'!$D$47:$O$47)</f>
        <v/>
      </c>
      <c r="L37" s="107">
        <f>J37-K37</f>
        <v/>
      </c>
      <c r="M37" s="54">
        <f>IFERROR(L37/ABS(K37),"")</f>
        <v/>
      </c>
      <c r="N37" s="108" t="n"/>
    </row>
    <row r="38">
      <c r="A38" s="10" t="inlineStr">
        <is>
          <t>5601  Perubahan persediaan batubara (awal – akhir)</t>
        </is>
      </c>
      <c r="B38" s="3" t="inlineStr">
        <is>
          <t>Rp juta</t>
        </is>
      </c>
      <c r="C38" s="28">
        <f>IF('C1 GEG Setting'!$C$6=1,0,INDEX('C5 GEG LR Aktual'!$D$48:$O$48,'C1 GEG Setting'!$C$6-1))</f>
        <v/>
      </c>
      <c r="D38" s="28">
        <f>INDEX('C5 GEG LR Aktual'!$D$48:$O$48,'C1 GEG Setting'!$C$6)</f>
        <v/>
      </c>
      <c r="E38" s="19">
        <f>D38-C38</f>
        <v/>
      </c>
      <c r="F38" s="24">
        <f>IFERROR(E38/ABS(C38),"")</f>
        <v/>
      </c>
      <c r="G38" s="28">
        <f>INDEX('C4 GEG LR Budget'!$D$48:$O$48,'C1 GEG Setting'!$C$6)</f>
        <v/>
      </c>
      <c r="H38" s="19">
        <f>D38-G38</f>
        <v/>
      </c>
      <c r="I38" s="24">
        <f>IFERROR(H38/ABS(G38),"")</f>
        <v/>
      </c>
      <c r="J38" s="28">
        <f>SUMIF('C5 GEG LR Aktual'!$D$5:$O$5,"&lt;="&amp;'C1 GEG Setting'!$C$6,'C5 GEG LR Aktual'!$D$48:$O$48)</f>
        <v/>
      </c>
      <c r="K38" s="28">
        <f>SUMIF('C4 GEG LR Budget'!$D$5:$O$5,"&lt;="&amp;'C1 GEG Setting'!$C$6,'C4 GEG LR Budget'!$D$48:$O$48)</f>
        <v/>
      </c>
      <c r="L38" s="19">
        <f>J38-K38</f>
        <v/>
      </c>
      <c r="M38" s="24">
        <f>IFERROR(L38/ABS(K38),"")</f>
        <v/>
      </c>
      <c r="N38" s="76" t="n"/>
    </row>
    <row r="39">
      <c r="A39" s="48" t="inlineStr">
        <is>
          <t>BEBAN POKOK PENDAPATAN</t>
        </is>
      </c>
      <c r="B39" s="49" t="inlineStr">
        <is>
          <t>Rp juta</t>
        </is>
      </c>
      <c r="C39" s="50">
        <f>IF('C1 GEG Setting'!$C$6=1,0,INDEX('C5 GEG LR Aktual'!$D$49:$O$49,'C1 GEG Setting'!$C$6-1))</f>
        <v/>
      </c>
      <c r="D39" s="50">
        <f>INDEX('C5 GEG LR Aktual'!$D$49:$O$49,'C1 GEG Setting'!$C$6)</f>
        <v/>
      </c>
      <c r="E39" s="107">
        <f>D39-C39</f>
        <v/>
      </c>
      <c r="F39" s="54">
        <f>IFERROR(E39/ABS(C39),"")</f>
        <v/>
      </c>
      <c r="G39" s="50">
        <f>INDEX('C4 GEG LR Budget'!$D$49:$O$49,'C1 GEG Setting'!$C$6)</f>
        <v/>
      </c>
      <c r="H39" s="107">
        <f>D39-G39</f>
        <v/>
      </c>
      <c r="I39" s="54">
        <f>IFERROR(H39/ABS(G39),"")</f>
        <v/>
      </c>
      <c r="J39" s="50">
        <f>SUMIF('C5 GEG LR Aktual'!$D$5:$O$5,"&lt;="&amp;'C1 GEG Setting'!$C$6,'C5 GEG LR Aktual'!$D$49:$O$49)</f>
        <v/>
      </c>
      <c r="K39" s="50">
        <f>SUMIF('C4 GEG LR Budget'!$D$5:$O$5,"&lt;="&amp;'C1 GEG Setting'!$C$6,'C4 GEG LR Budget'!$D$49:$O$49)</f>
        <v/>
      </c>
      <c r="L39" s="107">
        <f>J39-K39</f>
        <v/>
      </c>
      <c r="M39" s="54">
        <f>IFERROR(L39/ABS(K39),"")</f>
        <v/>
      </c>
      <c r="N39" s="108" t="n"/>
    </row>
    <row r="40">
      <c r="A40" s="35" t="inlineStr">
        <is>
          <t>Beban penjualan</t>
        </is>
      </c>
    </row>
    <row r="41">
      <c r="A41" s="10" t="inlineStr">
        <is>
          <t>6101  Pengapalan laut (penjualan CIF)</t>
        </is>
      </c>
      <c r="B41" s="3" t="inlineStr">
        <is>
          <t>Rp juta</t>
        </is>
      </c>
      <c r="C41" s="28">
        <f>IF('C1 GEG Setting'!$C$6=1,0,INDEX('C5 GEG LR Aktual'!$D$54:$O$54,'C1 GEG Setting'!$C$6-1))</f>
        <v/>
      </c>
      <c r="D41" s="28">
        <f>INDEX('C5 GEG LR Aktual'!$D$54:$O$54,'C1 GEG Setting'!$C$6)</f>
        <v/>
      </c>
      <c r="E41" s="19">
        <f>D41-C41</f>
        <v/>
      </c>
      <c r="F41" s="24">
        <f>IFERROR(E41/ABS(C41),"")</f>
        <v/>
      </c>
      <c r="G41" s="28">
        <f>INDEX('C4 GEG LR Budget'!$D$54:$O$54,'C1 GEG Setting'!$C$6)</f>
        <v/>
      </c>
      <c r="H41" s="19">
        <f>D41-G41</f>
        <v/>
      </c>
      <c r="I41" s="24">
        <f>IFERROR(H41/ABS(G41),"")</f>
        <v/>
      </c>
      <c r="J41" s="28">
        <f>SUMIF('C5 GEG LR Aktual'!$D$5:$O$5,"&lt;="&amp;'C1 GEG Setting'!$C$6,'C5 GEG LR Aktual'!$D$54:$O$54)</f>
        <v/>
      </c>
      <c r="K41" s="28">
        <f>SUMIF('C4 GEG LR Budget'!$D$5:$O$5,"&lt;="&amp;'C1 GEG Setting'!$C$6,'C4 GEG LR Budget'!$D$54:$O$54)</f>
        <v/>
      </c>
      <c r="L41" s="19">
        <f>J41-K41</f>
        <v/>
      </c>
      <c r="M41" s="24">
        <f>IFERROR(L41/ABS(K41),"")</f>
        <v/>
      </c>
      <c r="N41" s="76" t="n"/>
    </row>
    <row r="42">
      <c r="A42" s="10" t="inlineStr">
        <is>
          <t>6102  Komisi agen penjualan</t>
        </is>
      </c>
      <c r="B42" s="3" t="inlineStr">
        <is>
          <t>Rp juta</t>
        </is>
      </c>
      <c r="C42" s="28">
        <f>IF('C1 GEG Setting'!$C$6=1,0,INDEX('C5 GEG LR Aktual'!$D$55:$O$55,'C1 GEG Setting'!$C$6-1))</f>
        <v/>
      </c>
      <c r="D42" s="28">
        <f>INDEX('C5 GEG LR Aktual'!$D$55:$O$55,'C1 GEG Setting'!$C$6)</f>
        <v/>
      </c>
      <c r="E42" s="19">
        <f>D42-C42</f>
        <v/>
      </c>
      <c r="F42" s="24">
        <f>IFERROR(E42/ABS(C42),"")</f>
        <v/>
      </c>
      <c r="G42" s="28">
        <f>INDEX('C4 GEG LR Budget'!$D$55:$O$55,'C1 GEG Setting'!$C$6)</f>
        <v/>
      </c>
      <c r="H42" s="19">
        <f>D42-G42</f>
        <v/>
      </c>
      <c r="I42" s="24">
        <f>IFERROR(H42/ABS(G42),"")</f>
        <v/>
      </c>
      <c r="J42" s="28">
        <f>SUMIF('C5 GEG LR Aktual'!$D$5:$O$5,"&lt;="&amp;'C1 GEG Setting'!$C$6,'C5 GEG LR Aktual'!$D$55:$O$55)</f>
        <v/>
      </c>
      <c r="K42" s="28">
        <f>SUMIF('C4 GEG LR Budget'!$D$5:$O$5,"&lt;="&amp;'C1 GEG Setting'!$C$6,'C4 GEG LR Budget'!$D$55:$O$55)</f>
        <v/>
      </c>
      <c r="L42" s="19">
        <f>J42-K42</f>
        <v/>
      </c>
      <c r="M42" s="24">
        <f>IFERROR(L42/ABS(K42),"")</f>
        <v/>
      </c>
      <c r="N42" s="76" t="n"/>
    </row>
    <row r="43">
      <c r="A43" s="10" t="inlineStr">
        <is>
          <t>6103  Surveyor independen &amp; analisa kualitas</t>
        </is>
      </c>
      <c r="B43" s="3" t="inlineStr">
        <is>
          <t>Rp juta</t>
        </is>
      </c>
      <c r="C43" s="28">
        <f>IF('C1 GEG Setting'!$C$6=1,0,INDEX('C5 GEG LR Aktual'!$D$56:$O$56,'C1 GEG Setting'!$C$6-1))</f>
        <v/>
      </c>
      <c r="D43" s="28">
        <f>INDEX('C5 GEG LR Aktual'!$D$56:$O$56,'C1 GEG Setting'!$C$6)</f>
        <v/>
      </c>
      <c r="E43" s="19">
        <f>D43-C43</f>
        <v/>
      </c>
      <c r="F43" s="24">
        <f>IFERROR(E43/ABS(C43),"")</f>
        <v/>
      </c>
      <c r="G43" s="28">
        <f>INDEX('C4 GEG LR Budget'!$D$56:$O$56,'C1 GEG Setting'!$C$6)</f>
        <v/>
      </c>
      <c r="H43" s="19">
        <f>D43-G43</f>
        <v/>
      </c>
      <c r="I43" s="24">
        <f>IFERROR(H43/ABS(G43),"")</f>
        <v/>
      </c>
      <c r="J43" s="28">
        <f>SUMIF('C5 GEG LR Aktual'!$D$5:$O$5,"&lt;="&amp;'C1 GEG Setting'!$C$6,'C5 GEG LR Aktual'!$D$56:$O$56)</f>
        <v/>
      </c>
      <c r="K43" s="28">
        <f>SUMIF('C4 GEG LR Budget'!$D$5:$O$5,"&lt;="&amp;'C1 GEG Setting'!$C$6,'C4 GEG LR Budget'!$D$56:$O$56)</f>
        <v/>
      </c>
      <c r="L43" s="19">
        <f>J43-K43</f>
        <v/>
      </c>
      <c r="M43" s="24">
        <f>IFERROR(L43/ABS(K43),"")</f>
        <v/>
      </c>
      <c r="N43" s="76" t="n"/>
    </row>
    <row r="44">
      <c r="A44" s="10" t="inlineStr">
        <is>
          <t>6104  Demurrage</t>
        </is>
      </c>
      <c r="B44" s="3" t="inlineStr">
        <is>
          <t>Rp juta</t>
        </is>
      </c>
      <c r="C44" s="28">
        <f>IF('C1 GEG Setting'!$C$6=1,0,INDEX('C5 GEG LR Aktual'!$D$57:$O$57,'C1 GEG Setting'!$C$6-1))</f>
        <v/>
      </c>
      <c r="D44" s="28">
        <f>INDEX('C5 GEG LR Aktual'!$D$57:$O$57,'C1 GEG Setting'!$C$6)</f>
        <v/>
      </c>
      <c r="E44" s="19">
        <f>D44-C44</f>
        <v/>
      </c>
      <c r="F44" s="24">
        <f>IFERROR(E44/ABS(C44),"")</f>
        <v/>
      </c>
      <c r="G44" s="28">
        <f>INDEX('C4 GEG LR Budget'!$D$57:$O$57,'C1 GEG Setting'!$C$6)</f>
        <v/>
      </c>
      <c r="H44" s="19">
        <f>D44-G44</f>
        <v/>
      </c>
      <c r="I44" s="24">
        <f>IFERROR(H44/ABS(G44),"")</f>
        <v/>
      </c>
      <c r="J44" s="28">
        <f>SUMIF('C5 GEG LR Aktual'!$D$5:$O$5,"&lt;="&amp;'C1 GEG Setting'!$C$6,'C5 GEG LR Aktual'!$D$57:$O$57)</f>
        <v/>
      </c>
      <c r="K44" s="28">
        <f>SUMIF('C4 GEG LR Budget'!$D$5:$O$5,"&lt;="&amp;'C1 GEG Setting'!$C$6,'C4 GEG LR Budget'!$D$57:$O$57)</f>
        <v/>
      </c>
      <c r="L44" s="19">
        <f>J44-K44</f>
        <v/>
      </c>
      <c r="M44" s="24">
        <f>IFERROR(L44/ABS(K44),"")</f>
        <v/>
      </c>
      <c r="N44" s="76" t="n"/>
    </row>
    <row r="45">
      <c r="A45" s="10" t="inlineStr">
        <is>
          <t>6105  Dokumen ekspor &amp; pungutan</t>
        </is>
      </c>
      <c r="B45" s="3" t="inlineStr">
        <is>
          <t>Rp juta</t>
        </is>
      </c>
      <c r="C45" s="28">
        <f>IF('C1 GEG Setting'!$C$6=1,0,INDEX('C5 GEG LR Aktual'!$D$58:$O$58,'C1 GEG Setting'!$C$6-1))</f>
        <v/>
      </c>
      <c r="D45" s="28">
        <f>INDEX('C5 GEG LR Aktual'!$D$58:$O$58,'C1 GEG Setting'!$C$6)</f>
        <v/>
      </c>
      <c r="E45" s="19">
        <f>D45-C45</f>
        <v/>
      </c>
      <c r="F45" s="24">
        <f>IFERROR(E45/ABS(C45),"")</f>
        <v/>
      </c>
      <c r="G45" s="28">
        <f>INDEX('C4 GEG LR Budget'!$D$58:$O$58,'C1 GEG Setting'!$C$6)</f>
        <v/>
      </c>
      <c r="H45" s="19">
        <f>D45-G45</f>
        <v/>
      </c>
      <c r="I45" s="24">
        <f>IFERROR(H45/ABS(G45),"")</f>
        <v/>
      </c>
      <c r="J45" s="28">
        <f>SUMIF('C5 GEG LR Aktual'!$D$5:$O$5,"&lt;="&amp;'C1 GEG Setting'!$C$6,'C5 GEG LR Aktual'!$D$58:$O$58)</f>
        <v/>
      </c>
      <c r="K45" s="28">
        <f>SUMIF('C4 GEG LR Budget'!$D$5:$O$5,"&lt;="&amp;'C1 GEG Setting'!$C$6,'C4 GEG LR Budget'!$D$58:$O$58)</f>
        <v/>
      </c>
      <c r="L45" s="19">
        <f>J45-K45</f>
        <v/>
      </c>
      <c r="M45" s="24">
        <f>IFERROR(L45/ABS(K45),"")</f>
        <v/>
      </c>
      <c r="N45" s="76" t="n"/>
    </row>
    <row r="46">
      <c r="A46" s="10" t="inlineStr">
        <is>
          <t>6106  Pemasaran &amp; promosi</t>
        </is>
      </c>
      <c r="B46" s="3" t="inlineStr">
        <is>
          <t>Rp juta</t>
        </is>
      </c>
      <c r="C46" s="28">
        <f>IF('C1 GEG Setting'!$C$6=1,0,INDEX('C5 GEG LR Aktual'!$D$59:$O$59,'C1 GEG Setting'!$C$6-1))</f>
        <v/>
      </c>
      <c r="D46" s="28">
        <f>INDEX('C5 GEG LR Aktual'!$D$59:$O$59,'C1 GEG Setting'!$C$6)</f>
        <v/>
      </c>
      <c r="E46" s="19">
        <f>D46-C46</f>
        <v/>
      </c>
      <c r="F46" s="24">
        <f>IFERROR(E46/ABS(C46),"")</f>
        <v/>
      </c>
      <c r="G46" s="28">
        <f>INDEX('C4 GEG LR Budget'!$D$59:$O$59,'C1 GEG Setting'!$C$6)</f>
        <v/>
      </c>
      <c r="H46" s="19">
        <f>D46-G46</f>
        <v/>
      </c>
      <c r="I46" s="24">
        <f>IFERROR(H46/ABS(G46),"")</f>
        <v/>
      </c>
      <c r="J46" s="28">
        <f>SUMIF('C5 GEG LR Aktual'!$D$5:$O$5,"&lt;="&amp;'C1 GEG Setting'!$C$6,'C5 GEG LR Aktual'!$D$59:$O$59)</f>
        <v/>
      </c>
      <c r="K46" s="28">
        <f>SUMIF('C4 GEG LR Budget'!$D$5:$O$5,"&lt;="&amp;'C1 GEG Setting'!$C$6,'C4 GEG LR Budget'!$D$59:$O$59)</f>
        <v/>
      </c>
      <c r="L46" s="19">
        <f>J46-K46</f>
        <v/>
      </c>
      <c r="M46" s="24">
        <f>IFERROR(L46/ABS(K46),"")</f>
        <v/>
      </c>
      <c r="N46" s="76" t="n"/>
    </row>
    <row r="47">
      <c r="A47" s="48" t="inlineStr">
        <is>
          <t>Subtotal beban penjualan</t>
        </is>
      </c>
      <c r="B47" s="49" t="inlineStr">
        <is>
          <t>Rp juta</t>
        </is>
      </c>
      <c r="C47" s="50">
        <f>IF('C1 GEG Setting'!$C$6=1,0,INDEX('C5 GEG LR Aktual'!$D$60:$O$60,'C1 GEG Setting'!$C$6-1))</f>
        <v/>
      </c>
      <c r="D47" s="50">
        <f>INDEX('C5 GEG LR Aktual'!$D$60:$O$60,'C1 GEG Setting'!$C$6)</f>
        <v/>
      </c>
      <c r="E47" s="107">
        <f>D47-C47</f>
        <v/>
      </c>
      <c r="F47" s="54">
        <f>IFERROR(E47/ABS(C47),"")</f>
        <v/>
      </c>
      <c r="G47" s="50">
        <f>INDEX('C4 GEG LR Budget'!$D$60:$O$60,'C1 GEG Setting'!$C$6)</f>
        <v/>
      </c>
      <c r="H47" s="107">
        <f>D47-G47</f>
        <v/>
      </c>
      <c r="I47" s="54">
        <f>IFERROR(H47/ABS(G47),"")</f>
        <v/>
      </c>
      <c r="J47" s="50">
        <f>SUMIF('C5 GEG LR Aktual'!$D$5:$O$5,"&lt;="&amp;'C1 GEG Setting'!$C$6,'C5 GEG LR Aktual'!$D$60:$O$60)</f>
        <v/>
      </c>
      <c r="K47" s="50">
        <f>SUMIF('C4 GEG LR Budget'!$D$5:$O$5,"&lt;="&amp;'C1 GEG Setting'!$C$6,'C4 GEG LR Budget'!$D$60:$O$60)</f>
        <v/>
      </c>
      <c r="L47" s="107">
        <f>J47-K47</f>
        <v/>
      </c>
      <c r="M47" s="54">
        <f>IFERROR(L47/ABS(K47),"")</f>
        <v/>
      </c>
      <c r="N47" s="108" t="n"/>
    </row>
    <row r="48">
      <c r="A48" s="35" t="inlineStr">
        <is>
          <t>Beban umum &amp; administrasi</t>
        </is>
      </c>
    </row>
    <row r="49">
      <c r="A49" s="10" t="inlineStr">
        <is>
          <t>6201  Gaji &amp; tunjangan kantor pusat</t>
        </is>
      </c>
      <c r="B49" s="3" t="inlineStr">
        <is>
          <t>Rp juta</t>
        </is>
      </c>
      <c r="C49" s="28">
        <f>IF('C1 GEG Setting'!$C$6=1,0,INDEX('C5 GEG LR Aktual'!$D$62:$O$62,'C1 GEG Setting'!$C$6-1))</f>
        <v/>
      </c>
      <c r="D49" s="28">
        <f>INDEX('C5 GEG LR Aktual'!$D$62:$O$62,'C1 GEG Setting'!$C$6)</f>
        <v/>
      </c>
      <c r="E49" s="19">
        <f>D49-C49</f>
        <v/>
      </c>
      <c r="F49" s="24">
        <f>IFERROR(E49/ABS(C49),"")</f>
        <v/>
      </c>
      <c r="G49" s="28">
        <f>INDEX('C4 GEG LR Budget'!$D$62:$O$62,'C1 GEG Setting'!$C$6)</f>
        <v/>
      </c>
      <c r="H49" s="19">
        <f>D49-G49</f>
        <v/>
      </c>
      <c r="I49" s="24">
        <f>IFERROR(H49/ABS(G49),"")</f>
        <v/>
      </c>
      <c r="J49" s="28">
        <f>SUMIF('C5 GEG LR Aktual'!$D$5:$O$5,"&lt;="&amp;'C1 GEG Setting'!$C$6,'C5 GEG LR Aktual'!$D$62:$O$62)</f>
        <v/>
      </c>
      <c r="K49" s="28">
        <f>SUMIF('C4 GEG LR Budget'!$D$5:$O$5,"&lt;="&amp;'C1 GEG Setting'!$C$6,'C4 GEG LR Budget'!$D$62:$O$62)</f>
        <v/>
      </c>
      <c r="L49" s="19">
        <f>J49-K49</f>
        <v/>
      </c>
      <c r="M49" s="24">
        <f>IFERROR(L49/ABS(K49),"")</f>
        <v/>
      </c>
      <c r="N49" s="76" t="n"/>
    </row>
    <row r="50">
      <c r="A50" s="10" t="inlineStr">
        <is>
          <t>6202  Jasa profesional</t>
        </is>
      </c>
      <c r="B50" s="3" t="inlineStr">
        <is>
          <t>Rp juta</t>
        </is>
      </c>
      <c r="C50" s="28">
        <f>IF('C1 GEG Setting'!$C$6=1,0,INDEX('C5 GEG LR Aktual'!$D$63:$O$63,'C1 GEG Setting'!$C$6-1))</f>
        <v/>
      </c>
      <c r="D50" s="28">
        <f>INDEX('C5 GEG LR Aktual'!$D$63:$O$63,'C1 GEG Setting'!$C$6)</f>
        <v/>
      </c>
      <c r="E50" s="19">
        <f>D50-C50</f>
        <v/>
      </c>
      <c r="F50" s="24">
        <f>IFERROR(E50/ABS(C50),"")</f>
        <v/>
      </c>
      <c r="G50" s="28">
        <f>INDEX('C4 GEG LR Budget'!$D$63:$O$63,'C1 GEG Setting'!$C$6)</f>
        <v/>
      </c>
      <c r="H50" s="19">
        <f>D50-G50</f>
        <v/>
      </c>
      <c r="I50" s="24">
        <f>IFERROR(H50/ABS(G50),"")</f>
        <v/>
      </c>
      <c r="J50" s="28">
        <f>SUMIF('C5 GEG LR Aktual'!$D$5:$O$5,"&lt;="&amp;'C1 GEG Setting'!$C$6,'C5 GEG LR Aktual'!$D$63:$O$63)</f>
        <v/>
      </c>
      <c r="K50" s="28">
        <f>SUMIF('C4 GEG LR Budget'!$D$5:$O$5,"&lt;="&amp;'C1 GEG Setting'!$C$6,'C4 GEG LR Budget'!$D$63:$O$63)</f>
        <v/>
      </c>
      <c r="L50" s="19">
        <f>J50-K50</f>
        <v/>
      </c>
      <c r="M50" s="24">
        <f>IFERROR(L50/ABS(K50),"")</f>
        <v/>
      </c>
      <c r="N50" s="76" t="n"/>
    </row>
    <row r="51">
      <c r="A51" s="10" t="inlineStr">
        <is>
          <t>6203  Sewa kantor</t>
        </is>
      </c>
      <c r="B51" s="3" t="inlineStr">
        <is>
          <t>Rp juta</t>
        </is>
      </c>
      <c r="C51" s="28">
        <f>IF('C1 GEG Setting'!$C$6=1,0,INDEX('C5 GEG LR Aktual'!$D$64:$O$64,'C1 GEG Setting'!$C$6-1))</f>
        <v/>
      </c>
      <c r="D51" s="28">
        <f>INDEX('C5 GEG LR Aktual'!$D$64:$O$64,'C1 GEG Setting'!$C$6)</f>
        <v/>
      </c>
      <c r="E51" s="19">
        <f>D51-C51</f>
        <v/>
      </c>
      <c r="F51" s="24">
        <f>IFERROR(E51/ABS(C51),"")</f>
        <v/>
      </c>
      <c r="G51" s="28">
        <f>INDEX('C4 GEG LR Budget'!$D$64:$O$64,'C1 GEG Setting'!$C$6)</f>
        <v/>
      </c>
      <c r="H51" s="19">
        <f>D51-G51</f>
        <v/>
      </c>
      <c r="I51" s="24">
        <f>IFERROR(H51/ABS(G51),"")</f>
        <v/>
      </c>
      <c r="J51" s="28">
        <f>SUMIF('C5 GEG LR Aktual'!$D$5:$O$5,"&lt;="&amp;'C1 GEG Setting'!$C$6,'C5 GEG LR Aktual'!$D$64:$O$64)</f>
        <v/>
      </c>
      <c r="K51" s="28">
        <f>SUMIF('C4 GEG LR Budget'!$D$5:$O$5,"&lt;="&amp;'C1 GEG Setting'!$C$6,'C4 GEG LR Budget'!$D$64:$O$64)</f>
        <v/>
      </c>
      <c r="L51" s="19">
        <f>J51-K51</f>
        <v/>
      </c>
      <c r="M51" s="24">
        <f>IFERROR(L51/ABS(K51),"")</f>
        <v/>
      </c>
      <c r="N51" s="76" t="n"/>
    </row>
    <row r="52">
      <c r="A52" s="10" t="inlineStr">
        <is>
          <t>6204  Perjalanan dinas</t>
        </is>
      </c>
      <c r="B52" s="3" t="inlineStr">
        <is>
          <t>Rp juta</t>
        </is>
      </c>
      <c r="C52" s="28">
        <f>IF('C1 GEG Setting'!$C$6=1,0,INDEX('C5 GEG LR Aktual'!$D$65:$O$65,'C1 GEG Setting'!$C$6-1))</f>
        <v/>
      </c>
      <c r="D52" s="28">
        <f>INDEX('C5 GEG LR Aktual'!$D$65:$O$65,'C1 GEG Setting'!$C$6)</f>
        <v/>
      </c>
      <c r="E52" s="19">
        <f>D52-C52</f>
        <v/>
      </c>
      <c r="F52" s="24">
        <f>IFERROR(E52/ABS(C52),"")</f>
        <v/>
      </c>
      <c r="G52" s="28">
        <f>INDEX('C4 GEG LR Budget'!$D$65:$O$65,'C1 GEG Setting'!$C$6)</f>
        <v/>
      </c>
      <c r="H52" s="19">
        <f>D52-G52</f>
        <v/>
      </c>
      <c r="I52" s="24">
        <f>IFERROR(H52/ABS(G52),"")</f>
        <v/>
      </c>
      <c r="J52" s="28">
        <f>SUMIF('C5 GEG LR Aktual'!$D$5:$O$5,"&lt;="&amp;'C1 GEG Setting'!$C$6,'C5 GEG LR Aktual'!$D$65:$O$65)</f>
        <v/>
      </c>
      <c r="K52" s="28">
        <f>SUMIF('C4 GEG LR Budget'!$D$5:$O$5,"&lt;="&amp;'C1 GEG Setting'!$C$6,'C4 GEG LR Budget'!$D$65:$O$65)</f>
        <v/>
      </c>
      <c r="L52" s="19">
        <f>J52-K52</f>
        <v/>
      </c>
      <c r="M52" s="24">
        <f>IFERROR(L52/ABS(K52),"")</f>
        <v/>
      </c>
      <c r="N52" s="76" t="n"/>
    </row>
    <row r="53">
      <c r="A53" s="10" t="inlineStr">
        <is>
          <t>6205  Asuransi</t>
        </is>
      </c>
      <c r="B53" s="3" t="inlineStr">
        <is>
          <t>Rp juta</t>
        </is>
      </c>
      <c r="C53" s="28">
        <f>IF('C1 GEG Setting'!$C$6=1,0,INDEX('C5 GEG LR Aktual'!$D$66:$O$66,'C1 GEG Setting'!$C$6-1))</f>
        <v/>
      </c>
      <c r="D53" s="28">
        <f>INDEX('C5 GEG LR Aktual'!$D$66:$O$66,'C1 GEG Setting'!$C$6)</f>
        <v/>
      </c>
      <c r="E53" s="19">
        <f>D53-C53</f>
        <v/>
      </c>
      <c r="F53" s="24">
        <f>IFERROR(E53/ABS(C53),"")</f>
        <v/>
      </c>
      <c r="G53" s="28">
        <f>INDEX('C4 GEG LR Budget'!$D$66:$O$66,'C1 GEG Setting'!$C$6)</f>
        <v/>
      </c>
      <c r="H53" s="19">
        <f>D53-G53</f>
        <v/>
      </c>
      <c r="I53" s="24">
        <f>IFERROR(H53/ABS(G53),"")</f>
        <v/>
      </c>
      <c r="J53" s="28">
        <f>SUMIF('C5 GEG LR Aktual'!$D$5:$O$5,"&lt;="&amp;'C1 GEG Setting'!$C$6,'C5 GEG LR Aktual'!$D$66:$O$66)</f>
        <v/>
      </c>
      <c r="K53" s="28">
        <f>SUMIF('C4 GEG LR Budget'!$D$5:$O$5,"&lt;="&amp;'C1 GEG Setting'!$C$6,'C4 GEG LR Budget'!$D$66:$O$66)</f>
        <v/>
      </c>
      <c r="L53" s="19">
        <f>J53-K53</f>
        <v/>
      </c>
      <c r="M53" s="24">
        <f>IFERROR(L53/ABS(K53),"")</f>
        <v/>
      </c>
      <c r="N53" s="76" t="n"/>
    </row>
    <row r="54">
      <c r="A54" s="10" t="inlineStr">
        <is>
          <t>6206  Pajak, perizinan &amp; iuran</t>
        </is>
      </c>
      <c r="B54" s="3" t="inlineStr">
        <is>
          <t>Rp juta</t>
        </is>
      </c>
      <c r="C54" s="28">
        <f>IF('C1 GEG Setting'!$C$6=1,0,INDEX('C5 GEG LR Aktual'!$D$67:$O$67,'C1 GEG Setting'!$C$6-1))</f>
        <v/>
      </c>
      <c r="D54" s="28">
        <f>INDEX('C5 GEG LR Aktual'!$D$67:$O$67,'C1 GEG Setting'!$C$6)</f>
        <v/>
      </c>
      <c r="E54" s="19">
        <f>D54-C54</f>
        <v/>
      </c>
      <c r="F54" s="24">
        <f>IFERROR(E54/ABS(C54),"")</f>
        <v/>
      </c>
      <c r="G54" s="28">
        <f>INDEX('C4 GEG LR Budget'!$D$67:$O$67,'C1 GEG Setting'!$C$6)</f>
        <v/>
      </c>
      <c r="H54" s="19">
        <f>D54-G54</f>
        <v/>
      </c>
      <c r="I54" s="24">
        <f>IFERROR(H54/ABS(G54),"")</f>
        <v/>
      </c>
      <c r="J54" s="28">
        <f>SUMIF('C5 GEG LR Aktual'!$D$5:$O$5,"&lt;="&amp;'C1 GEG Setting'!$C$6,'C5 GEG LR Aktual'!$D$67:$O$67)</f>
        <v/>
      </c>
      <c r="K54" s="28">
        <f>SUMIF('C4 GEG LR Budget'!$D$5:$O$5,"&lt;="&amp;'C1 GEG Setting'!$C$6,'C4 GEG LR Budget'!$D$67:$O$67)</f>
        <v/>
      </c>
      <c r="L54" s="19">
        <f>J54-K54</f>
        <v/>
      </c>
      <c r="M54" s="24">
        <f>IFERROR(L54/ABS(K54),"")</f>
        <v/>
      </c>
      <c r="N54" s="76" t="n"/>
    </row>
    <row r="55">
      <c r="A55" s="10" t="inlineStr">
        <is>
          <t>6207  Teknologi informasi &amp; komunikasi</t>
        </is>
      </c>
      <c r="B55" s="3" t="inlineStr">
        <is>
          <t>Rp juta</t>
        </is>
      </c>
      <c r="C55" s="28">
        <f>IF('C1 GEG Setting'!$C$6=1,0,INDEX('C5 GEG LR Aktual'!$D$68:$O$68,'C1 GEG Setting'!$C$6-1))</f>
        <v/>
      </c>
      <c r="D55" s="28">
        <f>INDEX('C5 GEG LR Aktual'!$D$68:$O$68,'C1 GEG Setting'!$C$6)</f>
        <v/>
      </c>
      <c r="E55" s="19">
        <f>D55-C55</f>
        <v/>
      </c>
      <c r="F55" s="24">
        <f>IFERROR(E55/ABS(C55),"")</f>
        <v/>
      </c>
      <c r="G55" s="28">
        <f>INDEX('C4 GEG LR Budget'!$D$68:$O$68,'C1 GEG Setting'!$C$6)</f>
        <v/>
      </c>
      <c r="H55" s="19">
        <f>D55-G55</f>
        <v/>
      </c>
      <c r="I55" s="24">
        <f>IFERROR(H55/ABS(G55),"")</f>
        <v/>
      </c>
      <c r="J55" s="28">
        <f>SUMIF('C5 GEG LR Aktual'!$D$5:$O$5,"&lt;="&amp;'C1 GEG Setting'!$C$6,'C5 GEG LR Aktual'!$D$68:$O$68)</f>
        <v/>
      </c>
      <c r="K55" s="28">
        <f>SUMIF('C4 GEG LR Budget'!$D$5:$O$5,"&lt;="&amp;'C1 GEG Setting'!$C$6,'C4 GEG LR Budget'!$D$68:$O$68)</f>
        <v/>
      </c>
      <c r="L55" s="19">
        <f>J55-K55</f>
        <v/>
      </c>
      <c r="M55" s="24">
        <f>IFERROR(L55/ABS(K55),"")</f>
        <v/>
      </c>
      <c r="N55" s="76" t="n"/>
    </row>
    <row r="56">
      <c r="A56" s="10" t="inlineStr">
        <is>
          <t>6208  Penyusutan aset kantor</t>
        </is>
      </c>
      <c r="B56" s="3" t="inlineStr">
        <is>
          <t>Rp juta</t>
        </is>
      </c>
      <c r="C56" s="28">
        <f>IF('C1 GEG Setting'!$C$6=1,0,INDEX('C5 GEG LR Aktual'!$D$69:$O$69,'C1 GEG Setting'!$C$6-1))</f>
        <v/>
      </c>
      <c r="D56" s="28">
        <f>INDEX('C5 GEG LR Aktual'!$D$69:$O$69,'C1 GEG Setting'!$C$6)</f>
        <v/>
      </c>
      <c r="E56" s="19">
        <f>D56-C56</f>
        <v/>
      </c>
      <c r="F56" s="24">
        <f>IFERROR(E56/ABS(C56),"")</f>
        <v/>
      </c>
      <c r="G56" s="28">
        <f>INDEX('C4 GEG LR Budget'!$D$69:$O$69,'C1 GEG Setting'!$C$6)</f>
        <v/>
      </c>
      <c r="H56" s="19">
        <f>D56-G56</f>
        <v/>
      </c>
      <c r="I56" s="24">
        <f>IFERROR(H56/ABS(G56),"")</f>
        <v/>
      </c>
      <c r="J56" s="28">
        <f>SUMIF('C5 GEG LR Aktual'!$D$5:$O$5,"&lt;="&amp;'C1 GEG Setting'!$C$6,'C5 GEG LR Aktual'!$D$69:$O$69)</f>
        <v/>
      </c>
      <c r="K56" s="28">
        <f>SUMIF('C4 GEG LR Budget'!$D$5:$O$5,"&lt;="&amp;'C1 GEG Setting'!$C$6,'C4 GEG LR Budget'!$D$69:$O$69)</f>
        <v/>
      </c>
      <c r="L56" s="19">
        <f>J56-K56</f>
        <v/>
      </c>
      <c r="M56" s="24">
        <f>IFERROR(L56/ABS(K56),"")</f>
        <v/>
      </c>
      <c r="N56" s="76" t="n"/>
    </row>
    <row r="57">
      <c r="A57" s="10" t="inlineStr">
        <is>
          <t>6209  Beban umum lainnya</t>
        </is>
      </c>
      <c r="B57" s="3" t="inlineStr">
        <is>
          <t>Rp juta</t>
        </is>
      </c>
      <c r="C57" s="28">
        <f>IF('C1 GEG Setting'!$C$6=1,0,INDEX('C5 GEG LR Aktual'!$D$70:$O$70,'C1 GEG Setting'!$C$6-1))</f>
        <v/>
      </c>
      <c r="D57" s="28">
        <f>INDEX('C5 GEG LR Aktual'!$D$70:$O$70,'C1 GEG Setting'!$C$6)</f>
        <v/>
      </c>
      <c r="E57" s="19">
        <f>D57-C57</f>
        <v/>
      </c>
      <c r="F57" s="24">
        <f>IFERROR(E57/ABS(C57),"")</f>
        <v/>
      </c>
      <c r="G57" s="28">
        <f>INDEX('C4 GEG LR Budget'!$D$70:$O$70,'C1 GEG Setting'!$C$6)</f>
        <v/>
      </c>
      <c r="H57" s="19">
        <f>D57-G57</f>
        <v/>
      </c>
      <c r="I57" s="24">
        <f>IFERROR(H57/ABS(G57),"")</f>
        <v/>
      </c>
      <c r="J57" s="28">
        <f>SUMIF('C5 GEG LR Aktual'!$D$5:$O$5,"&lt;="&amp;'C1 GEG Setting'!$C$6,'C5 GEG LR Aktual'!$D$70:$O$70)</f>
        <v/>
      </c>
      <c r="K57" s="28">
        <f>SUMIF('C4 GEG LR Budget'!$D$5:$O$5,"&lt;="&amp;'C1 GEG Setting'!$C$6,'C4 GEG LR Budget'!$D$70:$O$70)</f>
        <v/>
      </c>
      <c r="L57" s="19">
        <f>J57-K57</f>
        <v/>
      </c>
      <c r="M57" s="24">
        <f>IFERROR(L57/ABS(K57),"")</f>
        <v/>
      </c>
      <c r="N57" s="76" t="n"/>
    </row>
    <row r="58">
      <c r="A58" s="48" t="inlineStr">
        <is>
          <t>Subtotal beban umum &amp; administrasi</t>
        </is>
      </c>
      <c r="B58" s="49" t="inlineStr">
        <is>
          <t>Rp juta</t>
        </is>
      </c>
      <c r="C58" s="50">
        <f>IF('C1 GEG Setting'!$C$6=1,0,INDEX('C5 GEG LR Aktual'!$D$71:$O$71,'C1 GEG Setting'!$C$6-1))</f>
        <v/>
      </c>
      <c r="D58" s="50">
        <f>INDEX('C5 GEG LR Aktual'!$D$71:$O$71,'C1 GEG Setting'!$C$6)</f>
        <v/>
      </c>
      <c r="E58" s="107">
        <f>D58-C58</f>
        <v/>
      </c>
      <c r="F58" s="54">
        <f>IFERROR(E58/ABS(C58),"")</f>
        <v/>
      </c>
      <c r="G58" s="50">
        <f>INDEX('C4 GEG LR Budget'!$D$71:$O$71,'C1 GEG Setting'!$C$6)</f>
        <v/>
      </c>
      <c r="H58" s="107">
        <f>D58-G58</f>
        <v/>
      </c>
      <c r="I58" s="54">
        <f>IFERROR(H58/ABS(G58),"")</f>
        <v/>
      </c>
      <c r="J58" s="50">
        <f>SUMIF('C5 GEG LR Aktual'!$D$5:$O$5,"&lt;="&amp;'C1 GEG Setting'!$C$6,'C5 GEG LR Aktual'!$D$71:$O$71)</f>
        <v/>
      </c>
      <c r="K58" s="50">
        <f>SUMIF('C4 GEG LR Budget'!$D$5:$O$5,"&lt;="&amp;'C1 GEG Setting'!$C$6,'C4 GEG LR Budget'!$D$71:$O$71)</f>
        <v/>
      </c>
      <c r="L58" s="107">
        <f>J58-K58</f>
        <v/>
      </c>
      <c r="M58" s="54">
        <f>IFERROR(L58/ABS(K58),"")</f>
        <v/>
      </c>
      <c r="N58" s="108" t="n"/>
    </row>
    <row r="59">
      <c r="A59" s="48" t="inlineStr">
        <is>
          <t>TOTAL BEBAN USAHA</t>
        </is>
      </c>
      <c r="B59" s="49" t="inlineStr">
        <is>
          <t>Rp juta</t>
        </is>
      </c>
      <c r="C59" s="50">
        <f>IF('C1 GEG Setting'!$C$6=1,0,INDEX('C5 GEG LR Aktual'!$D$72:$O$72,'C1 GEG Setting'!$C$6-1))</f>
        <v/>
      </c>
      <c r="D59" s="50">
        <f>INDEX('C5 GEG LR Aktual'!$D$72:$O$72,'C1 GEG Setting'!$C$6)</f>
        <v/>
      </c>
      <c r="E59" s="107">
        <f>D59-C59</f>
        <v/>
      </c>
      <c r="F59" s="54">
        <f>IFERROR(E59/ABS(C59),"")</f>
        <v/>
      </c>
      <c r="G59" s="50">
        <f>INDEX('C4 GEG LR Budget'!$D$72:$O$72,'C1 GEG Setting'!$C$6)</f>
        <v/>
      </c>
      <c r="H59" s="107">
        <f>D59-G59</f>
        <v/>
      </c>
      <c r="I59" s="54">
        <f>IFERROR(H59/ABS(G59),"")</f>
        <v/>
      </c>
      <c r="J59" s="50">
        <f>SUMIF('C5 GEG LR Aktual'!$D$5:$O$5,"&lt;="&amp;'C1 GEG Setting'!$C$6,'C5 GEG LR Aktual'!$D$72:$O$72)</f>
        <v/>
      </c>
      <c r="K59" s="50">
        <f>SUMIF('C4 GEG LR Budget'!$D$5:$O$5,"&lt;="&amp;'C1 GEG Setting'!$C$6,'C4 GEG LR Budget'!$D$72:$O$72)</f>
        <v/>
      </c>
      <c r="L59" s="107">
        <f>J59-K59</f>
        <v/>
      </c>
      <c r="M59" s="54">
        <f>IFERROR(L59/ABS(K59),"")</f>
        <v/>
      </c>
      <c r="N59" s="108" t="n"/>
    </row>
    <row r="60">
      <c r="A60" s="3" t="inlineStr">
        <is>
          <t>Varians beban: angka positif = biaya aktual lebih tinggi dari pembanding (tidak menguntungkan).</t>
        </is>
      </c>
    </row>
    <row r="61"/>
    <row r="62"/>
    <row r="63">
      <c r="A63" s="4" t="inlineStr">
        <is>
          <t>B. ANALISA UNIT COST (USD per unit)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 ht="32" customHeight="1">
      <c r="A64" s="16" t="inlineStr">
        <is>
          <t>Unit cost</t>
        </is>
      </c>
      <c r="B64" s="16" t="inlineStr">
        <is>
          <t>Satuan</t>
        </is>
      </c>
      <c r="C64" s="16" t="inlineStr">
        <is>
          <t>Bulan lalu
Aktual</t>
        </is>
      </c>
      <c r="D64" s="16" t="inlineStr">
        <is>
          <t>Bulan ini
Aktual</t>
        </is>
      </c>
      <c r="E64" s="16" t="inlineStr">
        <is>
          <t>Var MoM</t>
        </is>
      </c>
      <c r="F64" s="16" t="inlineStr">
        <is>
          <t>Var MoM %</t>
        </is>
      </c>
      <c r="G64" s="16" t="inlineStr">
        <is>
          <t>Bulan ini
Budget</t>
        </is>
      </c>
      <c r="H64" s="16" t="inlineStr">
        <is>
          <t>Var vs Budget</t>
        </is>
      </c>
      <c r="I64" s="16" t="inlineStr">
        <is>
          <t>Var %</t>
        </is>
      </c>
      <c r="J64" s="16" t="inlineStr">
        <is>
          <t>YTD
Aktual</t>
        </is>
      </c>
      <c r="K64" s="16" t="inlineStr">
        <is>
          <t>YTD
Budget</t>
        </is>
      </c>
      <c r="L64" s="16" t="inlineStr">
        <is>
          <t>Var YTD</t>
        </is>
      </c>
      <c r="M64" s="16" t="inlineStr">
        <is>
          <t>Var YTD %</t>
        </is>
      </c>
      <c r="N64" s="16" t="inlineStr">
        <is>
          <t>Catatan / penjelasan varians (diisi FP&amp;A)</t>
        </is>
      </c>
    </row>
    <row r="65">
      <c r="A65" s="10" t="inlineStr">
        <is>
          <t xml:space="preserve">   Volume produksi</t>
        </is>
      </c>
      <c r="B65" s="3" t="inlineStr">
        <is>
          <t>ton</t>
        </is>
      </c>
      <c r="C65" s="28">
        <f>IF('C1 GEG Setting'!$C$6=1,0,INDEX('C3 GEG Ops Aktual'!$D$9:$O$9,'C1 GEG Setting'!$C$6-1))</f>
        <v/>
      </c>
      <c r="D65" s="28">
        <f>INDEX('C3 GEG Ops Aktual'!$D$9:$O$9,'C1 GEG Setting'!$C$6)</f>
        <v/>
      </c>
      <c r="E65" s="19">
        <f>IFERROR(D65-C65,0)</f>
        <v/>
      </c>
      <c r="F65" s="24">
        <f>IFERROR(E65/ABS(C65),"")</f>
        <v/>
      </c>
      <c r="G65" s="28">
        <f>INDEX('C2 GEG Ops Budget'!$D$9:$O$9,'C1 GEG Setting'!$C$6)</f>
        <v/>
      </c>
      <c r="H65" s="19">
        <f>IFERROR(D65-G65,0)</f>
        <v/>
      </c>
      <c r="I65" s="24">
        <f>IFERROR(H65/ABS(G65),"")</f>
        <v/>
      </c>
      <c r="J65" s="28">
        <f>SUMIF('C3 GEG Ops Aktual'!$D$5:$O$5,"&lt;="&amp;'C1 GEG Setting'!$C$6,'C3 GEG Ops Aktual'!$D$9:$O$9)</f>
        <v/>
      </c>
      <c r="K65" s="28">
        <f>SUMIF('C2 GEG Ops Budget'!$D$5:$O$5,"&lt;="&amp;'C1 GEG Setting'!$C$6,'C2 GEG Ops Budget'!$D$9:$O$9)</f>
        <v/>
      </c>
      <c r="L65" s="19">
        <f>IFERROR(J65-K65,0)</f>
        <v/>
      </c>
      <c r="M65" s="24">
        <f>IFERROR(L65/ABS(K65),"")</f>
        <v/>
      </c>
      <c r="N65" s="76" t="n"/>
    </row>
    <row r="66">
      <c r="A66" s="10" t="inlineStr">
        <is>
          <t xml:space="preserve">   Volume OB</t>
        </is>
      </c>
      <c r="B66" s="3" t="inlineStr">
        <is>
          <t>bcm</t>
        </is>
      </c>
      <c r="C66" s="28">
        <f>IF('C1 GEG Setting'!$C$6=1,0,INDEX('C3 GEG Ops Aktual'!$D$8:$O$8,'C1 GEG Setting'!$C$6-1))</f>
        <v/>
      </c>
      <c r="D66" s="28">
        <f>INDEX('C3 GEG Ops Aktual'!$D$8:$O$8,'C1 GEG Setting'!$C$6)</f>
        <v/>
      </c>
      <c r="E66" s="19">
        <f>IFERROR(D66-C66,0)</f>
        <v/>
      </c>
      <c r="F66" s="24">
        <f>IFERROR(E66/ABS(C66),"")</f>
        <v/>
      </c>
      <c r="G66" s="28">
        <f>INDEX('C2 GEG Ops Budget'!$D$8:$O$8,'C1 GEG Setting'!$C$6)</f>
        <v/>
      </c>
      <c r="H66" s="19">
        <f>IFERROR(D66-G66,0)</f>
        <v/>
      </c>
      <c r="I66" s="24">
        <f>IFERROR(H66/ABS(G66),"")</f>
        <v/>
      </c>
      <c r="J66" s="28">
        <f>SUMIF('C3 GEG Ops Aktual'!$D$5:$O$5,"&lt;="&amp;'C1 GEG Setting'!$C$6,'C3 GEG Ops Aktual'!$D$8:$O$8)</f>
        <v/>
      </c>
      <c r="K66" s="28">
        <f>SUMIF('C2 GEG Ops Budget'!$D$5:$O$5,"&lt;="&amp;'C1 GEG Setting'!$C$6,'C2 GEG Ops Budget'!$D$8:$O$8)</f>
        <v/>
      </c>
      <c r="L66" s="19">
        <f>IFERROR(J66-K66,0)</f>
        <v/>
      </c>
      <c r="M66" s="24">
        <f>IFERROR(L66/ABS(K66),"")</f>
        <v/>
      </c>
      <c r="N66" s="76" t="n"/>
    </row>
    <row r="67">
      <c r="A67" s="10" t="inlineStr">
        <is>
          <t xml:space="preserve">   Volume penjualan</t>
        </is>
      </c>
      <c r="B67" s="3" t="inlineStr">
        <is>
          <t>ton</t>
        </is>
      </c>
      <c r="C67" s="28">
        <f>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</f>
        <v/>
      </c>
      <c r="D67" s="28">
        <f>(INDEX('C3 GEG Ops Aktual'!$D$16:$O$16,'C1 GEG Setting'!$C$6)+INDEX('C3 GEG Ops Aktual'!$D$17:$O$17,'C1 GEG Setting'!$C$6)+INDEX('C3 GEG Ops Aktual'!$D$18:$O$18,'C1 GEG Setting'!$C$6))</f>
        <v/>
      </c>
      <c r="E67" s="19">
        <f>IFERROR(D67-C67,0)</f>
        <v/>
      </c>
      <c r="F67" s="24">
        <f>IFERROR(E67/ABS(C67),"")</f>
        <v/>
      </c>
      <c r="G67" s="28">
        <f>(INDEX('C2 GEG Ops Budget'!$D$16:$O$16,'C1 GEG Setting'!$C$6)+INDEX('C2 GEG Ops Budget'!$D$17:$O$17,'C1 GEG Setting'!$C$6)+INDEX('C2 GEG Ops Budget'!$D$18:$O$18,'C1 GEG Setting'!$C$6))</f>
        <v/>
      </c>
      <c r="H67" s="19">
        <f>IFERROR(D67-G67,0)</f>
        <v/>
      </c>
      <c r="I67" s="24">
        <f>IFERROR(H67/ABS(G67),"")</f>
        <v/>
      </c>
      <c r="J67" s="28">
        <f>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</f>
        <v/>
      </c>
      <c r="K67" s="28">
        <f>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</f>
        <v/>
      </c>
      <c r="L67" s="19">
        <f>IFERROR(J67-K67,0)</f>
        <v/>
      </c>
      <c r="M67" s="24">
        <f>IFERROR(L67/ABS(K67),"")</f>
        <v/>
      </c>
      <c r="N67" s="76" t="n"/>
    </row>
    <row r="68">
      <c r="A68" s="10" t="inlineStr">
        <is>
          <t xml:space="preserve">   Jasa kontraktor OB</t>
        </is>
      </c>
      <c r="B68" s="3" t="inlineStr">
        <is>
          <t>USD/bcm</t>
        </is>
      </c>
      <c r="C68" s="39">
        <f>IFERROR((IF('C1 GEG Setting'!$C$6=1,0,INDEX('C5 GEG LR Aktual'!$D$17:$O$17,'C1 GEG Setting'!$C$6-1)))*1000000/(IF('C1 GEG Setting'!$C$6=1,0,INDEX('C3 GEG Ops Aktual'!$D$8:$O$8,'C1 GEG Setting'!$C$6-1)))/(IF('C1 GEG Setting'!$C$6=1,0,INDEX('C3 GEG Ops Aktual'!$D$25:$O$25,'C1 GEG Setting'!$C$6-1))),0)</f>
        <v/>
      </c>
      <c r="D68" s="39">
        <f>IFERROR((INDEX('C5 GEG LR Aktual'!$D$17:$O$17,'C1 GEG Setting'!$C$6))*1000000/(INDEX('C3 GEG Ops Aktual'!$D$8:$O$8,'C1 GEG Setting'!$C$6))/(INDEX('C3 GEG Ops Aktual'!$D$25:$O$25,'C1 GEG Setting'!$C$6)),0)</f>
        <v/>
      </c>
      <c r="E68" s="47">
        <f>IFERROR(D68-C68,0)</f>
        <v/>
      </c>
      <c r="F68" s="24">
        <f>IFERROR(E68/ABS(C68),"")</f>
        <v/>
      </c>
      <c r="G68" s="39">
        <f>IFERROR((INDEX('C4 GEG LR Budget'!$D$17:$O$17,'C1 GEG Setting'!$C$6))*1000000/(INDEX('C2 GEG Ops Budget'!$D$8:$O$8,'C1 GEG Setting'!$C$6))/(INDEX('C2 GEG Ops Budget'!$D$25:$O$25,'C1 GEG Setting'!$C$6)),0)</f>
        <v/>
      </c>
      <c r="H68" s="47">
        <f>IFERROR(D68-G68,0)</f>
        <v/>
      </c>
      <c r="I68" s="24">
        <f>IFERROR(H68/ABS(G68),"")</f>
        <v/>
      </c>
      <c r="J68" s="39">
        <f>IFERROR((SUMIF('C5 GEG LR Aktual'!$D$5:$O$5,"&lt;="&amp;'C1 GEG Setting'!$C$6,'C5 GEG LR Aktual'!$D$17:$O$17))*1000000/(SUMIF('C3 GEG Ops Aktual'!$D$5:$O$5,"&lt;="&amp;'C1 GEG Setting'!$C$6,'C3 GEG Ops Aktual'!$D$8:$O$8))/(IFERROR(AVERAGEIFS('C3 GEG Ops Aktual'!$D$25:$O$25,'C3 GEG Ops Aktual'!$D$5:$O$5,"&lt;="&amp;'C1 GEG Setting'!$C$6),0)),0)</f>
        <v/>
      </c>
      <c r="K68" s="39">
        <f>IFERROR((SUMIF('C4 GEG LR Budget'!$D$5:$O$5,"&lt;="&amp;'C1 GEG Setting'!$C$6,'C4 GEG LR Budget'!$D$17:$O$17))*1000000/(SUMIF('C2 GEG Ops Budget'!$D$5:$O$5,"&lt;="&amp;'C1 GEG Setting'!$C$6,'C2 GEG Ops Budget'!$D$8:$O$8))/(IFERROR(AVERAGEIFS('C2 GEG Ops Budget'!$D$25:$O$25,'C2 GEG Ops Budget'!$D$5:$O$5,"&lt;="&amp;'C1 GEG Setting'!$C$6),0)),0)</f>
        <v/>
      </c>
      <c r="L68" s="47">
        <f>IFERROR(J68-K68,0)</f>
        <v/>
      </c>
      <c r="M68" s="24">
        <f>IFERROR(L68/ABS(K68),"")</f>
        <v/>
      </c>
      <c r="N68" s="76" t="n"/>
    </row>
    <row r="69">
      <c r="A69" s="10" t="inlineStr">
        <is>
          <t xml:space="preserve">   BBM</t>
        </is>
      </c>
      <c r="B69" s="3" t="inlineStr">
        <is>
          <t>USD/bcm</t>
        </is>
      </c>
      <c r="C69" s="39">
        <f>IFERROR((IF('C1 GEG Setting'!$C$6=1,0,INDEX('C5 GEG LR Aktual'!$D$18:$O$18,'C1 GEG Setting'!$C$6-1)))*1000000/(IF('C1 GEG Setting'!$C$6=1,0,INDEX('C3 GEG Ops Aktual'!$D$8:$O$8,'C1 GEG Setting'!$C$6-1)))/(IF('C1 GEG Setting'!$C$6=1,0,INDEX('C3 GEG Ops Aktual'!$D$25:$O$25,'C1 GEG Setting'!$C$6-1))),0)</f>
        <v/>
      </c>
      <c r="D69" s="39">
        <f>IFERROR((INDEX('C5 GEG LR Aktual'!$D$18:$O$18,'C1 GEG Setting'!$C$6))*1000000/(INDEX('C3 GEG Ops Aktual'!$D$8:$O$8,'C1 GEG Setting'!$C$6))/(INDEX('C3 GEG Ops Aktual'!$D$25:$O$25,'C1 GEG Setting'!$C$6)),0)</f>
        <v/>
      </c>
      <c r="E69" s="47">
        <f>IFERROR(D69-C69,0)</f>
        <v/>
      </c>
      <c r="F69" s="24">
        <f>IFERROR(E69/ABS(C69),"")</f>
        <v/>
      </c>
      <c r="G69" s="39">
        <f>IFERROR((INDEX('C4 GEG LR Budget'!$D$18:$O$18,'C1 GEG Setting'!$C$6))*1000000/(INDEX('C2 GEG Ops Budget'!$D$8:$O$8,'C1 GEG Setting'!$C$6))/(INDEX('C2 GEG Ops Budget'!$D$25:$O$25,'C1 GEG Setting'!$C$6)),0)</f>
        <v/>
      </c>
      <c r="H69" s="47">
        <f>IFERROR(D69-G69,0)</f>
        <v/>
      </c>
      <c r="I69" s="24">
        <f>IFERROR(H69/ABS(G69),"")</f>
        <v/>
      </c>
      <c r="J69" s="39">
        <f>IFERROR((SUMIF('C5 GEG LR Aktual'!$D$5:$O$5,"&lt;="&amp;'C1 GEG Setting'!$C$6,'C5 GEG LR Aktual'!$D$18:$O$18))*1000000/(SUMIF('C3 GEG Ops Aktual'!$D$5:$O$5,"&lt;="&amp;'C1 GEG Setting'!$C$6,'C3 GEG Ops Aktual'!$D$8:$O$8))/(IFERROR(AVERAGEIFS('C3 GEG Ops Aktual'!$D$25:$O$25,'C3 GEG Ops Aktual'!$D$5:$O$5,"&lt;="&amp;'C1 GEG Setting'!$C$6),0)),0)</f>
        <v/>
      </c>
      <c r="K69" s="39">
        <f>IFERROR((SUMIF('C4 GEG LR Budget'!$D$5:$O$5,"&lt;="&amp;'C1 GEG Setting'!$C$6,'C4 GEG LR Budget'!$D$18:$O$18))*1000000/(SUMIF('C2 GEG Ops Budget'!$D$5:$O$5,"&lt;="&amp;'C1 GEG Setting'!$C$6,'C2 GEG Ops Budget'!$D$8:$O$8))/(IFERROR(AVERAGEIFS('C2 GEG Ops Budget'!$D$25:$O$25,'C2 GEG Ops Budget'!$D$5:$O$5,"&lt;="&amp;'C1 GEG Setting'!$C$6),0)),0)</f>
        <v/>
      </c>
      <c r="L69" s="47">
        <f>IFERROR(J69-K69,0)</f>
        <v/>
      </c>
      <c r="M69" s="24">
        <f>IFERROR(L69/ABS(K69),"")</f>
        <v/>
      </c>
      <c r="N69" s="76" t="n"/>
    </row>
    <row r="70">
      <c r="A70" s="10" t="inlineStr">
        <is>
          <t xml:space="preserve">   Peledakan</t>
        </is>
      </c>
      <c r="B70" s="3" t="inlineStr">
        <is>
          <t>USD/bcm</t>
        </is>
      </c>
      <c r="C70" s="39">
        <f>IFERROR((IF('C1 GEG Setting'!$C$6=1,0,INDEX('C5 GEG LR Aktual'!$D$19:$O$19,'C1 GEG Setting'!$C$6-1)))*1000000/(IF('C1 GEG Setting'!$C$6=1,0,INDEX('C3 GEG Ops Aktual'!$D$8:$O$8,'C1 GEG Setting'!$C$6-1)))/(IF('C1 GEG Setting'!$C$6=1,0,INDEX('C3 GEG Ops Aktual'!$D$25:$O$25,'C1 GEG Setting'!$C$6-1))),0)</f>
        <v/>
      </c>
      <c r="D70" s="39">
        <f>IFERROR((INDEX('C5 GEG LR Aktual'!$D$19:$O$19,'C1 GEG Setting'!$C$6))*1000000/(INDEX('C3 GEG Ops Aktual'!$D$8:$O$8,'C1 GEG Setting'!$C$6))/(INDEX('C3 GEG Ops Aktual'!$D$25:$O$25,'C1 GEG Setting'!$C$6)),0)</f>
        <v/>
      </c>
      <c r="E70" s="47">
        <f>IFERROR(D70-C70,0)</f>
        <v/>
      </c>
      <c r="F70" s="24">
        <f>IFERROR(E70/ABS(C70),"")</f>
        <v/>
      </c>
      <c r="G70" s="39">
        <f>IFERROR((INDEX('C4 GEG LR Budget'!$D$19:$O$19,'C1 GEG Setting'!$C$6))*1000000/(INDEX('C2 GEG Ops Budget'!$D$8:$O$8,'C1 GEG Setting'!$C$6))/(INDEX('C2 GEG Ops Budget'!$D$25:$O$25,'C1 GEG Setting'!$C$6)),0)</f>
        <v/>
      </c>
      <c r="H70" s="47">
        <f>IFERROR(D70-G70,0)</f>
        <v/>
      </c>
      <c r="I70" s="24">
        <f>IFERROR(H70/ABS(G70),"")</f>
        <v/>
      </c>
      <c r="J70" s="39">
        <f>IFERROR((SUMIF('C5 GEG LR Aktual'!$D$5:$O$5,"&lt;="&amp;'C1 GEG Setting'!$C$6,'C5 GEG LR Aktual'!$D$19:$O$19))*1000000/(SUMIF('C3 GEG Ops Aktual'!$D$5:$O$5,"&lt;="&amp;'C1 GEG Setting'!$C$6,'C3 GEG Ops Aktual'!$D$8:$O$8))/(IFERROR(AVERAGEIFS('C3 GEG Ops Aktual'!$D$25:$O$25,'C3 GEG Ops Aktual'!$D$5:$O$5,"&lt;="&amp;'C1 GEG Setting'!$C$6),0)),0)</f>
        <v/>
      </c>
      <c r="K70" s="39">
        <f>IFERROR((SUMIF('C4 GEG LR Budget'!$D$5:$O$5,"&lt;="&amp;'C1 GEG Setting'!$C$6,'C4 GEG LR Budget'!$D$19:$O$19))*1000000/(SUMIF('C2 GEG Ops Budget'!$D$5:$O$5,"&lt;="&amp;'C1 GEG Setting'!$C$6,'C2 GEG Ops Budget'!$D$8:$O$8))/(IFERROR(AVERAGEIFS('C2 GEG Ops Budget'!$D$25:$O$25,'C2 GEG Ops Budget'!$D$5:$O$5,"&lt;="&amp;'C1 GEG Setting'!$C$6),0)),0)</f>
        <v/>
      </c>
      <c r="L70" s="47">
        <f>IFERROR(J70-K70,0)</f>
        <v/>
      </c>
      <c r="M70" s="24">
        <f>IFERROR(L70/ABS(K70),"")</f>
        <v/>
      </c>
      <c r="N70" s="76" t="n"/>
    </row>
    <row r="71">
      <c r="A71" s="48" t="inlineStr">
        <is>
          <t>Total biaya OB per bcm</t>
        </is>
      </c>
      <c r="B71" s="49" t="inlineStr">
        <is>
          <t>USD/bcm</t>
        </is>
      </c>
      <c r="C71" s="52">
        <f>IFERROR((IF('C1 GEG Setting'!$C$6=1,0,INDEX('C5 GEG LR Aktual'!$D$17:$O$17,'C1 GEG Setting'!$C$6-1))+IF('C1 GEG Setting'!$C$6=1,0,INDEX('C5 GEG LR Aktual'!$D$18:$O$18,'C1 GEG Setting'!$C$6-1))+IF('C1 GEG Setting'!$C$6=1,0,INDEX('C5 GEG LR Aktual'!$D$19:$O$19,'C1 GEG Setting'!$C$6-1)))*1000000/(IF('C1 GEG Setting'!$C$6=1,0,INDEX('C3 GEG Ops Aktual'!$D$8:$O$8,'C1 GEG Setting'!$C$6-1)))/(IF('C1 GEG Setting'!$C$6=1,0,INDEX('C3 GEG Ops Aktual'!$D$25:$O$25,'C1 GEG Setting'!$C$6-1))),0)</f>
        <v/>
      </c>
      <c r="D71" s="52">
        <f>IFERROR((INDEX('C5 GEG LR Aktual'!$D$17:$O$17,'C1 GEG Setting'!$C$6)+INDEX('C5 GEG LR Aktual'!$D$18:$O$18,'C1 GEG Setting'!$C$6)+INDEX('C5 GEG LR Aktual'!$D$19:$O$19,'C1 GEG Setting'!$C$6))*1000000/(INDEX('C3 GEG Ops Aktual'!$D$8:$O$8,'C1 GEG Setting'!$C$6))/(INDEX('C3 GEG Ops Aktual'!$D$25:$O$25,'C1 GEG Setting'!$C$6)),0)</f>
        <v/>
      </c>
      <c r="E71" s="53">
        <f>IFERROR(D71-C71,0)</f>
        <v/>
      </c>
      <c r="F71" s="54">
        <f>IFERROR(E71/ABS(C71),"")</f>
        <v/>
      </c>
      <c r="G71" s="52">
        <f>IFERROR((INDEX('C4 GEG LR Budget'!$D$17:$O$17,'C1 GEG Setting'!$C$6)+INDEX('C4 GEG LR Budget'!$D$18:$O$18,'C1 GEG Setting'!$C$6)+INDEX('C4 GEG LR Budget'!$D$19:$O$19,'C1 GEG Setting'!$C$6))*1000000/(INDEX('C2 GEG Ops Budget'!$D$8:$O$8,'C1 GEG Setting'!$C$6))/(INDEX('C2 GEG Ops Budget'!$D$25:$O$25,'C1 GEG Setting'!$C$6)),0)</f>
        <v/>
      </c>
      <c r="H71" s="53">
        <f>IFERROR(D71-G71,0)</f>
        <v/>
      </c>
      <c r="I71" s="54">
        <f>IFERROR(H71/ABS(G71),"")</f>
        <v/>
      </c>
      <c r="J71" s="52">
        <f>IFERROR((SUMIF('C5 GEG LR Aktual'!$D$5:$O$5,"&lt;="&amp;'C1 GEG Setting'!$C$6,'C5 GEG LR Aktual'!$D$17:$O$17)+SUMIF('C5 GEG LR Aktual'!$D$5:$O$5,"&lt;="&amp;'C1 GEG Setting'!$C$6,'C5 GEG LR Aktual'!$D$18:$O$18)+SUMIF('C5 GEG LR Aktual'!$D$5:$O$5,"&lt;="&amp;'C1 GEG Setting'!$C$6,'C5 GEG LR Aktual'!$D$19:$O$19))*1000000/(SUMIF('C3 GEG Ops Aktual'!$D$5:$O$5,"&lt;="&amp;'C1 GEG Setting'!$C$6,'C3 GEG Ops Aktual'!$D$8:$O$8))/(IFERROR(AVERAGEIFS('C3 GEG Ops Aktual'!$D$25:$O$25,'C3 GEG Ops Aktual'!$D$5:$O$5,"&lt;="&amp;'C1 GEG Setting'!$C$6),0)),0)</f>
        <v/>
      </c>
      <c r="K71" s="52">
        <f>IFERROR((SUMIF('C4 GEG LR Budget'!$D$5:$O$5,"&lt;="&amp;'C1 GEG Setting'!$C$6,'C4 GEG LR Budget'!$D$17:$O$17)+SUMIF('C4 GEG LR Budget'!$D$5:$O$5,"&lt;="&amp;'C1 GEG Setting'!$C$6,'C4 GEG LR Budget'!$D$18:$O$18)+SUMIF('C4 GEG LR Budget'!$D$5:$O$5,"&lt;="&amp;'C1 GEG Setting'!$C$6,'C4 GEG LR Budget'!$D$19:$O$19))*1000000/(SUMIF('C2 GEG Ops Budget'!$D$5:$O$5,"&lt;="&amp;'C1 GEG Setting'!$C$6,'C2 GEG Ops Budget'!$D$8:$O$8))/(IFERROR(AVERAGEIFS('C2 GEG Ops Budget'!$D$25:$O$25,'C2 GEG Ops Budget'!$D$5:$O$5,"&lt;="&amp;'C1 GEG Setting'!$C$6),0)),0)</f>
        <v/>
      </c>
      <c r="L71" s="53">
        <f>IFERROR(J71-K71,0)</f>
        <v/>
      </c>
      <c r="M71" s="54">
        <f>IFERROR(L71/ABS(K71),"")</f>
        <v/>
      </c>
      <c r="N71" s="108" t="n"/>
    </row>
    <row r="72">
      <c r="A72" s="10" t="inlineStr">
        <is>
          <t xml:space="preserve">   Coal getting</t>
        </is>
      </c>
      <c r="B72" s="3" t="inlineStr">
        <is>
          <t>USD/t prod</t>
        </is>
      </c>
      <c r="C72" s="39">
        <f>IFERROR((IF('C1 GEG Setting'!$C$6=1,0,INDEX('C5 GEG LR Aktual'!$D$20:$O$20,'C1 GEG Setting'!$C$6-1)))*1000000/(IF('C1 GEG Setting'!$C$6=1,0,INDEX('C3 GEG Ops Aktual'!$D$9:$O$9,'C1 GEG Setting'!$C$6-1)))/(IF('C1 GEG Setting'!$C$6=1,0,INDEX('C3 GEG Ops Aktual'!$D$25:$O$25,'C1 GEG Setting'!$C$6-1))),0)</f>
        <v/>
      </c>
      <c r="D72" s="39">
        <f>IFERROR((INDEX('C5 GEG LR Aktual'!$D$20:$O$20,'C1 GEG Setting'!$C$6))*1000000/(INDEX('C3 GEG Ops Aktual'!$D$9:$O$9,'C1 GEG Setting'!$C$6))/(INDEX('C3 GEG Ops Aktual'!$D$25:$O$25,'C1 GEG Setting'!$C$6)),0)</f>
        <v/>
      </c>
      <c r="E72" s="47">
        <f>IFERROR(D72-C72,0)</f>
        <v/>
      </c>
      <c r="F72" s="24">
        <f>IFERROR(E72/ABS(C72),"")</f>
        <v/>
      </c>
      <c r="G72" s="39">
        <f>IFERROR((INDEX('C4 GEG LR Budget'!$D$20:$O$20,'C1 GEG Setting'!$C$6))*1000000/(INDEX('C2 GEG Ops Budget'!$D$9:$O$9,'C1 GEG Setting'!$C$6))/(INDEX('C2 GEG Ops Budget'!$D$25:$O$25,'C1 GEG Setting'!$C$6)),0)</f>
        <v/>
      </c>
      <c r="H72" s="47">
        <f>IFERROR(D72-G72,0)</f>
        <v/>
      </c>
      <c r="I72" s="24">
        <f>IFERROR(H72/ABS(G72),"")</f>
        <v/>
      </c>
      <c r="J72" s="39">
        <f>IFERROR((SUMIF('C5 GEG LR Aktual'!$D$5:$O$5,"&lt;="&amp;'C1 GEG Setting'!$C$6,'C5 GEG LR Aktual'!$D$20:$O$20))*1000000/(SUMIF('C3 GEG Ops Aktual'!$D$5:$O$5,"&lt;="&amp;'C1 GEG Setting'!$C$6,'C3 GEG Ops Aktual'!$D$9:$O$9))/(IFERROR(AVERAGEIFS('C3 GEG Ops Aktual'!$D$25:$O$25,'C3 GEG Ops Aktual'!$D$5:$O$5,"&lt;="&amp;'C1 GEG Setting'!$C$6),0)),0)</f>
        <v/>
      </c>
      <c r="K72" s="39">
        <f>IFERROR((SUMIF('C4 GEG LR Budget'!$D$5:$O$5,"&lt;="&amp;'C1 GEG Setting'!$C$6,'C4 GEG LR Budget'!$D$20:$O$20))*1000000/(SUMIF('C2 GEG Ops Budget'!$D$5:$O$5,"&lt;="&amp;'C1 GEG Setting'!$C$6,'C2 GEG Ops Budget'!$D$9:$O$9))/(IFERROR(AVERAGEIFS('C2 GEG Ops Budget'!$D$25:$O$25,'C2 GEG Ops Budget'!$D$5:$O$5,"&lt;="&amp;'C1 GEG Setting'!$C$6),0)),0)</f>
        <v/>
      </c>
      <c r="L72" s="47">
        <f>IFERROR(J72-K72,0)</f>
        <v/>
      </c>
      <c r="M72" s="24">
        <f>IFERROR(L72/ABS(K72),"")</f>
        <v/>
      </c>
      <c r="N72" s="76" t="n"/>
    </row>
    <row r="73">
      <c r="A73" s="10" t="inlineStr">
        <is>
          <t xml:space="preserve">   Biaya tambang tetap</t>
        </is>
      </c>
      <c r="B73" s="3" t="inlineStr">
        <is>
          <t>USD/t prod</t>
        </is>
      </c>
      <c r="C73" s="39">
        <f>IFERROR((IF('C1 GEG Setting'!$C$6=1,0,INDEX('C5 GEG LR Aktual'!$D$21:$O$21,'C1 GEG Setting'!$C$6-1))+IF('C1 GEG Setting'!$C$6=1,0,INDEX('C5 GEG LR Aktual'!$D$22:$O$22,'C1 GEG Setting'!$C$6-1))+IF('C1 GEG Setting'!$C$6=1,0,INDEX('C5 GEG LR Aktual'!$D$23:$O$23,'C1 GEG Setting'!$C$6-1))+IF('C1 GEG Setting'!$C$6=1,0,INDEX('C5 GEG LR Aktual'!$D$24:$O$24,'C1 GEG Setting'!$C$6-1)))*1000000/(IF('C1 GEG Setting'!$C$6=1,0,INDEX('C3 GEG Ops Aktual'!$D$9:$O$9,'C1 GEG Setting'!$C$6-1)))/(IF('C1 GEG Setting'!$C$6=1,0,INDEX('C3 GEG Ops Aktual'!$D$25:$O$25,'C1 GEG Setting'!$C$6-1))),0)</f>
        <v/>
      </c>
      <c r="D73" s="39">
        <f>IFERROR((INDEX('C5 GEG LR Aktual'!$D$21:$O$21,'C1 GEG Setting'!$C$6)+INDEX('C5 GEG LR Aktual'!$D$22:$O$22,'C1 GEG Setting'!$C$6)+INDEX('C5 GEG LR Aktual'!$D$23:$O$23,'C1 GEG Setting'!$C$6)+INDEX('C5 GEG LR Aktual'!$D$24:$O$24,'C1 GEG Setting'!$C$6))*1000000/(INDEX('C3 GEG Ops Aktual'!$D$9:$O$9,'C1 GEG Setting'!$C$6))/(INDEX('C3 GEG Ops Aktual'!$D$25:$O$25,'C1 GEG Setting'!$C$6)),0)</f>
        <v/>
      </c>
      <c r="E73" s="47">
        <f>IFERROR(D73-C73,0)</f>
        <v/>
      </c>
      <c r="F73" s="24">
        <f>IFERROR(E73/ABS(C73),"")</f>
        <v/>
      </c>
      <c r="G73" s="39">
        <f>IFERROR((INDEX('C4 GEG LR Budget'!$D$21:$O$21,'C1 GEG Setting'!$C$6)+INDEX('C4 GEG LR Budget'!$D$22:$O$22,'C1 GEG Setting'!$C$6)+INDEX('C4 GEG LR Budget'!$D$23:$O$23,'C1 GEG Setting'!$C$6)+INDEX('C4 GEG LR Budget'!$D$24:$O$24,'C1 GEG Setting'!$C$6))*1000000/(INDEX('C2 GEG Ops Budget'!$D$9:$O$9,'C1 GEG Setting'!$C$6))/(INDEX('C2 GEG Ops Budget'!$D$25:$O$25,'C1 GEG Setting'!$C$6)),0)</f>
        <v/>
      </c>
      <c r="H73" s="47">
        <f>IFERROR(D73-G73,0)</f>
        <v/>
      </c>
      <c r="I73" s="24">
        <f>IFERROR(H73/ABS(G73),"")</f>
        <v/>
      </c>
      <c r="J73" s="39">
        <f>IFERROR((SUMIF('C5 GEG LR Aktual'!$D$5:$O$5,"&lt;="&amp;'C1 GEG Setting'!$C$6,'C5 GEG LR Aktual'!$D$21:$O$21)+SUMIF('C5 GEG LR Aktual'!$D$5:$O$5,"&lt;="&amp;'C1 GEG Setting'!$C$6,'C5 GEG LR Aktual'!$D$22:$O$22)+SUMIF('C5 GEG LR Aktual'!$D$5:$O$5,"&lt;="&amp;'C1 GEG Setting'!$C$6,'C5 GEG LR Aktual'!$D$23:$O$23)+SUMIF('C5 GEG LR Aktual'!$D$5:$O$5,"&lt;="&amp;'C1 GEG Setting'!$C$6,'C5 GEG LR Aktual'!$D$24:$O$24))*1000000/(SUMIF('C3 GEG Ops Aktual'!$D$5:$O$5,"&lt;="&amp;'C1 GEG Setting'!$C$6,'C3 GEG Ops Aktual'!$D$9:$O$9))/(IFERROR(AVERAGEIFS('C3 GEG Ops Aktual'!$D$25:$O$25,'C3 GEG Ops Aktual'!$D$5:$O$5,"&lt;="&amp;'C1 GEG Setting'!$C$6),0)),0)</f>
        <v/>
      </c>
      <c r="K73" s="39">
        <f>IFERROR((SUMIF('C4 GEG LR Budget'!$D$5:$O$5,"&lt;="&amp;'C1 GEG Setting'!$C$6,'C4 GEG LR Budget'!$D$21:$O$21)+SUMIF('C4 GEG LR Budget'!$D$5:$O$5,"&lt;="&amp;'C1 GEG Setting'!$C$6,'C4 GEG LR Budget'!$D$22:$O$22)+SUMIF('C4 GEG LR Budget'!$D$5:$O$5,"&lt;="&amp;'C1 GEG Setting'!$C$6,'C4 GEG LR Budget'!$D$23:$O$23)+SUMIF('C4 GEG LR Budget'!$D$5:$O$5,"&lt;="&amp;'C1 GEG Setting'!$C$6,'C4 GEG LR Budget'!$D$24:$O$24))*1000000/(SUMIF('C2 GEG Ops Budget'!$D$5:$O$5,"&lt;="&amp;'C1 GEG Setting'!$C$6,'C2 GEG Ops Budget'!$D$9:$O$9))/(IFERROR(AVERAGEIFS('C2 GEG Ops Budget'!$D$25:$O$25,'C2 GEG Ops Budget'!$D$5:$O$5,"&lt;="&amp;'C1 GEG Setting'!$C$6),0)),0)</f>
        <v/>
      </c>
      <c r="L73" s="47">
        <f>IFERROR(J73-K73,0)</f>
        <v/>
      </c>
      <c r="M73" s="24">
        <f>IFERROR(L73/ABS(K73),"")</f>
        <v/>
      </c>
      <c r="N73" s="76" t="n"/>
    </row>
    <row r="74">
      <c r="A74" s="48" t="inlineStr">
        <is>
          <t>Mining cost / ton produksi</t>
        </is>
      </c>
      <c r="B74" s="49" t="inlineStr">
        <is>
          <t>USD/t prod</t>
        </is>
      </c>
      <c r="C74" s="52">
        <f>IFERROR((IF('C1 GEG Setting'!$C$6=1,0,INDEX('C5 GEG LR Aktual'!$D$25:$O$25,'C1 GEG Setting'!$C$6-1)))*1000000/(IF('C1 GEG Setting'!$C$6=1,0,INDEX('C3 GEG Ops Aktual'!$D$9:$O$9,'C1 GEG Setting'!$C$6-1)))/(IF('C1 GEG Setting'!$C$6=1,0,INDEX('C3 GEG Ops Aktual'!$D$25:$O$25,'C1 GEG Setting'!$C$6-1))),0)</f>
        <v/>
      </c>
      <c r="D74" s="52">
        <f>IFERROR((INDEX('C5 GEG LR Aktual'!$D$25:$O$25,'C1 GEG Setting'!$C$6))*1000000/(INDEX('C3 GEG Ops Aktual'!$D$9:$O$9,'C1 GEG Setting'!$C$6))/(INDEX('C3 GEG Ops Aktual'!$D$25:$O$25,'C1 GEG Setting'!$C$6)),0)</f>
        <v/>
      </c>
      <c r="E74" s="53">
        <f>IFERROR(D74-C74,0)</f>
        <v/>
      </c>
      <c r="F74" s="54">
        <f>IFERROR(E74/ABS(C74),"")</f>
        <v/>
      </c>
      <c r="G74" s="52">
        <f>IFERROR((INDEX('C4 GEG LR Budget'!$D$25:$O$25,'C1 GEG Setting'!$C$6))*1000000/(INDEX('C2 GEG Ops Budget'!$D$9:$O$9,'C1 GEG Setting'!$C$6))/(INDEX('C2 GEG Ops Budget'!$D$25:$O$25,'C1 GEG Setting'!$C$6)),0)</f>
        <v/>
      </c>
      <c r="H74" s="53">
        <f>IFERROR(D74-G74,0)</f>
        <v/>
      </c>
      <c r="I74" s="54">
        <f>IFERROR(H74/ABS(G74),"")</f>
        <v/>
      </c>
      <c r="J74" s="52">
        <f>IFERROR((SUMIF('C5 GEG LR Aktual'!$D$5:$O$5,"&lt;="&amp;'C1 GEG Setting'!$C$6,'C5 GEG LR Aktual'!$D$25:$O$25))*1000000/(SUMIF('C3 GEG Ops Aktual'!$D$5:$O$5,"&lt;="&amp;'C1 GEG Setting'!$C$6,'C3 GEG Ops Aktual'!$D$9:$O$9))/(IFERROR(AVERAGEIFS('C3 GEG Ops Aktual'!$D$25:$O$25,'C3 GEG Ops Aktual'!$D$5:$O$5,"&lt;="&amp;'C1 GEG Setting'!$C$6),0)),0)</f>
        <v/>
      </c>
      <c r="K74" s="52">
        <f>IFERROR((SUMIF('C4 GEG LR Budget'!$D$5:$O$5,"&lt;="&amp;'C1 GEG Setting'!$C$6,'C4 GEG LR Budget'!$D$25:$O$25))*1000000/(SUMIF('C2 GEG Ops Budget'!$D$5:$O$5,"&lt;="&amp;'C1 GEG Setting'!$C$6,'C2 GEG Ops Budget'!$D$9:$O$9))/(IFERROR(AVERAGEIFS('C2 GEG Ops Budget'!$D$25:$O$25,'C2 GEG Ops Budget'!$D$5:$O$5,"&lt;="&amp;'C1 GEG Setting'!$C$6),0)),0)</f>
        <v/>
      </c>
      <c r="L74" s="53">
        <f>IFERROR(J74-K74,0)</f>
        <v/>
      </c>
      <c r="M74" s="54">
        <f>IFERROR(L74/ABS(K74),"")</f>
        <v/>
      </c>
      <c r="N74" s="108" t="n"/>
    </row>
    <row r="75">
      <c r="A75" s="10" t="inlineStr">
        <is>
          <t xml:space="preserve">   Crushing &amp; pengolahan</t>
        </is>
      </c>
      <c r="B75" s="3" t="inlineStr">
        <is>
          <t>USD/t prod</t>
        </is>
      </c>
      <c r="C75" s="39">
        <f>IFERROR((IF('C1 GEG Setting'!$C$6=1,0,INDEX('C5 GEG LR Aktual'!$D$27:$O$27,'C1 GEG Setting'!$C$6-1)))*1000000/(IF('C1 GEG Setting'!$C$6=1,0,INDEX('C3 GEG Ops Aktual'!$D$9:$O$9,'C1 GEG Setting'!$C$6-1)))/(IF('C1 GEG Setting'!$C$6=1,0,INDEX('C3 GEG Ops Aktual'!$D$25:$O$25,'C1 GEG Setting'!$C$6-1))),0)</f>
        <v/>
      </c>
      <c r="D75" s="39">
        <f>IFERROR((INDEX('C5 GEG LR Aktual'!$D$27:$O$27,'C1 GEG Setting'!$C$6))*1000000/(INDEX('C3 GEG Ops Aktual'!$D$9:$O$9,'C1 GEG Setting'!$C$6))/(INDEX('C3 GEG Ops Aktual'!$D$25:$O$25,'C1 GEG Setting'!$C$6)),0)</f>
        <v/>
      </c>
      <c r="E75" s="47">
        <f>IFERROR(D75-C75,0)</f>
        <v/>
      </c>
      <c r="F75" s="24">
        <f>IFERROR(E75/ABS(C75),"")</f>
        <v/>
      </c>
      <c r="G75" s="39">
        <f>IFERROR((INDEX('C4 GEG LR Budget'!$D$27:$O$27,'C1 GEG Setting'!$C$6))*1000000/(INDEX('C2 GEG Ops Budget'!$D$9:$O$9,'C1 GEG Setting'!$C$6))/(INDEX('C2 GEG Ops Budget'!$D$25:$O$25,'C1 GEG Setting'!$C$6)),0)</f>
        <v/>
      </c>
      <c r="H75" s="47">
        <f>IFERROR(D75-G75,0)</f>
        <v/>
      </c>
      <c r="I75" s="24">
        <f>IFERROR(H75/ABS(G75),"")</f>
        <v/>
      </c>
      <c r="J75" s="39">
        <f>IFERROR((SUMIF('C5 GEG LR Aktual'!$D$5:$O$5,"&lt;="&amp;'C1 GEG Setting'!$C$6,'C5 GEG LR Aktual'!$D$27:$O$27))*1000000/(SUMIF('C3 GEG Ops Aktual'!$D$5:$O$5,"&lt;="&amp;'C1 GEG Setting'!$C$6,'C3 GEG Ops Aktual'!$D$9:$O$9))/(IFERROR(AVERAGEIFS('C3 GEG Ops Aktual'!$D$25:$O$25,'C3 GEG Ops Aktual'!$D$5:$O$5,"&lt;="&amp;'C1 GEG Setting'!$C$6),0)),0)</f>
        <v/>
      </c>
      <c r="K75" s="39">
        <f>IFERROR((SUMIF('C4 GEG LR Budget'!$D$5:$O$5,"&lt;="&amp;'C1 GEG Setting'!$C$6,'C4 GEG LR Budget'!$D$27:$O$27))*1000000/(SUMIF('C2 GEG Ops Budget'!$D$5:$O$5,"&lt;="&amp;'C1 GEG Setting'!$C$6,'C2 GEG Ops Budget'!$D$9:$O$9))/(IFERROR(AVERAGEIFS('C2 GEG Ops Budget'!$D$25:$O$25,'C2 GEG Ops Budget'!$D$5:$O$5,"&lt;="&amp;'C1 GEG Setting'!$C$6),0)),0)</f>
        <v/>
      </c>
      <c r="L75" s="47">
        <f>IFERROR(J75-K75,0)</f>
        <v/>
      </c>
      <c r="M75" s="24">
        <f>IFERROR(L75/ABS(K75),"")</f>
        <v/>
      </c>
      <c r="N75" s="76" t="n"/>
    </row>
    <row r="76">
      <c r="A76" s="10" t="inlineStr">
        <is>
          <t xml:space="preserve">   Hauling</t>
        </is>
      </c>
      <c r="B76" s="3" t="inlineStr">
        <is>
          <t>USD/t</t>
        </is>
      </c>
      <c r="C76" s="39">
        <f>IFERROR((IF('C1 GEG Setting'!$C$6=1,0,INDEX('C5 GEG LR Aktual'!$D$28:$O$28,'C1 GEG Setting'!$C$6-1)))*1000000/(IF('C1 GEG Setting'!$C$6=1,0,INDEX('C3 GEG Ops Aktual'!$D$11:$O$11,'C1 GEG Setting'!$C$6-1)))/(IF('C1 GEG Setting'!$C$6=1,0,INDEX('C3 GEG Ops Aktual'!$D$25:$O$25,'C1 GEG Setting'!$C$6-1))),0)</f>
        <v/>
      </c>
      <c r="D76" s="39">
        <f>IFERROR((INDEX('C5 GEG LR Aktual'!$D$28:$O$28,'C1 GEG Setting'!$C$6))*1000000/(INDEX('C3 GEG Ops Aktual'!$D$11:$O$11,'C1 GEG Setting'!$C$6))/(INDEX('C3 GEG Ops Aktual'!$D$25:$O$25,'C1 GEG Setting'!$C$6)),0)</f>
        <v/>
      </c>
      <c r="E76" s="47">
        <f>IFERROR(D76-C76,0)</f>
        <v/>
      </c>
      <c r="F76" s="24">
        <f>IFERROR(E76/ABS(C76),"")</f>
        <v/>
      </c>
      <c r="G76" s="39">
        <f>IFERROR((INDEX('C4 GEG LR Budget'!$D$28:$O$28,'C1 GEG Setting'!$C$6))*1000000/(INDEX('C2 GEG Ops Budget'!$D$11:$O$11,'C1 GEG Setting'!$C$6))/(INDEX('C2 GEG Ops Budget'!$D$25:$O$25,'C1 GEG Setting'!$C$6)),0)</f>
        <v/>
      </c>
      <c r="H76" s="47">
        <f>IFERROR(D76-G76,0)</f>
        <v/>
      </c>
      <c r="I76" s="24">
        <f>IFERROR(H76/ABS(G76),"")</f>
        <v/>
      </c>
      <c r="J76" s="39">
        <f>IFERROR((SUMIF('C5 GEG LR Aktual'!$D$5:$O$5,"&lt;="&amp;'C1 GEG Setting'!$C$6,'C5 GEG LR Aktual'!$D$28:$O$28))*1000000/(SUMIF('C3 GEG Ops Aktual'!$D$5:$O$5,"&lt;="&amp;'C1 GEG Setting'!$C$6,'C3 GEG Ops Aktual'!$D$11:$O$11))/(IFERROR(AVERAGEIFS('C3 GEG Ops Aktual'!$D$25:$O$25,'C3 GEG Ops Aktual'!$D$5:$O$5,"&lt;="&amp;'C1 GEG Setting'!$C$6),0)),0)</f>
        <v/>
      </c>
      <c r="K76" s="39">
        <f>IFERROR((SUMIF('C4 GEG LR Budget'!$D$5:$O$5,"&lt;="&amp;'C1 GEG Setting'!$C$6,'C4 GEG LR Budget'!$D$28:$O$28))*1000000/(SUMIF('C2 GEG Ops Budget'!$D$5:$O$5,"&lt;="&amp;'C1 GEG Setting'!$C$6,'C2 GEG Ops Budget'!$D$11:$O$11))/(IFERROR(AVERAGEIFS('C2 GEG Ops Budget'!$D$25:$O$25,'C2 GEG Ops Budget'!$D$5:$O$5,"&lt;="&amp;'C1 GEG Setting'!$C$6),0)),0)</f>
        <v/>
      </c>
      <c r="L76" s="47">
        <f>IFERROR(J76-K76,0)</f>
        <v/>
      </c>
      <c r="M76" s="24">
        <f>IFERROR(L76/ABS(K76),"")</f>
        <v/>
      </c>
      <c r="N76" s="76" t="n"/>
    </row>
    <row r="77">
      <c r="A77" s="10" t="inlineStr">
        <is>
          <t xml:space="preserve">   Pelabuhan &amp; stockpile</t>
        </is>
      </c>
      <c r="B77" s="3" t="inlineStr">
        <is>
          <t>USD/t jual</t>
        </is>
      </c>
      <c r="C77" s="39">
        <f>IFERROR((IF('C1 GEG Setting'!$C$6=1,0,INDEX('C5 GEG LR Aktual'!$D$29:$O$29,'C1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77" s="39">
        <f>IFERROR((INDEX('C5 GEG LR Aktual'!$D$29:$O$29,'C1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77" s="47">
        <f>IFERROR(D77-C77,0)</f>
        <v/>
      </c>
      <c r="F77" s="24">
        <f>IFERROR(E77/ABS(C77),"")</f>
        <v/>
      </c>
      <c r="G77" s="39">
        <f>IFERROR((INDEX('C4 GEG LR Budget'!$D$29:$O$29,'C1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77" s="47">
        <f>IFERROR(D77-G77,0)</f>
        <v/>
      </c>
      <c r="I77" s="24">
        <f>IFERROR(H77/ABS(G77),"")</f>
        <v/>
      </c>
      <c r="J77" s="39">
        <f>IFERROR((SUMIF('C5 GEG LR Aktual'!$D$5:$O$5,"&lt;="&amp;'C1 GEG Setting'!$C$6,'C5 GEG LR Aktual'!$D$29:$O$29))*1000000/((SUMIF('C3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77" s="39">
        <f>IFERROR((SUMIF('C4 GEG LR Budget'!$D$5:$O$5,"&lt;="&amp;'C1 GEG Setting'!$C$6,'C4 GEG LR Budget'!$D$29:$O$29))*1000000/((SUMIF('C2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77" s="47">
        <f>IFERROR(J77-K77,0)</f>
        <v/>
      </c>
      <c r="M77" s="24">
        <f>IFERROR(L77/ABS(K77),"")</f>
        <v/>
      </c>
      <c r="N77" s="76" t="n"/>
    </row>
    <row r="78">
      <c r="A78" s="10" t="inlineStr">
        <is>
          <t xml:space="preserve">   Barging</t>
        </is>
      </c>
      <c r="B78" s="3" t="inlineStr">
        <is>
          <t>USD/t</t>
        </is>
      </c>
      <c r="C78" s="39">
        <f>IFERROR((IF('C1 GEG Setting'!$C$6=1,0,INDEX('C5 GEG LR Aktual'!$D$30:$O$30,'C1 GEG Setting'!$C$6-1)))*1000000/(IF('C1 GEG Setting'!$C$6=1,0,INDEX('C3 GEG Ops Aktual'!$D$13:$O$13,'C1 GEG Setting'!$C$6-1)))/(IF('C1 GEG Setting'!$C$6=1,0,INDEX('C3 GEG Ops Aktual'!$D$25:$O$25,'C1 GEG Setting'!$C$6-1))),0)</f>
        <v/>
      </c>
      <c r="D78" s="39">
        <f>IFERROR((INDEX('C5 GEG LR Aktual'!$D$30:$O$30,'C1 GEG Setting'!$C$6))*1000000/(INDEX('C3 GEG Ops Aktual'!$D$13:$O$13,'C1 GEG Setting'!$C$6))/(INDEX('C3 GEG Ops Aktual'!$D$25:$O$25,'C1 GEG Setting'!$C$6)),0)</f>
        <v/>
      </c>
      <c r="E78" s="47">
        <f>IFERROR(D78-C78,0)</f>
        <v/>
      </c>
      <c r="F78" s="24">
        <f>IFERROR(E78/ABS(C78),"")</f>
        <v/>
      </c>
      <c r="G78" s="39">
        <f>IFERROR((INDEX('C4 GEG LR Budget'!$D$30:$O$30,'C1 GEG Setting'!$C$6))*1000000/(INDEX('C2 GEG Ops Budget'!$D$13:$O$13,'C1 GEG Setting'!$C$6))/(INDEX('C2 GEG Ops Budget'!$D$25:$O$25,'C1 GEG Setting'!$C$6)),0)</f>
        <v/>
      </c>
      <c r="H78" s="47">
        <f>IFERROR(D78-G78,0)</f>
        <v/>
      </c>
      <c r="I78" s="24">
        <f>IFERROR(H78/ABS(G78),"")</f>
        <v/>
      </c>
      <c r="J78" s="39">
        <f>IFERROR((SUMIF('C5 GEG LR Aktual'!$D$5:$O$5,"&lt;="&amp;'C1 GEG Setting'!$C$6,'C5 GEG LR Aktual'!$D$30:$O$30))*1000000/(SUMIF('C3 GEG Ops Aktual'!$D$5:$O$5,"&lt;="&amp;'C1 GEG Setting'!$C$6,'C3 GEG Ops Aktual'!$D$13:$O$13))/(IFERROR(AVERAGEIFS('C3 GEG Ops Aktual'!$D$25:$O$25,'C3 GEG Ops Aktual'!$D$5:$O$5,"&lt;="&amp;'C1 GEG Setting'!$C$6),0)),0)</f>
        <v/>
      </c>
      <c r="K78" s="39">
        <f>IFERROR((SUMIF('C4 GEG LR Budget'!$D$5:$O$5,"&lt;="&amp;'C1 GEG Setting'!$C$6,'C4 GEG LR Budget'!$D$30:$O$30))*1000000/(SUMIF('C2 GEG Ops Budget'!$D$5:$O$5,"&lt;="&amp;'C1 GEG Setting'!$C$6,'C2 GEG Ops Budget'!$D$13:$O$13))/(IFERROR(AVERAGEIFS('C2 GEG Ops Budget'!$D$25:$O$25,'C2 GEG Ops Budget'!$D$5:$O$5,"&lt;="&amp;'C1 GEG Setting'!$C$6),0)),0)</f>
        <v/>
      </c>
      <c r="L78" s="47">
        <f>IFERROR(J78-K78,0)</f>
        <v/>
      </c>
      <c r="M78" s="24">
        <f>IFERROR(L78/ABS(K78),"")</f>
        <v/>
      </c>
      <c r="N78" s="76" t="n"/>
    </row>
    <row r="79">
      <c r="A79" s="10" t="inlineStr">
        <is>
          <t xml:space="preserve">   Overhead site</t>
        </is>
      </c>
      <c r="B79" s="3" t="inlineStr">
        <is>
          <t>USD/t prod</t>
        </is>
      </c>
      <c r="C79" s="39">
        <f>IFERROR((IF('C1 GEG Setting'!$C$6=1,0,INDEX('C5 GEG LR Aktual'!$D$41:$O$41,'C1 GEG Setting'!$C$6-1)))*1000000/(IF('C1 GEG Setting'!$C$6=1,0,INDEX('C3 GEG Ops Aktual'!$D$9:$O$9,'C1 GEG Setting'!$C$6-1)))/(IF('C1 GEG Setting'!$C$6=1,0,INDEX('C3 GEG Ops Aktual'!$D$25:$O$25,'C1 GEG Setting'!$C$6-1))),0)</f>
        <v/>
      </c>
      <c r="D79" s="39">
        <f>IFERROR((INDEX('C5 GEG LR Aktual'!$D$41:$O$41,'C1 GEG Setting'!$C$6))*1000000/(INDEX('C3 GEG Ops Aktual'!$D$9:$O$9,'C1 GEG Setting'!$C$6))/(INDEX('C3 GEG Ops Aktual'!$D$25:$O$25,'C1 GEG Setting'!$C$6)),0)</f>
        <v/>
      </c>
      <c r="E79" s="47">
        <f>IFERROR(D79-C79,0)</f>
        <v/>
      </c>
      <c r="F79" s="24">
        <f>IFERROR(E79/ABS(C79),"")</f>
        <v/>
      </c>
      <c r="G79" s="39">
        <f>IFERROR((INDEX('C4 GEG LR Budget'!$D$41:$O$41,'C1 GEG Setting'!$C$6))*1000000/(INDEX('C2 GEG Ops Budget'!$D$9:$O$9,'C1 GEG Setting'!$C$6))/(INDEX('C2 GEG Ops Budget'!$D$25:$O$25,'C1 GEG Setting'!$C$6)),0)</f>
        <v/>
      </c>
      <c r="H79" s="47">
        <f>IFERROR(D79-G79,0)</f>
        <v/>
      </c>
      <c r="I79" s="24">
        <f>IFERROR(H79/ABS(G79),"")</f>
        <v/>
      </c>
      <c r="J79" s="39">
        <f>IFERROR((SUMIF('C5 GEG LR Aktual'!$D$5:$O$5,"&lt;="&amp;'C1 GEG Setting'!$C$6,'C5 GEG LR Aktual'!$D$41:$O$41))*1000000/(SUMIF('C3 GEG Ops Aktual'!$D$5:$O$5,"&lt;="&amp;'C1 GEG Setting'!$C$6,'C3 GEG Ops Aktual'!$D$9:$O$9))/(IFERROR(AVERAGEIFS('C3 GEG Ops Aktual'!$D$25:$O$25,'C3 GEG Ops Aktual'!$D$5:$O$5,"&lt;="&amp;'C1 GEG Setting'!$C$6),0)),0)</f>
        <v/>
      </c>
      <c r="K79" s="39">
        <f>IFERROR((SUMIF('C4 GEG LR Budget'!$D$5:$O$5,"&lt;="&amp;'C1 GEG Setting'!$C$6,'C4 GEG LR Budget'!$D$41:$O$41))*1000000/(SUMIF('C2 GEG Ops Budget'!$D$5:$O$5,"&lt;="&amp;'C1 GEG Setting'!$C$6,'C2 GEG Ops Budget'!$D$9:$O$9))/(IFERROR(AVERAGEIFS('C2 GEG Ops Budget'!$D$25:$O$25,'C2 GEG Ops Budget'!$D$5:$O$5,"&lt;="&amp;'C1 GEG Setting'!$C$6),0)),0)</f>
        <v/>
      </c>
      <c r="L79" s="47">
        <f>IFERROR(J79-K79,0)</f>
        <v/>
      </c>
      <c r="M79" s="24">
        <f>IFERROR(L79/ABS(K79),"")</f>
        <v/>
      </c>
      <c r="N79" s="76" t="n"/>
    </row>
    <row r="80">
      <c r="A80" s="48" t="inlineStr">
        <is>
          <t>Cash cost FOB excl. royalti / ton jual</t>
        </is>
      </c>
      <c r="B80" s="49" t="inlineStr">
        <is>
          <t>USD/t jual</t>
        </is>
      </c>
      <c r="C80" s="52">
        <f>IFERROR((IF('C1 GEG Setting'!$C$6=1,0,INDEX('C5 GEG LR Aktual'!$D$25:$O$25,'C1 GEG Setting'!$C$6-1))+IF('C1 GEG Setting'!$C$6=1,0,INDEX('C5 GEG LR Aktual'!$D$31:$O$31,'C1 GEG Setting'!$C$6-1))+IF('C1 GEG Setting'!$C$6=1,0,INDEX('C5 GEG LR Aktual'!$D$41:$O$41,'C1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80" s="52">
        <f>IFERROR((INDEX('C5 GEG LR Aktual'!$D$25:$O$25,'C1 GEG Setting'!$C$6)+INDEX('C5 GEG LR Aktual'!$D$31:$O$31,'C1 GEG Setting'!$C$6)+INDEX('C5 GEG LR Aktual'!$D$41:$O$41,'C1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80" s="53">
        <f>IFERROR(D80-C80,0)</f>
        <v/>
      </c>
      <c r="F80" s="54">
        <f>IFERROR(E80/ABS(C80),"")</f>
        <v/>
      </c>
      <c r="G80" s="52">
        <f>IFERROR((INDEX('C4 GEG LR Budget'!$D$25:$O$25,'C1 GEG Setting'!$C$6)+INDEX('C4 GEG LR Budget'!$D$31:$O$31,'C1 GEG Setting'!$C$6)+INDEX('C4 GEG LR Budget'!$D$41:$O$41,'C1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80" s="53">
        <f>IFERROR(D80-G80,0)</f>
        <v/>
      </c>
      <c r="I80" s="54">
        <f>IFERROR(H80/ABS(G80),"")</f>
        <v/>
      </c>
      <c r="J80" s="52">
        <f>IFERROR((SUMIF('C5 GEG LR Aktual'!$D$5:$O$5,"&lt;="&amp;'C1 GEG Setting'!$C$6,'C5 GEG LR Aktual'!$D$25:$O$25)+SUMIF('C5 GEG LR Aktual'!$D$5:$O$5,"&lt;="&amp;'C1 GEG Setting'!$C$6,'C5 GEG LR Aktual'!$D$31:$O$31)+SUMIF('C5 GEG LR Aktual'!$D$5:$O$5,"&lt;="&amp;'C1 GEG Setting'!$C$6,'C5 GEG LR Aktual'!$D$41:$O$41))*1000000/((SUMIF('C3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80" s="52">
        <f>IFERROR((SUMIF('C4 GEG LR Budget'!$D$5:$O$5,"&lt;="&amp;'C1 GEG Setting'!$C$6,'C4 GEG LR Budget'!$D$25:$O$25)+SUMIF('C4 GEG LR Budget'!$D$5:$O$5,"&lt;="&amp;'C1 GEG Setting'!$C$6,'C4 GEG LR Budget'!$D$31:$O$31)+SUMIF('C4 GEG LR Budget'!$D$5:$O$5,"&lt;="&amp;'C1 GEG Setting'!$C$6,'C4 GEG LR Budget'!$D$41:$O$41))*1000000/((SUMIF('C2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80" s="53">
        <f>IFERROR(J80-K80,0)</f>
        <v/>
      </c>
      <c r="M80" s="54">
        <f>IFERROR(L80/ABS(K80),"")</f>
        <v/>
      </c>
      <c r="N80" s="108" t="n"/>
    </row>
    <row r="81">
      <c r="A81" s="10" t="inlineStr">
        <is>
          <t xml:space="preserve">   Royalti</t>
        </is>
      </c>
      <c r="B81" s="3" t="inlineStr">
        <is>
          <t>USD/t jual</t>
        </is>
      </c>
      <c r="C81" s="39">
        <f>IFERROR((IF('C1 GEG Setting'!$C$6=1,0,INDEX('C5 GEG LR Aktual'!$D$33:$O$33,'C1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81" s="39">
        <f>IFERROR((INDEX('C5 GEG LR Aktual'!$D$33:$O$33,'C1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81" s="47">
        <f>IFERROR(D81-C81,0)</f>
        <v/>
      </c>
      <c r="F81" s="24">
        <f>IFERROR(E81/ABS(C81),"")</f>
        <v/>
      </c>
      <c r="G81" s="39">
        <f>IFERROR((INDEX('C4 GEG LR Budget'!$D$33:$O$33,'C1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81" s="47">
        <f>IFERROR(D81-G81,0)</f>
        <v/>
      </c>
      <c r="I81" s="24">
        <f>IFERROR(H81/ABS(G81),"")</f>
        <v/>
      </c>
      <c r="J81" s="39">
        <f>IFERROR((SUMIF('C5 GEG LR Aktual'!$D$5:$O$5,"&lt;="&amp;'C1 GEG Setting'!$C$6,'C5 GEG LR Aktual'!$D$33:$O$33))*1000000/((SUMIF('C3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81" s="39">
        <f>IFERROR((SUMIF('C4 GEG LR Budget'!$D$5:$O$5,"&lt;="&amp;'C1 GEG Setting'!$C$6,'C4 GEG LR Budget'!$D$33:$O$33))*1000000/((SUMIF('C2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81" s="47">
        <f>IFERROR(J81-K81,0)</f>
        <v/>
      </c>
      <c r="M81" s="24">
        <f>IFERROR(L81/ABS(K81),"")</f>
        <v/>
      </c>
      <c r="N81" s="76" t="n"/>
    </row>
    <row r="82">
      <c r="A82" s="10" t="inlineStr">
        <is>
          <t xml:space="preserve">   Beban penjualan</t>
        </is>
      </c>
      <c r="B82" s="3" t="inlineStr">
        <is>
          <t>USD/t jual</t>
        </is>
      </c>
      <c r="C82" s="39">
        <f>IFERROR((IF('C1 GEG Setting'!$C$6=1,0,INDEX('C5 GEG LR Aktual'!$D$60:$O$60,'C1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82" s="39">
        <f>IFERROR((INDEX('C5 GEG LR Aktual'!$D$60:$O$60,'C1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82" s="47">
        <f>IFERROR(D82-C82,0)</f>
        <v/>
      </c>
      <c r="F82" s="24">
        <f>IFERROR(E82/ABS(C82),"")</f>
        <v/>
      </c>
      <c r="G82" s="39">
        <f>IFERROR((INDEX('C4 GEG LR Budget'!$D$60:$O$60,'C1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82" s="47">
        <f>IFERROR(D82-G82,0)</f>
        <v/>
      </c>
      <c r="I82" s="24">
        <f>IFERROR(H82/ABS(G82),"")</f>
        <v/>
      </c>
      <c r="J82" s="39">
        <f>IFERROR((SUMIF('C5 GEG LR Aktual'!$D$5:$O$5,"&lt;="&amp;'C1 GEG Setting'!$C$6,'C5 GEG LR Aktual'!$D$60:$O$60))*1000000/((SUMIF('C3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82" s="39">
        <f>IFERROR((SUMIF('C4 GEG LR Budget'!$D$5:$O$5,"&lt;="&amp;'C1 GEG Setting'!$C$6,'C4 GEG LR Budget'!$D$60:$O$60))*1000000/((SUMIF('C2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82" s="47">
        <f>IFERROR(J82-K82,0)</f>
        <v/>
      </c>
      <c r="M82" s="24">
        <f>IFERROR(L82/ABS(K82),"")</f>
        <v/>
      </c>
      <c r="N82" s="76" t="n"/>
    </row>
    <row r="83">
      <c r="A83" s="10" t="inlineStr">
        <is>
          <t xml:space="preserve">   G&amp;A excl. penyusutan</t>
        </is>
      </c>
      <c r="B83" s="3" t="inlineStr">
        <is>
          <t>USD/t jual</t>
        </is>
      </c>
      <c r="C83" s="39">
        <f>IFERROR((IF('C1 GEG Setting'!$C$6=1,0,INDEX('C5 GEG LR Aktual'!$D$71:$O$71,'C1 GEG Setting'!$C$6-1))-IF('C1 GEG Setting'!$C$6=1,0,INDEX('C5 GEG LR Aktual'!$D$69:$O$69,'C1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83" s="39">
        <f>IFERROR((INDEX('C5 GEG LR Aktual'!$D$71:$O$71,'C1 GEG Setting'!$C$6)-INDEX('C5 GEG LR Aktual'!$D$69:$O$69,'C1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83" s="47">
        <f>IFERROR(D83-C83,0)</f>
        <v/>
      </c>
      <c r="F83" s="24">
        <f>IFERROR(E83/ABS(C83),"")</f>
        <v/>
      </c>
      <c r="G83" s="39">
        <f>IFERROR((INDEX('C4 GEG LR Budget'!$D$71:$O$71,'C1 GEG Setting'!$C$6)-INDEX('C4 GEG LR Budget'!$D$69:$O$69,'C1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83" s="47">
        <f>IFERROR(D83-G83,0)</f>
        <v/>
      </c>
      <c r="I83" s="24">
        <f>IFERROR(H83/ABS(G83),"")</f>
        <v/>
      </c>
      <c r="J83" s="39">
        <f>IFERROR((SUMIF('C5 GEG LR Aktual'!$D$5:$O$5,"&lt;="&amp;'C1 GEG Setting'!$C$6,'C5 GEG LR Aktual'!$D$71:$O$71)-SUMIF('C5 GEG LR Aktual'!$D$5:$O$5,"&lt;="&amp;'C1 GEG Setting'!$C$6,'C5 GEG LR Aktual'!$D$69:$O$69))*1000000/((SUMIF('C3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83" s="39">
        <f>IFERROR((SUMIF('C4 GEG LR Budget'!$D$5:$O$5,"&lt;="&amp;'C1 GEG Setting'!$C$6,'C4 GEG LR Budget'!$D$71:$O$71)-SUMIF('C4 GEG LR Budget'!$D$5:$O$5,"&lt;="&amp;'C1 GEG Setting'!$C$6,'C4 GEG LR Budget'!$D$69:$O$69))*1000000/((SUMIF('C2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83" s="47">
        <f>IFERROR(J83-K83,0)</f>
        <v/>
      </c>
      <c r="M83" s="24">
        <f>IFERROR(L83/ABS(K83),"")</f>
        <v/>
      </c>
      <c r="N83" s="76" t="n"/>
    </row>
    <row r="84">
      <c r="A84" s="48" t="inlineStr">
        <is>
          <t>Total cash cost / ton jual</t>
        </is>
      </c>
      <c r="B84" s="49" t="inlineStr">
        <is>
          <t>USD/t jual</t>
        </is>
      </c>
      <c r="C84" s="52">
        <f>IFERROR((IF('C1 GEG Setting'!$C$6=1,0,INDEX('C5 GEG LR Aktual'!$D$25:$O$25,'C1 GEG Setting'!$C$6-1))+IF('C1 GEG Setting'!$C$6=1,0,INDEX('C5 GEG LR Aktual'!$D$31:$O$31,'C1 GEG Setting'!$C$6-1))+IF('C1 GEG Setting'!$C$6=1,0,INDEX('C5 GEG LR Aktual'!$D$41:$O$41,'C1 GEG Setting'!$C$6-1))+IF('C1 GEG Setting'!$C$6=1,0,INDEX('C5 GEG LR Aktual'!$D$33:$O$33,'C1 GEG Setting'!$C$6-1))+IF('C1 GEG Setting'!$C$6=1,0,INDEX('C5 GEG LR Aktual'!$D$60:$O$60,'C1 GEG Setting'!$C$6-1))+IF('C1 GEG Setting'!$C$6=1,0,INDEX('C5 GEG LR Aktual'!$D$71:$O$71,'C1 GEG Setting'!$C$6-1))-IF('C1 GEG Setting'!$C$6=1,0,INDEX('C5 GEG LR Aktual'!$D$69:$O$69,'C1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84" s="52">
        <f>IFERROR((INDEX('C5 GEG LR Aktual'!$D$25:$O$25,'C1 GEG Setting'!$C$6)+INDEX('C5 GEG LR Aktual'!$D$31:$O$31,'C1 GEG Setting'!$C$6)+INDEX('C5 GEG LR Aktual'!$D$41:$O$41,'C1 GEG Setting'!$C$6)+INDEX('C5 GEG LR Aktual'!$D$33:$O$33,'C1 GEG Setting'!$C$6)+INDEX('C5 GEG LR Aktual'!$D$60:$O$60,'C1 GEG Setting'!$C$6)+INDEX('C5 GEG LR Aktual'!$D$71:$O$71,'C1 GEG Setting'!$C$6)-INDEX('C5 GEG LR Aktual'!$D$69:$O$69,'C1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84" s="53">
        <f>IFERROR(D84-C84,0)</f>
        <v/>
      </c>
      <c r="F84" s="54">
        <f>IFERROR(E84/ABS(C84),"")</f>
        <v/>
      </c>
      <c r="G84" s="52">
        <f>IFERROR((INDEX('C4 GEG LR Budget'!$D$25:$O$25,'C1 GEG Setting'!$C$6)+INDEX('C4 GEG LR Budget'!$D$31:$O$31,'C1 GEG Setting'!$C$6)+INDEX('C4 GEG LR Budget'!$D$41:$O$41,'C1 GEG Setting'!$C$6)+INDEX('C4 GEG LR Budget'!$D$33:$O$33,'C1 GEG Setting'!$C$6)+INDEX('C4 GEG LR Budget'!$D$60:$O$60,'C1 GEG Setting'!$C$6)+INDEX('C4 GEG LR Budget'!$D$71:$O$71,'C1 GEG Setting'!$C$6)-INDEX('C4 GEG LR Budget'!$D$69:$O$69,'C1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84" s="53">
        <f>IFERROR(D84-G84,0)</f>
        <v/>
      </c>
      <c r="I84" s="54">
        <f>IFERROR(H84/ABS(G84),"")</f>
        <v/>
      </c>
      <c r="J84" s="52">
        <f>IFERROR((SUMIF('C5 GEG LR Aktual'!$D$5:$O$5,"&lt;="&amp;'C1 GEG Setting'!$C$6,'C5 GEG LR Aktual'!$D$25:$O$25)+SUMIF('C5 GEG LR Aktual'!$D$5:$O$5,"&lt;="&amp;'C1 GEG Setting'!$C$6,'C5 GEG LR Aktual'!$D$31:$O$31)+SUMIF('C5 GEG LR Aktual'!$D$5:$O$5,"&lt;="&amp;'C1 GEG Setting'!$C$6,'C5 GEG LR Aktual'!$D$41:$O$41)+SUMIF('C5 GEG LR Aktual'!$D$5:$O$5,"&lt;="&amp;'C1 GEG Setting'!$C$6,'C5 GEG LR Aktual'!$D$33:$O$33)+SUMIF('C5 GEG LR Aktual'!$D$5:$O$5,"&lt;="&amp;'C1 GEG Setting'!$C$6,'C5 GEG LR Aktual'!$D$60:$O$60)+SUMIF('C5 GEG LR Aktual'!$D$5:$O$5,"&lt;="&amp;'C1 GEG Setting'!$C$6,'C5 GEG LR Aktual'!$D$71:$O$71)-SUMIF('C5 GEG LR Aktual'!$D$5:$O$5,"&lt;="&amp;'C1 GEG Setting'!$C$6,'C5 GEG LR Aktual'!$D$69:$O$69))*1000000/((SUMIF('C3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84" s="52">
        <f>IFERROR((SUMIF('C4 GEG LR Budget'!$D$5:$O$5,"&lt;="&amp;'C1 GEG Setting'!$C$6,'C4 GEG LR Budget'!$D$25:$O$25)+SUMIF('C4 GEG LR Budget'!$D$5:$O$5,"&lt;="&amp;'C1 GEG Setting'!$C$6,'C4 GEG LR Budget'!$D$31:$O$31)+SUMIF('C4 GEG LR Budget'!$D$5:$O$5,"&lt;="&amp;'C1 GEG Setting'!$C$6,'C4 GEG LR Budget'!$D$41:$O$41)+SUMIF('C4 GEG LR Budget'!$D$5:$O$5,"&lt;="&amp;'C1 GEG Setting'!$C$6,'C4 GEG LR Budget'!$D$33:$O$33)+SUMIF('C4 GEG LR Budget'!$D$5:$O$5,"&lt;="&amp;'C1 GEG Setting'!$C$6,'C4 GEG LR Budget'!$D$60:$O$60)+SUMIF('C4 GEG LR Budget'!$D$5:$O$5,"&lt;="&amp;'C1 GEG Setting'!$C$6,'C4 GEG LR Budget'!$D$71:$O$71)-SUMIF('C4 GEG LR Budget'!$D$5:$O$5,"&lt;="&amp;'C1 GEG Setting'!$C$6,'C4 GEG LR Budget'!$D$69:$O$69))*1000000/((SUMIF('C2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84" s="53">
        <f>IFERROR(J84-K84,0)</f>
        <v/>
      </c>
      <c r="M84" s="54">
        <f>IFERROR(L84/ABS(K84),"")</f>
        <v/>
      </c>
      <c r="N84" s="108" t="n"/>
    </row>
    <row r="85">
      <c r="A85" s="48" t="inlineStr">
        <is>
          <t>Harga jual rata-rata (ASP)</t>
        </is>
      </c>
      <c r="B85" s="49" t="inlineStr">
        <is>
          <t>USD/t jual</t>
        </is>
      </c>
      <c r="C85" s="52">
        <f>IFERROR((IF('C1 GEG Setting'!$C$6=1,0,INDEX('C5 GEG LR Aktual'!$D$11:$O$11,'C1 GEG Setting'!$C$6-1))+IF('C1 GEG Setting'!$C$6=1,0,INDEX('C5 GEG LR Aktual'!$D$12:$O$12,'C1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85" s="52">
        <f>IFERROR((INDEX('C5 GEG LR Aktual'!$D$11:$O$11,'C1 GEG Setting'!$C$6)+INDEX('C5 GEG LR Aktual'!$D$12:$O$12,'C1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85" s="53">
        <f>IFERROR(D85-C85,0)</f>
        <v/>
      </c>
      <c r="F85" s="54">
        <f>IFERROR(E85/ABS(C85),"")</f>
        <v/>
      </c>
      <c r="G85" s="52">
        <f>IFERROR((INDEX('C4 GEG LR Budget'!$D$11:$O$11,'C1 GEG Setting'!$C$6)+INDEX('C4 GEG LR Budget'!$D$12:$O$12,'C1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85" s="53">
        <f>IFERROR(D85-G85,0)</f>
        <v/>
      </c>
      <c r="I85" s="54">
        <f>IFERROR(H85/ABS(G85),"")</f>
        <v/>
      </c>
      <c r="J85" s="52">
        <f>IFERROR((SUMIF('C5 GEG LR Aktual'!$D$5:$O$5,"&lt;="&amp;'C1 GEG Setting'!$C$6,'C5 GEG LR Aktual'!$D$11:$O$11)+SUMIF('C5 GEG LR Aktual'!$D$5:$O$5,"&lt;="&amp;'C1 GEG Setting'!$C$6,'C5 GEG LR Aktual'!$D$12:$O$12))*1000000/((SUMIF('C3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85" s="52">
        <f>IFERROR((SUMIF('C4 GEG LR Budget'!$D$5:$O$5,"&lt;="&amp;'C1 GEG Setting'!$C$6,'C4 GEG LR Budget'!$D$11:$O$11)+SUMIF('C4 GEG LR Budget'!$D$5:$O$5,"&lt;="&amp;'C1 GEG Setting'!$C$6,'C4 GEG LR Budget'!$D$12:$O$12))*1000000/((SUMIF('C2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85" s="53">
        <f>IFERROR(J85-K85,0)</f>
        <v/>
      </c>
      <c r="M85" s="54">
        <f>IFERROR(L85/ABS(K85),"")</f>
        <v/>
      </c>
      <c r="N85" s="108" t="n"/>
    </row>
    <row r="86"/>
    <row r="87">
      <c r="A87" s="3" t="inlineStr">
        <is>
          <t>Unit cost memakai kurs rata-rata periode masing-masing kolom. Varians unit cost positif = biaya per unit naik.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P9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1" t="inlineStr">
        <is>
          <t>GEG – Tren Volume Bulanan: Aktual Tahun Lalu vs Budget vs Aktual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Format mengikuti halaman "Volume – by Calendar" laporan AAT. Blok aktual tahun lalu diisi sekali setahun (sel kuning).</t>
        </is>
      </c>
    </row>
    <row r="3"/>
    <row r="4">
      <c r="P4" s="3" t="inlineStr">
        <is>
          <t>Kolom P = YTD s/d bulan laporan</t>
        </is>
      </c>
    </row>
    <row r="5">
      <c r="D5" s="80" t="n">
        <v>1</v>
      </c>
      <c r="E5" s="80" t="n">
        <v>2</v>
      </c>
      <c r="F5" s="80" t="n">
        <v>3</v>
      </c>
      <c r="G5" s="80" t="n">
        <v>4</v>
      </c>
      <c r="H5" s="80" t="n">
        <v>5</v>
      </c>
      <c r="I5" s="80" t="n">
        <v>6</v>
      </c>
      <c r="J5" s="80" t="n">
        <v>7</v>
      </c>
      <c r="K5" s="80" t="n">
        <v>8</v>
      </c>
      <c r="L5" s="80" t="n">
        <v>9</v>
      </c>
      <c r="M5" s="80" t="n">
        <v>10</v>
      </c>
      <c r="N5" s="80" t="n">
        <v>11</v>
      </c>
      <c r="O5" s="80" t="n">
        <v>12</v>
      </c>
    </row>
    <row r="6">
      <c r="A6" s="4" t="inlineStr">
        <is>
          <t>AKTUAL TAHUN LALU (input)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16" t="inlineStr">
        <is>
          <t>Uraian</t>
        </is>
      </c>
      <c r="B7" s="16" t="inlineStr">
        <is>
          <t>Satuan</t>
        </is>
      </c>
      <c r="C7" s="16" t="inlineStr"/>
      <c r="D7" s="16" t="inlineStr">
        <is>
          <t>Jan</t>
        </is>
      </c>
      <c r="E7" s="16" t="inlineStr">
        <is>
          <t>Feb</t>
        </is>
      </c>
      <c r="F7" s="16" t="inlineStr">
        <is>
          <t>Mar</t>
        </is>
      </c>
      <c r="G7" s="16" t="inlineStr">
        <is>
          <t>Apr</t>
        </is>
      </c>
      <c r="H7" s="16" t="inlineStr">
        <is>
          <t>Mei</t>
        </is>
      </c>
      <c r="I7" s="16" t="inlineStr">
        <is>
          <t>Jun</t>
        </is>
      </c>
      <c r="J7" s="16" t="inlineStr">
        <is>
          <t>Jul</t>
        </is>
      </c>
      <c r="K7" s="16" t="inlineStr">
        <is>
          <t>Agu</t>
        </is>
      </c>
      <c r="L7" s="16" t="inlineStr">
        <is>
          <t>Sep</t>
        </is>
      </c>
      <c r="M7" s="16" t="inlineStr">
        <is>
          <t>Okt</t>
        </is>
      </c>
      <c r="N7" s="16" t="inlineStr">
        <is>
          <t>Nov</t>
        </is>
      </c>
      <c r="O7" s="16" t="inlineStr">
        <is>
          <t>Des</t>
        </is>
      </c>
      <c r="P7" s="16" t="inlineStr">
        <is>
          <t>Total / Akhir</t>
        </is>
      </c>
    </row>
    <row r="8">
      <c r="A8" s="10" t="inlineStr">
        <is>
          <t>OB removal (bcm)</t>
        </is>
      </c>
      <c r="D8" s="17" t="n">
        <v>1535089</v>
      </c>
      <c r="E8" s="17" t="n">
        <v>1443864</v>
      </c>
      <c r="F8" s="17" t="n">
        <v>1682982</v>
      </c>
      <c r="G8" s="17" t="n">
        <v>1696414</v>
      </c>
      <c r="H8" s="17" t="n">
        <v>1936938</v>
      </c>
      <c r="I8" s="17" t="n">
        <v>1963992</v>
      </c>
      <c r="J8" s="17" t="n">
        <v>1867300</v>
      </c>
      <c r="K8" s="17" t="n">
        <v>1926136</v>
      </c>
      <c r="L8" s="17" t="n">
        <v>1788199</v>
      </c>
      <c r="M8" s="17" t="n">
        <v>1843712</v>
      </c>
      <c r="N8" s="17" t="n">
        <v>1723203</v>
      </c>
      <c r="O8" s="17" t="n">
        <v>1620886</v>
      </c>
      <c r="P8" s="70">
        <f>SUMIF($D$5:$O$5,"&lt;="&amp;'C1 GEG Setting'!$C$6,D8:O8)</f>
        <v/>
      </c>
    </row>
    <row r="9">
      <c r="A9" s="10" t="inlineStr">
        <is>
          <t>Produksi batubara (ton)</t>
        </is>
      </c>
      <c r="D9" s="17" t="n">
        <v>208975</v>
      </c>
      <c r="E9" s="17" t="n">
        <v>182637</v>
      </c>
      <c r="F9" s="17" t="n">
        <v>214420</v>
      </c>
      <c r="G9" s="17" t="n">
        <v>220942</v>
      </c>
      <c r="H9" s="17" t="n">
        <v>240325</v>
      </c>
      <c r="I9" s="17" t="n">
        <v>231697</v>
      </c>
      <c r="J9" s="17" t="n">
        <v>240762</v>
      </c>
      <c r="K9" s="17" t="n">
        <v>267930</v>
      </c>
      <c r="L9" s="17" t="n">
        <v>250642</v>
      </c>
      <c r="M9" s="17" t="n">
        <v>242174</v>
      </c>
      <c r="N9" s="17" t="n">
        <v>221404</v>
      </c>
      <c r="O9" s="17" t="n">
        <v>223326</v>
      </c>
      <c r="P9" s="70">
        <f>SUMIF($D$5:$O$5,"&lt;="&amp;'C1 GEG Setting'!$C$6,D9:O9)</f>
        <v/>
      </c>
    </row>
    <row r="10">
      <c r="A10" s="10" t="inlineStr">
        <is>
          <t>Stripping ratio (bcm/t)</t>
        </is>
      </c>
      <c r="D10" s="47">
        <f>IFERROR(D8/D9,0)</f>
        <v/>
      </c>
      <c r="E10" s="47">
        <f>IFERROR(E8/E9,0)</f>
        <v/>
      </c>
      <c r="F10" s="47">
        <f>IFERROR(F8/F9,0)</f>
        <v/>
      </c>
      <c r="G10" s="47">
        <f>IFERROR(G8/G9,0)</f>
        <v/>
      </c>
      <c r="H10" s="47">
        <f>IFERROR(H8/H9,0)</f>
        <v/>
      </c>
      <c r="I10" s="47">
        <f>IFERROR(I8/I9,0)</f>
        <v/>
      </c>
      <c r="J10" s="47">
        <f>IFERROR(J8/J9,0)</f>
        <v/>
      </c>
      <c r="K10" s="47">
        <f>IFERROR(K8/K9,0)</f>
        <v/>
      </c>
      <c r="L10" s="47">
        <f>IFERROR(L8/L9,0)</f>
        <v/>
      </c>
      <c r="M10" s="47">
        <f>IFERROR(M8/M9,0)</f>
        <v/>
      </c>
      <c r="N10" s="47">
        <f>IFERROR(N8/N9,0)</f>
        <v/>
      </c>
      <c r="O10" s="47">
        <f>IFERROR(O8/O9,0)</f>
        <v/>
      </c>
      <c r="P10" s="60">
        <f>IFERROR(P8/P9,0)</f>
        <v/>
      </c>
    </row>
    <row r="11">
      <c r="A11" s="10" t="inlineStr">
        <is>
          <t>Penjualan (ton)</t>
        </is>
      </c>
      <c r="D11" s="17" t="n">
        <v>185693</v>
      </c>
      <c r="E11" s="17" t="n">
        <v>189415</v>
      </c>
      <c r="F11" s="17" t="n">
        <v>200764</v>
      </c>
      <c r="G11" s="17" t="n">
        <v>213928</v>
      </c>
      <c r="H11" s="17" t="n">
        <v>226520</v>
      </c>
      <c r="I11" s="17" t="n">
        <v>246962</v>
      </c>
      <c r="J11" s="17" t="n">
        <v>245321</v>
      </c>
      <c r="K11" s="17" t="n">
        <v>262062</v>
      </c>
      <c r="L11" s="17" t="n">
        <v>243038</v>
      </c>
      <c r="M11" s="17" t="n">
        <v>219200</v>
      </c>
      <c r="N11" s="17" t="n">
        <v>221986</v>
      </c>
      <c r="O11" s="17" t="n">
        <v>204151</v>
      </c>
      <c r="P11" s="70">
        <f>SUMIF($D$5:$O$5,"&lt;="&amp;'C1 GEG Setting'!$C$6,D11:O11)</f>
        <v/>
      </c>
    </row>
    <row r="12">
      <c r="A12" s="10" t="inlineStr">
        <is>
          <t>Barging (ton)</t>
        </is>
      </c>
      <c r="D12" s="17" t="n">
        <v>184636</v>
      </c>
      <c r="E12" s="17" t="n">
        <v>186998</v>
      </c>
      <c r="F12" s="17" t="n">
        <v>220558</v>
      </c>
      <c r="G12" s="17" t="n">
        <v>239331</v>
      </c>
      <c r="H12" s="17" t="n">
        <v>241005</v>
      </c>
      <c r="I12" s="17" t="n">
        <v>239384</v>
      </c>
      <c r="J12" s="17" t="n">
        <v>249411</v>
      </c>
      <c r="K12" s="17" t="n">
        <v>258455</v>
      </c>
      <c r="L12" s="17" t="n">
        <v>227280</v>
      </c>
      <c r="M12" s="17" t="n">
        <v>243143</v>
      </c>
      <c r="N12" s="17" t="n">
        <v>217958</v>
      </c>
      <c r="O12" s="17" t="n">
        <v>195354</v>
      </c>
      <c r="P12" s="70">
        <f>SUMIF($D$5:$O$5,"&lt;="&amp;'C1 GEG Setting'!$C$6,D12:O12)</f>
        <v/>
      </c>
    </row>
    <row r="13">
      <c r="A13" s="10" t="inlineStr">
        <is>
          <t>Stok akhir (ton)</t>
        </is>
      </c>
      <c r="D13" s="17" t="n">
        <v>174832</v>
      </c>
      <c r="E13" s="17" t="n">
        <v>178359</v>
      </c>
      <c r="F13" s="17" t="n">
        <v>184163</v>
      </c>
      <c r="G13" s="17" t="n">
        <v>173986</v>
      </c>
      <c r="H13" s="17" t="n">
        <v>197897</v>
      </c>
      <c r="I13" s="17" t="n">
        <v>182640</v>
      </c>
      <c r="J13" s="17" t="n">
        <v>187307</v>
      </c>
      <c r="K13" s="17" t="n">
        <v>196790</v>
      </c>
      <c r="L13" s="17" t="n">
        <v>220309</v>
      </c>
      <c r="M13" s="17" t="n">
        <v>209249</v>
      </c>
      <c r="N13" s="17" t="n">
        <v>228161</v>
      </c>
      <c r="O13" s="17" t="n">
        <v>231370</v>
      </c>
      <c r="P13" s="70">
        <f>INDEX(D13:O13,'C1 GEG Setting'!$C$6)</f>
        <v/>
      </c>
    </row>
    <row r="14"/>
    <row r="15">
      <c r="A15" s="4" t="inlineStr">
        <is>
          <t>BUDGET TAHUN BERJALAN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16" t="inlineStr">
        <is>
          <t>Uraian</t>
        </is>
      </c>
      <c r="B16" s="16" t="inlineStr">
        <is>
          <t>Satuan</t>
        </is>
      </c>
      <c r="C16" s="16" t="inlineStr"/>
      <c r="D16" s="16" t="inlineStr">
        <is>
          <t>Jan</t>
        </is>
      </c>
      <c r="E16" s="16" t="inlineStr">
        <is>
          <t>Feb</t>
        </is>
      </c>
      <c r="F16" s="16" t="inlineStr">
        <is>
          <t>Mar</t>
        </is>
      </c>
      <c r="G16" s="16" t="inlineStr">
        <is>
          <t>Apr</t>
        </is>
      </c>
      <c r="H16" s="16" t="inlineStr">
        <is>
          <t>Mei</t>
        </is>
      </c>
      <c r="I16" s="16" t="inlineStr">
        <is>
          <t>Jun</t>
        </is>
      </c>
      <c r="J16" s="16" t="inlineStr">
        <is>
          <t>Jul</t>
        </is>
      </c>
      <c r="K16" s="16" t="inlineStr">
        <is>
          <t>Agu</t>
        </is>
      </c>
      <c r="L16" s="16" t="inlineStr">
        <is>
          <t>Sep</t>
        </is>
      </c>
      <c r="M16" s="16" t="inlineStr">
        <is>
          <t>Okt</t>
        </is>
      </c>
      <c r="N16" s="16" t="inlineStr">
        <is>
          <t>Nov</t>
        </is>
      </c>
      <c r="O16" s="16" t="inlineStr">
        <is>
          <t>Des</t>
        </is>
      </c>
      <c r="P16" s="16" t="inlineStr">
        <is>
          <t>Total / Akhir</t>
        </is>
      </c>
    </row>
    <row r="17">
      <c r="A17" s="10" t="inlineStr">
        <is>
          <t>OB removal (bcm)</t>
        </is>
      </c>
      <c r="D17" s="28">
        <f>'C2 GEG Ops Budget'!D8</f>
        <v/>
      </c>
      <c r="E17" s="28">
        <f>'C2 GEG Ops Budget'!E8</f>
        <v/>
      </c>
      <c r="F17" s="28">
        <f>'C2 GEG Ops Budget'!F8</f>
        <v/>
      </c>
      <c r="G17" s="28">
        <f>'C2 GEG Ops Budget'!G8</f>
        <v/>
      </c>
      <c r="H17" s="28">
        <f>'C2 GEG Ops Budget'!H8</f>
        <v/>
      </c>
      <c r="I17" s="28">
        <f>'C2 GEG Ops Budget'!I8</f>
        <v/>
      </c>
      <c r="J17" s="28">
        <f>'C2 GEG Ops Budget'!J8</f>
        <v/>
      </c>
      <c r="K17" s="28">
        <f>'C2 GEG Ops Budget'!K8</f>
        <v/>
      </c>
      <c r="L17" s="28">
        <f>'C2 GEG Ops Budget'!L8</f>
        <v/>
      </c>
      <c r="M17" s="28">
        <f>'C2 GEG Ops Budget'!M8</f>
        <v/>
      </c>
      <c r="N17" s="28">
        <f>'C2 GEG Ops Budget'!N8</f>
        <v/>
      </c>
      <c r="O17" s="28">
        <f>'C2 GEG Ops Budget'!O8</f>
        <v/>
      </c>
      <c r="P17" s="70">
        <f>SUMIF('C2 GEG Ops Budget'!$D$5:$O$5,"&lt;="&amp;'C1 GEG Setting'!$C$6,'C2 GEG Ops Budget'!$D$8:$O$8)</f>
        <v/>
      </c>
    </row>
    <row r="18">
      <c r="A18" s="10" t="inlineStr">
        <is>
          <t>Produksi batubara (ton)</t>
        </is>
      </c>
      <c r="D18" s="28">
        <f>'C2 GEG Ops Budget'!D9</f>
        <v/>
      </c>
      <c r="E18" s="28">
        <f>'C2 GEG Ops Budget'!E9</f>
        <v/>
      </c>
      <c r="F18" s="28">
        <f>'C2 GEG Ops Budget'!F9</f>
        <v/>
      </c>
      <c r="G18" s="28">
        <f>'C2 GEG Ops Budget'!G9</f>
        <v/>
      </c>
      <c r="H18" s="28">
        <f>'C2 GEG Ops Budget'!H9</f>
        <v/>
      </c>
      <c r="I18" s="28">
        <f>'C2 GEG Ops Budget'!I9</f>
        <v/>
      </c>
      <c r="J18" s="28">
        <f>'C2 GEG Ops Budget'!J9</f>
        <v/>
      </c>
      <c r="K18" s="28">
        <f>'C2 GEG Ops Budget'!K9</f>
        <v/>
      </c>
      <c r="L18" s="28">
        <f>'C2 GEG Ops Budget'!L9</f>
        <v/>
      </c>
      <c r="M18" s="28">
        <f>'C2 GEG Ops Budget'!M9</f>
        <v/>
      </c>
      <c r="N18" s="28">
        <f>'C2 GEG Ops Budget'!N9</f>
        <v/>
      </c>
      <c r="O18" s="28">
        <f>'C2 GEG Ops Budget'!O9</f>
        <v/>
      </c>
      <c r="P18" s="70">
        <f>SUMIF('C2 GEG Ops Budget'!$D$5:$O$5,"&lt;="&amp;'C1 GEG Setting'!$C$6,'C2 GEG Ops Budget'!$D$9:$O$9)</f>
        <v/>
      </c>
    </row>
    <row r="19">
      <c r="A19" s="10" t="inlineStr">
        <is>
          <t>Stripping ratio (bcm/t)</t>
        </is>
      </c>
      <c r="D19" s="39">
        <f>'C2 GEG Ops Budget'!D10</f>
        <v/>
      </c>
      <c r="E19" s="39">
        <f>'C2 GEG Ops Budget'!E10</f>
        <v/>
      </c>
      <c r="F19" s="39">
        <f>'C2 GEG Ops Budget'!F10</f>
        <v/>
      </c>
      <c r="G19" s="39">
        <f>'C2 GEG Ops Budget'!G10</f>
        <v/>
      </c>
      <c r="H19" s="39">
        <f>'C2 GEG Ops Budget'!H10</f>
        <v/>
      </c>
      <c r="I19" s="39">
        <f>'C2 GEG Ops Budget'!I10</f>
        <v/>
      </c>
      <c r="J19" s="39">
        <f>'C2 GEG Ops Budget'!J10</f>
        <v/>
      </c>
      <c r="K19" s="39">
        <f>'C2 GEG Ops Budget'!K10</f>
        <v/>
      </c>
      <c r="L19" s="39">
        <f>'C2 GEG Ops Budget'!L10</f>
        <v/>
      </c>
      <c r="M19" s="39">
        <f>'C2 GEG Ops Budget'!M10</f>
        <v/>
      </c>
      <c r="N19" s="39">
        <f>'C2 GEG Ops Budget'!N10</f>
        <v/>
      </c>
      <c r="O19" s="39">
        <f>'C2 GEG Ops Budget'!O10</f>
        <v/>
      </c>
      <c r="P19" s="60">
        <f>IFERROR(P17/P18,0)</f>
        <v/>
      </c>
    </row>
    <row r="20">
      <c r="A20" s="10" t="inlineStr">
        <is>
          <t>Penjualan (ton)</t>
        </is>
      </c>
      <c r="D20" s="28">
        <f>'C2 GEG Ops Budget'!D19</f>
        <v/>
      </c>
      <c r="E20" s="28">
        <f>'C2 GEG Ops Budget'!E19</f>
        <v/>
      </c>
      <c r="F20" s="28">
        <f>'C2 GEG Ops Budget'!F19</f>
        <v/>
      </c>
      <c r="G20" s="28">
        <f>'C2 GEG Ops Budget'!G19</f>
        <v/>
      </c>
      <c r="H20" s="28">
        <f>'C2 GEG Ops Budget'!H19</f>
        <v/>
      </c>
      <c r="I20" s="28">
        <f>'C2 GEG Ops Budget'!I19</f>
        <v/>
      </c>
      <c r="J20" s="28">
        <f>'C2 GEG Ops Budget'!J19</f>
        <v/>
      </c>
      <c r="K20" s="28">
        <f>'C2 GEG Ops Budget'!K19</f>
        <v/>
      </c>
      <c r="L20" s="28">
        <f>'C2 GEG Ops Budget'!L19</f>
        <v/>
      </c>
      <c r="M20" s="28">
        <f>'C2 GEG Ops Budget'!M19</f>
        <v/>
      </c>
      <c r="N20" s="28">
        <f>'C2 GEG Ops Budget'!N19</f>
        <v/>
      </c>
      <c r="O20" s="28">
        <f>'C2 GEG Ops Budget'!O19</f>
        <v/>
      </c>
      <c r="P20" s="70">
        <f>SUMIF('C2 GEG Ops Budget'!$D$5:$O$5,"&lt;="&amp;'C1 GEG Setting'!$C$6,'C2 GEG Ops Budget'!$D$19:$O$19)</f>
        <v/>
      </c>
    </row>
    <row r="21">
      <c r="A21" s="10" t="inlineStr">
        <is>
          <t>Barging (ton)</t>
        </is>
      </c>
      <c r="D21" s="28">
        <f>'C2 GEG Ops Budget'!D13</f>
        <v/>
      </c>
      <c r="E21" s="28">
        <f>'C2 GEG Ops Budget'!E13</f>
        <v/>
      </c>
      <c r="F21" s="28">
        <f>'C2 GEG Ops Budget'!F13</f>
        <v/>
      </c>
      <c r="G21" s="28">
        <f>'C2 GEG Ops Budget'!G13</f>
        <v/>
      </c>
      <c r="H21" s="28">
        <f>'C2 GEG Ops Budget'!H13</f>
        <v/>
      </c>
      <c r="I21" s="28">
        <f>'C2 GEG Ops Budget'!I13</f>
        <v/>
      </c>
      <c r="J21" s="28">
        <f>'C2 GEG Ops Budget'!J13</f>
        <v/>
      </c>
      <c r="K21" s="28">
        <f>'C2 GEG Ops Budget'!K13</f>
        <v/>
      </c>
      <c r="L21" s="28">
        <f>'C2 GEG Ops Budget'!L13</f>
        <v/>
      </c>
      <c r="M21" s="28">
        <f>'C2 GEG Ops Budget'!M13</f>
        <v/>
      </c>
      <c r="N21" s="28">
        <f>'C2 GEG Ops Budget'!N13</f>
        <v/>
      </c>
      <c r="O21" s="28">
        <f>'C2 GEG Ops Budget'!O13</f>
        <v/>
      </c>
      <c r="P21" s="70">
        <f>SUMIF('C2 GEG Ops Budget'!$D$5:$O$5,"&lt;="&amp;'C1 GEG Setting'!$C$6,'C2 GEG Ops Budget'!$D$13:$O$13)</f>
        <v/>
      </c>
    </row>
    <row r="22">
      <c r="A22" s="10" t="inlineStr">
        <is>
          <t>Stok akhir (ton)</t>
        </is>
      </c>
      <c r="D22" s="28">
        <f>'C2 GEG Ops Budget'!D14</f>
        <v/>
      </c>
      <c r="E22" s="28">
        <f>'C2 GEG Ops Budget'!E14</f>
        <v/>
      </c>
      <c r="F22" s="28">
        <f>'C2 GEG Ops Budget'!F14</f>
        <v/>
      </c>
      <c r="G22" s="28">
        <f>'C2 GEG Ops Budget'!G14</f>
        <v/>
      </c>
      <c r="H22" s="28">
        <f>'C2 GEG Ops Budget'!H14</f>
        <v/>
      </c>
      <c r="I22" s="28">
        <f>'C2 GEG Ops Budget'!I14</f>
        <v/>
      </c>
      <c r="J22" s="28">
        <f>'C2 GEG Ops Budget'!J14</f>
        <v/>
      </c>
      <c r="K22" s="28">
        <f>'C2 GEG Ops Budget'!K14</f>
        <v/>
      </c>
      <c r="L22" s="28">
        <f>'C2 GEG Ops Budget'!L14</f>
        <v/>
      </c>
      <c r="M22" s="28">
        <f>'C2 GEG Ops Budget'!M14</f>
        <v/>
      </c>
      <c r="N22" s="28">
        <f>'C2 GEG Ops Budget'!N14</f>
        <v/>
      </c>
      <c r="O22" s="28">
        <f>'C2 GEG Ops Budget'!O14</f>
        <v/>
      </c>
      <c r="P22" s="70">
        <f>INDEX(D22:O22,'C1 GEG Setting'!$C$6)</f>
        <v/>
      </c>
    </row>
    <row r="23"/>
    <row r="24">
      <c r="A24" s="4" t="inlineStr">
        <is>
          <t>AKTUAL TAHUN BERJALAN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A25" s="16" t="inlineStr">
        <is>
          <t>Uraian</t>
        </is>
      </c>
      <c r="B25" s="16" t="inlineStr">
        <is>
          <t>Satuan</t>
        </is>
      </c>
      <c r="C25" s="16" t="inlineStr"/>
      <c r="D25" s="16" t="inlineStr">
        <is>
          <t>Jan</t>
        </is>
      </c>
      <c r="E25" s="16" t="inlineStr">
        <is>
          <t>Feb</t>
        </is>
      </c>
      <c r="F25" s="16" t="inlineStr">
        <is>
          <t>Mar</t>
        </is>
      </c>
      <c r="G25" s="16" t="inlineStr">
        <is>
          <t>Apr</t>
        </is>
      </c>
      <c r="H25" s="16" t="inlineStr">
        <is>
          <t>Mei</t>
        </is>
      </c>
      <c r="I25" s="16" t="inlineStr">
        <is>
          <t>Jun</t>
        </is>
      </c>
      <c r="J25" s="16" t="inlineStr">
        <is>
          <t>Jul</t>
        </is>
      </c>
      <c r="K25" s="16" t="inlineStr">
        <is>
          <t>Agu</t>
        </is>
      </c>
      <c r="L25" s="16" t="inlineStr">
        <is>
          <t>Sep</t>
        </is>
      </c>
      <c r="M25" s="16" t="inlineStr">
        <is>
          <t>Okt</t>
        </is>
      </c>
      <c r="N25" s="16" t="inlineStr">
        <is>
          <t>Nov</t>
        </is>
      </c>
      <c r="O25" s="16" t="inlineStr">
        <is>
          <t>Des</t>
        </is>
      </c>
      <c r="P25" s="16" t="inlineStr">
        <is>
          <t>Total / Akhir</t>
        </is>
      </c>
    </row>
    <row r="26">
      <c r="A26" s="10" t="inlineStr">
        <is>
          <t>OB removal (bcm)</t>
        </is>
      </c>
      <c r="D26" s="28">
        <f>IF(D$5&gt;'C1 GEG Setting'!$C$6,NA(),'C3 GEG Ops Aktual'!D8)</f>
        <v/>
      </c>
      <c r="E26" s="28">
        <f>IF(E$5&gt;'C1 GEG Setting'!$C$6,NA(),'C3 GEG Ops Aktual'!E8)</f>
        <v/>
      </c>
      <c r="F26" s="28">
        <f>IF(F$5&gt;'C1 GEG Setting'!$C$6,NA(),'C3 GEG Ops Aktual'!F8)</f>
        <v/>
      </c>
      <c r="G26" s="28">
        <f>IF(G$5&gt;'C1 GEG Setting'!$C$6,NA(),'C3 GEG Ops Aktual'!G8)</f>
        <v/>
      </c>
      <c r="H26" s="28">
        <f>IF(H$5&gt;'C1 GEG Setting'!$C$6,NA(),'C3 GEG Ops Aktual'!H8)</f>
        <v/>
      </c>
      <c r="I26" s="28">
        <f>IF(I$5&gt;'C1 GEG Setting'!$C$6,NA(),'C3 GEG Ops Aktual'!I8)</f>
        <v/>
      </c>
      <c r="J26" s="28">
        <f>IF(J$5&gt;'C1 GEG Setting'!$C$6,NA(),'C3 GEG Ops Aktual'!J8)</f>
        <v/>
      </c>
      <c r="K26" s="28">
        <f>IF(K$5&gt;'C1 GEG Setting'!$C$6,NA(),'C3 GEG Ops Aktual'!K8)</f>
        <v/>
      </c>
      <c r="L26" s="28">
        <f>IF(L$5&gt;'C1 GEG Setting'!$C$6,NA(),'C3 GEG Ops Aktual'!L8)</f>
        <v/>
      </c>
      <c r="M26" s="28">
        <f>IF(M$5&gt;'C1 GEG Setting'!$C$6,NA(),'C3 GEG Ops Aktual'!M8)</f>
        <v/>
      </c>
      <c r="N26" s="28">
        <f>IF(N$5&gt;'C1 GEG Setting'!$C$6,NA(),'C3 GEG Ops Aktual'!N8)</f>
        <v/>
      </c>
      <c r="O26" s="28">
        <f>IF(O$5&gt;'C1 GEG Setting'!$C$6,NA(),'C3 GEG Ops Aktual'!O8)</f>
        <v/>
      </c>
      <c r="P26" s="70">
        <f>SUMIF('C3 GEG Ops Aktual'!$D$5:$O$5,"&lt;="&amp;'C1 GEG Setting'!$C$6,'C3 GEG Ops Aktual'!$D$8:$O$8)</f>
        <v/>
      </c>
    </row>
    <row r="27">
      <c r="A27" s="10" t="inlineStr">
        <is>
          <t>Produksi batubara (ton)</t>
        </is>
      </c>
      <c r="D27" s="28">
        <f>IF(D$5&gt;'C1 GEG Setting'!$C$6,NA(),'C3 GEG Ops Aktual'!D9)</f>
        <v/>
      </c>
      <c r="E27" s="28">
        <f>IF(E$5&gt;'C1 GEG Setting'!$C$6,NA(),'C3 GEG Ops Aktual'!E9)</f>
        <v/>
      </c>
      <c r="F27" s="28">
        <f>IF(F$5&gt;'C1 GEG Setting'!$C$6,NA(),'C3 GEG Ops Aktual'!F9)</f>
        <v/>
      </c>
      <c r="G27" s="28">
        <f>IF(G$5&gt;'C1 GEG Setting'!$C$6,NA(),'C3 GEG Ops Aktual'!G9)</f>
        <v/>
      </c>
      <c r="H27" s="28">
        <f>IF(H$5&gt;'C1 GEG Setting'!$C$6,NA(),'C3 GEG Ops Aktual'!H9)</f>
        <v/>
      </c>
      <c r="I27" s="28">
        <f>IF(I$5&gt;'C1 GEG Setting'!$C$6,NA(),'C3 GEG Ops Aktual'!I9)</f>
        <v/>
      </c>
      <c r="J27" s="28">
        <f>IF(J$5&gt;'C1 GEG Setting'!$C$6,NA(),'C3 GEG Ops Aktual'!J9)</f>
        <v/>
      </c>
      <c r="K27" s="28">
        <f>IF(K$5&gt;'C1 GEG Setting'!$C$6,NA(),'C3 GEG Ops Aktual'!K9)</f>
        <v/>
      </c>
      <c r="L27" s="28">
        <f>IF(L$5&gt;'C1 GEG Setting'!$C$6,NA(),'C3 GEG Ops Aktual'!L9)</f>
        <v/>
      </c>
      <c r="M27" s="28">
        <f>IF(M$5&gt;'C1 GEG Setting'!$C$6,NA(),'C3 GEG Ops Aktual'!M9)</f>
        <v/>
      </c>
      <c r="N27" s="28">
        <f>IF(N$5&gt;'C1 GEG Setting'!$C$6,NA(),'C3 GEG Ops Aktual'!N9)</f>
        <v/>
      </c>
      <c r="O27" s="28">
        <f>IF(O$5&gt;'C1 GEG Setting'!$C$6,NA(),'C3 GEG Ops Aktual'!O9)</f>
        <v/>
      </c>
      <c r="P27" s="70">
        <f>SUMIF('C3 GEG Ops Aktual'!$D$5:$O$5,"&lt;="&amp;'C1 GEG Setting'!$C$6,'C3 GEG Ops Aktual'!$D$9:$O$9)</f>
        <v/>
      </c>
    </row>
    <row r="28">
      <c r="A28" s="10" t="inlineStr">
        <is>
          <t>Stripping ratio (bcm/t)</t>
        </is>
      </c>
      <c r="D28" s="39">
        <f>IF(D$5&gt;'C1 GEG Setting'!$C$6,NA(),'C3 GEG Ops Aktual'!D10)</f>
        <v/>
      </c>
      <c r="E28" s="39">
        <f>IF(E$5&gt;'C1 GEG Setting'!$C$6,NA(),'C3 GEG Ops Aktual'!E10)</f>
        <v/>
      </c>
      <c r="F28" s="39">
        <f>IF(F$5&gt;'C1 GEG Setting'!$C$6,NA(),'C3 GEG Ops Aktual'!F10)</f>
        <v/>
      </c>
      <c r="G28" s="39">
        <f>IF(G$5&gt;'C1 GEG Setting'!$C$6,NA(),'C3 GEG Ops Aktual'!G10)</f>
        <v/>
      </c>
      <c r="H28" s="39">
        <f>IF(H$5&gt;'C1 GEG Setting'!$C$6,NA(),'C3 GEG Ops Aktual'!H10)</f>
        <v/>
      </c>
      <c r="I28" s="39">
        <f>IF(I$5&gt;'C1 GEG Setting'!$C$6,NA(),'C3 GEG Ops Aktual'!I10)</f>
        <v/>
      </c>
      <c r="J28" s="39">
        <f>IF(J$5&gt;'C1 GEG Setting'!$C$6,NA(),'C3 GEG Ops Aktual'!J10)</f>
        <v/>
      </c>
      <c r="K28" s="39">
        <f>IF(K$5&gt;'C1 GEG Setting'!$C$6,NA(),'C3 GEG Ops Aktual'!K10)</f>
        <v/>
      </c>
      <c r="L28" s="39">
        <f>IF(L$5&gt;'C1 GEG Setting'!$C$6,NA(),'C3 GEG Ops Aktual'!L10)</f>
        <v/>
      </c>
      <c r="M28" s="39">
        <f>IF(M$5&gt;'C1 GEG Setting'!$C$6,NA(),'C3 GEG Ops Aktual'!M10)</f>
        <v/>
      </c>
      <c r="N28" s="39">
        <f>IF(N$5&gt;'C1 GEG Setting'!$C$6,NA(),'C3 GEG Ops Aktual'!N10)</f>
        <v/>
      </c>
      <c r="O28" s="39">
        <f>IF(O$5&gt;'C1 GEG Setting'!$C$6,NA(),'C3 GEG Ops Aktual'!O10)</f>
        <v/>
      </c>
      <c r="P28" s="60">
        <f>IFERROR(P26/P27,0)</f>
        <v/>
      </c>
    </row>
    <row r="29">
      <c r="A29" s="10" t="inlineStr">
        <is>
          <t>Penjualan (ton)</t>
        </is>
      </c>
      <c r="D29" s="28">
        <f>IF(D$5&gt;'C1 GEG Setting'!$C$6,NA(),'C3 GEG Ops Aktual'!D19)</f>
        <v/>
      </c>
      <c r="E29" s="28">
        <f>IF(E$5&gt;'C1 GEG Setting'!$C$6,NA(),'C3 GEG Ops Aktual'!E19)</f>
        <v/>
      </c>
      <c r="F29" s="28">
        <f>IF(F$5&gt;'C1 GEG Setting'!$C$6,NA(),'C3 GEG Ops Aktual'!F19)</f>
        <v/>
      </c>
      <c r="G29" s="28">
        <f>IF(G$5&gt;'C1 GEG Setting'!$C$6,NA(),'C3 GEG Ops Aktual'!G19)</f>
        <v/>
      </c>
      <c r="H29" s="28">
        <f>IF(H$5&gt;'C1 GEG Setting'!$C$6,NA(),'C3 GEG Ops Aktual'!H19)</f>
        <v/>
      </c>
      <c r="I29" s="28">
        <f>IF(I$5&gt;'C1 GEG Setting'!$C$6,NA(),'C3 GEG Ops Aktual'!I19)</f>
        <v/>
      </c>
      <c r="J29" s="28">
        <f>IF(J$5&gt;'C1 GEG Setting'!$C$6,NA(),'C3 GEG Ops Aktual'!J19)</f>
        <v/>
      </c>
      <c r="K29" s="28">
        <f>IF(K$5&gt;'C1 GEG Setting'!$C$6,NA(),'C3 GEG Ops Aktual'!K19)</f>
        <v/>
      </c>
      <c r="L29" s="28">
        <f>IF(L$5&gt;'C1 GEG Setting'!$C$6,NA(),'C3 GEG Ops Aktual'!L19)</f>
        <v/>
      </c>
      <c r="M29" s="28">
        <f>IF(M$5&gt;'C1 GEG Setting'!$C$6,NA(),'C3 GEG Ops Aktual'!M19)</f>
        <v/>
      </c>
      <c r="N29" s="28">
        <f>IF(N$5&gt;'C1 GEG Setting'!$C$6,NA(),'C3 GEG Ops Aktual'!N19)</f>
        <v/>
      </c>
      <c r="O29" s="28">
        <f>IF(O$5&gt;'C1 GEG Setting'!$C$6,NA(),'C3 GEG Ops Aktual'!O19)</f>
        <v/>
      </c>
      <c r="P29" s="70">
        <f>SUMIF('C3 GEG Ops Aktual'!$D$5:$O$5,"&lt;="&amp;'C1 GEG Setting'!$C$6,'C3 GEG Ops Aktual'!$D$19:$O$19)</f>
        <v/>
      </c>
    </row>
    <row r="30">
      <c r="A30" s="10" t="inlineStr">
        <is>
          <t>Barging (ton)</t>
        </is>
      </c>
      <c r="D30" s="28">
        <f>IF(D$5&gt;'C1 GEG Setting'!$C$6,NA(),'C3 GEG Ops Aktual'!D13)</f>
        <v/>
      </c>
      <c r="E30" s="28">
        <f>IF(E$5&gt;'C1 GEG Setting'!$C$6,NA(),'C3 GEG Ops Aktual'!E13)</f>
        <v/>
      </c>
      <c r="F30" s="28">
        <f>IF(F$5&gt;'C1 GEG Setting'!$C$6,NA(),'C3 GEG Ops Aktual'!F13)</f>
        <v/>
      </c>
      <c r="G30" s="28">
        <f>IF(G$5&gt;'C1 GEG Setting'!$C$6,NA(),'C3 GEG Ops Aktual'!G13)</f>
        <v/>
      </c>
      <c r="H30" s="28">
        <f>IF(H$5&gt;'C1 GEG Setting'!$C$6,NA(),'C3 GEG Ops Aktual'!H13)</f>
        <v/>
      </c>
      <c r="I30" s="28">
        <f>IF(I$5&gt;'C1 GEG Setting'!$C$6,NA(),'C3 GEG Ops Aktual'!I13)</f>
        <v/>
      </c>
      <c r="J30" s="28">
        <f>IF(J$5&gt;'C1 GEG Setting'!$C$6,NA(),'C3 GEG Ops Aktual'!J13)</f>
        <v/>
      </c>
      <c r="K30" s="28">
        <f>IF(K$5&gt;'C1 GEG Setting'!$C$6,NA(),'C3 GEG Ops Aktual'!K13)</f>
        <v/>
      </c>
      <c r="L30" s="28">
        <f>IF(L$5&gt;'C1 GEG Setting'!$C$6,NA(),'C3 GEG Ops Aktual'!L13)</f>
        <v/>
      </c>
      <c r="M30" s="28">
        <f>IF(M$5&gt;'C1 GEG Setting'!$C$6,NA(),'C3 GEG Ops Aktual'!M13)</f>
        <v/>
      </c>
      <c r="N30" s="28">
        <f>IF(N$5&gt;'C1 GEG Setting'!$C$6,NA(),'C3 GEG Ops Aktual'!N13)</f>
        <v/>
      </c>
      <c r="O30" s="28">
        <f>IF(O$5&gt;'C1 GEG Setting'!$C$6,NA(),'C3 GEG Ops Aktual'!O13)</f>
        <v/>
      </c>
      <c r="P30" s="70">
        <f>SUMIF('C3 GEG Ops Aktual'!$D$5:$O$5,"&lt;="&amp;'C1 GEG Setting'!$C$6,'C3 GEG Ops Aktual'!$D$13:$O$13)</f>
        <v/>
      </c>
    </row>
    <row r="31">
      <c r="A31" s="10" t="inlineStr">
        <is>
          <t>Stok akhir (ton)</t>
        </is>
      </c>
      <c r="D31" s="28">
        <f>IF(D$5&gt;'C1 GEG Setting'!$C$6,NA(),'C3 GEG Ops Aktual'!D14)</f>
        <v/>
      </c>
      <c r="E31" s="28">
        <f>IF(E$5&gt;'C1 GEG Setting'!$C$6,NA(),'C3 GEG Ops Aktual'!E14)</f>
        <v/>
      </c>
      <c r="F31" s="28">
        <f>IF(F$5&gt;'C1 GEG Setting'!$C$6,NA(),'C3 GEG Ops Aktual'!F14)</f>
        <v/>
      </c>
      <c r="G31" s="28">
        <f>IF(G$5&gt;'C1 GEG Setting'!$C$6,NA(),'C3 GEG Ops Aktual'!G14)</f>
        <v/>
      </c>
      <c r="H31" s="28">
        <f>IF(H$5&gt;'C1 GEG Setting'!$C$6,NA(),'C3 GEG Ops Aktual'!H14)</f>
        <v/>
      </c>
      <c r="I31" s="28">
        <f>IF(I$5&gt;'C1 GEG Setting'!$C$6,NA(),'C3 GEG Ops Aktual'!I14)</f>
        <v/>
      </c>
      <c r="J31" s="28">
        <f>IF(J$5&gt;'C1 GEG Setting'!$C$6,NA(),'C3 GEG Ops Aktual'!J14)</f>
        <v/>
      </c>
      <c r="K31" s="28">
        <f>IF(K$5&gt;'C1 GEG Setting'!$C$6,NA(),'C3 GEG Ops Aktual'!K14)</f>
        <v/>
      </c>
      <c r="L31" s="28">
        <f>IF(L$5&gt;'C1 GEG Setting'!$C$6,NA(),'C3 GEG Ops Aktual'!L14)</f>
        <v/>
      </c>
      <c r="M31" s="28">
        <f>IF(M$5&gt;'C1 GEG Setting'!$C$6,NA(),'C3 GEG Ops Aktual'!M14)</f>
        <v/>
      </c>
      <c r="N31" s="28">
        <f>IF(N$5&gt;'C1 GEG Setting'!$C$6,NA(),'C3 GEG Ops Aktual'!N14)</f>
        <v/>
      </c>
      <c r="O31" s="28">
        <f>IF(O$5&gt;'C1 GEG Setting'!$C$6,NA(),'C3 GEG Ops Aktual'!O14)</f>
        <v/>
      </c>
      <c r="P31" s="70">
        <f>INDEX(D31:O31,'C1 GEG Setting'!$C$6)</f>
        <v/>
      </c>
    </row>
    <row r="32"/>
    <row r="33">
      <c r="A33" s="4" t="inlineStr">
        <is>
          <t>VARIANS AKTUAL vs BUDGET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>
      <c r="A34" s="16" t="inlineStr">
        <is>
          <t>Uraian</t>
        </is>
      </c>
      <c r="B34" s="16" t="inlineStr">
        <is>
          <t>Satuan</t>
        </is>
      </c>
      <c r="C34" s="16" t="inlineStr"/>
      <c r="D34" s="16" t="inlineStr">
        <is>
          <t>Jan</t>
        </is>
      </c>
      <c r="E34" s="16" t="inlineStr">
        <is>
          <t>Feb</t>
        </is>
      </c>
      <c r="F34" s="16" t="inlineStr">
        <is>
          <t>Mar</t>
        </is>
      </c>
      <c r="G34" s="16" t="inlineStr">
        <is>
          <t>Apr</t>
        </is>
      </c>
      <c r="H34" s="16" t="inlineStr">
        <is>
          <t>Mei</t>
        </is>
      </c>
      <c r="I34" s="16" t="inlineStr">
        <is>
          <t>Jun</t>
        </is>
      </c>
      <c r="J34" s="16" t="inlineStr">
        <is>
          <t>Jul</t>
        </is>
      </c>
      <c r="K34" s="16" t="inlineStr">
        <is>
          <t>Agu</t>
        </is>
      </c>
      <c r="L34" s="16" t="inlineStr">
        <is>
          <t>Sep</t>
        </is>
      </c>
      <c r="M34" s="16" t="inlineStr">
        <is>
          <t>Okt</t>
        </is>
      </c>
      <c r="N34" s="16" t="inlineStr">
        <is>
          <t>Nov</t>
        </is>
      </c>
      <c r="O34" s="16" t="inlineStr">
        <is>
          <t>Des</t>
        </is>
      </c>
      <c r="P34" s="16" t="inlineStr">
        <is>
          <t>Total / Akhir</t>
        </is>
      </c>
    </row>
    <row r="35">
      <c r="A35" s="10" t="inlineStr">
        <is>
          <t>OB removal (bcm)</t>
        </is>
      </c>
      <c r="D35" s="19">
        <f>IFERROR(D26-D17,"")</f>
        <v/>
      </c>
      <c r="E35" s="19">
        <f>IFERROR(E26-E17,"")</f>
        <v/>
      </c>
      <c r="F35" s="19">
        <f>IFERROR(F26-F17,"")</f>
        <v/>
      </c>
      <c r="G35" s="19">
        <f>IFERROR(G26-G17,"")</f>
        <v/>
      </c>
      <c r="H35" s="19">
        <f>IFERROR(H26-H17,"")</f>
        <v/>
      </c>
      <c r="I35" s="19">
        <f>IFERROR(I26-I17,"")</f>
        <v/>
      </c>
      <c r="J35" s="19">
        <f>IFERROR(J26-J17,"")</f>
        <v/>
      </c>
      <c r="K35" s="19">
        <f>IFERROR(K26-K17,"")</f>
        <v/>
      </c>
      <c r="L35" s="19">
        <f>IFERROR(L26-L17,"")</f>
        <v/>
      </c>
      <c r="M35" s="19">
        <f>IFERROR(M26-M17,"")</f>
        <v/>
      </c>
      <c r="N35" s="19">
        <f>IFERROR(N26-N17,"")</f>
        <v/>
      </c>
      <c r="O35" s="19">
        <f>IFERROR(O26-O17,"")</f>
        <v/>
      </c>
      <c r="P35" s="71">
        <f>IFERROR(P26-P17,"")</f>
        <v/>
      </c>
    </row>
    <row r="36">
      <c r="A36" s="10" t="inlineStr">
        <is>
          <t>Produksi batubara (ton)</t>
        </is>
      </c>
      <c r="D36" s="19">
        <f>IFERROR(D27-D18,"")</f>
        <v/>
      </c>
      <c r="E36" s="19">
        <f>IFERROR(E27-E18,"")</f>
        <v/>
      </c>
      <c r="F36" s="19">
        <f>IFERROR(F27-F18,"")</f>
        <v/>
      </c>
      <c r="G36" s="19">
        <f>IFERROR(G27-G18,"")</f>
        <v/>
      </c>
      <c r="H36" s="19">
        <f>IFERROR(H27-H18,"")</f>
        <v/>
      </c>
      <c r="I36" s="19">
        <f>IFERROR(I27-I18,"")</f>
        <v/>
      </c>
      <c r="J36" s="19">
        <f>IFERROR(J27-J18,"")</f>
        <v/>
      </c>
      <c r="K36" s="19">
        <f>IFERROR(K27-K18,"")</f>
        <v/>
      </c>
      <c r="L36" s="19">
        <f>IFERROR(L27-L18,"")</f>
        <v/>
      </c>
      <c r="M36" s="19">
        <f>IFERROR(M27-M18,"")</f>
        <v/>
      </c>
      <c r="N36" s="19">
        <f>IFERROR(N27-N18,"")</f>
        <v/>
      </c>
      <c r="O36" s="19">
        <f>IFERROR(O27-O18,"")</f>
        <v/>
      </c>
      <c r="P36" s="71">
        <f>IFERROR(P27-P18,"")</f>
        <v/>
      </c>
    </row>
    <row r="37">
      <c r="A37" s="10" t="inlineStr">
        <is>
          <t>Stripping ratio (bcm/t)</t>
        </is>
      </c>
      <c r="D37" s="47">
        <f>IFERROR(D28-D19,"")</f>
        <v/>
      </c>
      <c r="E37" s="47">
        <f>IFERROR(E28-E19,"")</f>
        <v/>
      </c>
      <c r="F37" s="47">
        <f>IFERROR(F28-F19,"")</f>
        <v/>
      </c>
      <c r="G37" s="47">
        <f>IFERROR(G28-G19,"")</f>
        <v/>
      </c>
      <c r="H37" s="47">
        <f>IFERROR(H28-H19,"")</f>
        <v/>
      </c>
      <c r="I37" s="47">
        <f>IFERROR(I28-I19,"")</f>
        <v/>
      </c>
      <c r="J37" s="47">
        <f>IFERROR(J28-J19,"")</f>
        <v/>
      </c>
      <c r="K37" s="47">
        <f>IFERROR(K28-K19,"")</f>
        <v/>
      </c>
      <c r="L37" s="47">
        <f>IFERROR(L28-L19,"")</f>
        <v/>
      </c>
      <c r="M37" s="47">
        <f>IFERROR(M28-M19,"")</f>
        <v/>
      </c>
      <c r="N37" s="47">
        <f>IFERROR(N28-N19,"")</f>
        <v/>
      </c>
      <c r="O37" s="47">
        <f>IFERROR(O28-O19,"")</f>
        <v/>
      </c>
      <c r="P37" s="60">
        <f>IFERROR(P28-P19,"")</f>
        <v/>
      </c>
    </row>
    <row r="38">
      <c r="A38" s="10" t="inlineStr">
        <is>
          <t>Penjualan (ton)</t>
        </is>
      </c>
      <c r="D38" s="19">
        <f>IFERROR(D29-D20,"")</f>
        <v/>
      </c>
      <c r="E38" s="19">
        <f>IFERROR(E29-E20,"")</f>
        <v/>
      </c>
      <c r="F38" s="19">
        <f>IFERROR(F29-F20,"")</f>
        <v/>
      </c>
      <c r="G38" s="19">
        <f>IFERROR(G29-G20,"")</f>
        <v/>
      </c>
      <c r="H38" s="19">
        <f>IFERROR(H29-H20,"")</f>
        <v/>
      </c>
      <c r="I38" s="19">
        <f>IFERROR(I29-I20,"")</f>
        <v/>
      </c>
      <c r="J38" s="19">
        <f>IFERROR(J29-J20,"")</f>
        <v/>
      </c>
      <c r="K38" s="19">
        <f>IFERROR(K29-K20,"")</f>
        <v/>
      </c>
      <c r="L38" s="19">
        <f>IFERROR(L29-L20,"")</f>
        <v/>
      </c>
      <c r="M38" s="19">
        <f>IFERROR(M29-M20,"")</f>
        <v/>
      </c>
      <c r="N38" s="19">
        <f>IFERROR(N29-N20,"")</f>
        <v/>
      </c>
      <c r="O38" s="19">
        <f>IFERROR(O29-O20,"")</f>
        <v/>
      </c>
      <c r="P38" s="71">
        <f>IFERROR(P29-P20,"")</f>
        <v/>
      </c>
    </row>
    <row r="39">
      <c r="A39" s="10" t="inlineStr">
        <is>
          <t>Barging (ton)</t>
        </is>
      </c>
      <c r="D39" s="19">
        <f>IFERROR(D30-D21,"")</f>
        <v/>
      </c>
      <c r="E39" s="19">
        <f>IFERROR(E30-E21,"")</f>
        <v/>
      </c>
      <c r="F39" s="19">
        <f>IFERROR(F30-F21,"")</f>
        <v/>
      </c>
      <c r="G39" s="19">
        <f>IFERROR(G30-G21,"")</f>
        <v/>
      </c>
      <c r="H39" s="19">
        <f>IFERROR(H30-H21,"")</f>
        <v/>
      </c>
      <c r="I39" s="19">
        <f>IFERROR(I30-I21,"")</f>
        <v/>
      </c>
      <c r="J39" s="19">
        <f>IFERROR(J30-J21,"")</f>
        <v/>
      </c>
      <c r="K39" s="19">
        <f>IFERROR(K30-K21,"")</f>
        <v/>
      </c>
      <c r="L39" s="19">
        <f>IFERROR(L30-L21,"")</f>
        <v/>
      </c>
      <c r="M39" s="19">
        <f>IFERROR(M30-M21,"")</f>
        <v/>
      </c>
      <c r="N39" s="19">
        <f>IFERROR(N30-N21,"")</f>
        <v/>
      </c>
      <c r="O39" s="19">
        <f>IFERROR(O30-O21,"")</f>
        <v/>
      </c>
      <c r="P39" s="71">
        <f>IFERROR(P30-P21,"")</f>
        <v/>
      </c>
    </row>
    <row r="40">
      <c r="A40" s="10" t="inlineStr">
        <is>
          <t>Stok akhir (ton)</t>
        </is>
      </c>
      <c r="D40" s="19">
        <f>IFERROR(D31-D22,"")</f>
        <v/>
      </c>
      <c r="E40" s="19">
        <f>IFERROR(E31-E22,"")</f>
        <v/>
      </c>
      <c r="F40" s="19">
        <f>IFERROR(F31-F22,"")</f>
        <v/>
      </c>
      <c r="G40" s="19">
        <f>IFERROR(G31-G22,"")</f>
        <v/>
      </c>
      <c r="H40" s="19">
        <f>IFERROR(H31-H22,"")</f>
        <v/>
      </c>
      <c r="I40" s="19">
        <f>IFERROR(I31-I22,"")</f>
        <v/>
      </c>
      <c r="J40" s="19">
        <f>IFERROR(J31-J22,"")</f>
        <v/>
      </c>
      <c r="K40" s="19">
        <f>IFERROR(K31-K22,"")</f>
        <v/>
      </c>
      <c r="L40" s="19">
        <f>IFERROR(L31-L22,"")</f>
        <v/>
      </c>
      <c r="M40" s="19">
        <f>IFERROR(M31-M22,"")</f>
        <v/>
      </c>
      <c r="N40" s="19">
        <f>IFERROR(N31-N22,"")</f>
        <v/>
      </c>
      <c r="O40" s="19">
        <f>IFERROR(O31-O22,"")</f>
        <v/>
      </c>
      <c r="P40" s="71">
        <f>IFERROR(P31-P22,"")</f>
        <v/>
      </c>
    </row>
    <row r="41"/>
    <row r="42">
      <c r="A42" s="4" t="inlineStr">
        <is>
          <t>VARIANS AKTUAL vs TAHUN LALU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43">
      <c r="A43" s="16" t="inlineStr">
        <is>
          <t>Uraian</t>
        </is>
      </c>
      <c r="B43" s="16" t="inlineStr">
        <is>
          <t>Satuan</t>
        </is>
      </c>
      <c r="C43" s="16" t="inlineStr"/>
      <c r="D43" s="16" t="inlineStr">
        <is>
          <t>Jan</t>
        </is>
      </c>
      <c r="E43" s="16" t="inlineStr">
        <is>
          <t>Feb</t>
        </is>
      </c>
      <c r="F43" s="16" t="inlineStr">
        <is>
          <t>Mar</t>
        </is>
      </c>
      <c r="G43" s="16" t="inlineStr">
        <is>
          <t>Apr</t>
        </is>
      </c>
      <c r="H43" s="16" t="inlineStr">
        <is>
          <t>Mei</t>
        </is>
      </c>
      <c r="I43" s="16" t="inlineStr">
        <is>
          <t>Jun</t>
        </is>
      </c>
      <c r="J43" s="16" t="inlineStr">
        <is>
          <t>Jul</t>
        </is>
      </c>
      <c r="K43" s="16" t="inlineStr">
        <is>
          <t>Agu</t>
        </is>
      </c>
      <c r="L43" s="16" t="inlineStr">
        <is>
          <t>Sep</t>
        </is>
      </c>
      <c r="M43" s="16" t="inlineStr">
        <is>
          <t>Okt</t>
        </is>
      </c>
      <c r="N43" s="16" t="inlineStr">
        <is>
          <t>Nov</t>
        </is>
      </c>
      <c r="O43" s="16" t="inlineStr">
        <is>
          <t>Des</t>
        </is>
      </c>
      <c r="P43" s="16" t="inlineStr">
        <is>
          <t>Total / Akhir</t>
        </is>
      </c>
    </row>
    <row r="44">
      <c r="A44" s="10" t="inlineStr">
        <is>
          <t>OB removal (bcm)</t>
        </is>
      </c>
      <c r="D44" s="19">
        <f>IFERROR(D26-D8,"")</f>
        <v/>
      </c>
      <c r="E44" s="19">
        <f>IFERROR(E26-E8,"")</f>
        <v/>
      </c>
      <c r="F44" s="19">
        <f>IFERROR(F26-F8,"")</f>
        <v/>
      </c>
      <c r="G44" s="19">
        <f>IFERROR(G26-G8,"")</f>
        <v/>
      </c>
      <c r="H44" s="19">
        <f>IFERROR(H26-H8,"")</f>
        <v/>
      </c>
      <c r="I44" s="19">
        <f>IFERROR(I26-I8,"")</f>
        <v/>
      </c>
      <c r="J44" s="19">
        <f>IFERROR(J26-J8,"")</f>
        <v/>
      </c>
      <c r="K44" s="19">
        <f>IFERROR(K26-K8,"")</f>
        <v/>
      </c>
      <c r="L44" s="19">
        <f>IFERROR(L26-L8,"")</f>
        <v/>
      </c>
      <c r="M44" s="19">
        <f>IFERROR(M26-M8,"")</f>
        <v/>
      </c>
      <c r="N44" s="19">
        <f>IFERROR(N26-N8,"")</f>
        <v/>
      </c>
      <c r="O44" s="19">
        <f>IFERROR(O26-O8,"")</f>
        <v/>
      </c>
      <c r="P44" s="71">
        <f>IFERROR(P26-P8,"")</f>
        <v/>
      </c>
    </row>
    <row r="45">
      <c r="A45" s="10" t="inlineStr">
        <is>
          <t>Produksi batubara (ton)</t>
        </is>
      </c>
      <c r="D45" s="19">
        <f>IFERROR(D27-D9,"")</f>
        <v/>
      </c>
      <c r="E45" s="19">
        <f>IFERROR(E27-E9,"")</f>
        <v/>
      </c>
      <c r="F45" s="19">
        <f>IFERROR(F27-F9,"")</f>
        <v/>
      </c>
      <c r="G45" s="19">
        <f>IFERROR(G27-G9,"")</f>
        <v/>
      </c>
      <c r="H45" s="19">
        <f>IFERROR(H27-H9,"")</f>
        <v/>
      </c>
      <c r="I45" s="19">
        <f>IFERROR(I27-I9,"")</f>
        <v/>
      </c>
      <c r="J45" s="19">
        <f>IFERROR(J27-J9,"")</f>
        <v/>
      </c>
      <c r="K45" s="19">
        <f>IFERROR(K27-K9,"")</f>
        <v/>
      </c>
      <c r="L45" s="19">
        <f>IFERROR(L27-L9,"")</f>
        <v/>
      </c>
      <c r="M45" s="19">
        <f>IFERROR(M27-M9,"")</f>
        <v/>
      </c>
      <c r="N45" s="19">
        <f>IFERROR(N27-N9,"")</f>
        <v/>
      </c>
      <c r="O45" s="19">
        <f>IFERROR(O27-O9,"")</f>
        <v/>
      </c>
      <c r="P45" s="71">
        <f>IFERROR(P27-P9,"")</f>
        <v/>
      </c>
    </row>
    <row r="46">
      <c r="A46" s="10" t="inlineStr">
        <is>
          <t>Stripping ratio (bcm/t)</t>
        </is>
      </c>
      <c r="D46" s="47">
        <f>IFERROR(D28-D10,"")</f>
        <v/>
      </c>
      <c r="E46" s="47">
        <f>IFERROR(E28-E10,"")</f>
        <v/>
      </c>
      <c r="F46" s="47">
        <f>IFERROR(F28-F10,"")</f>
        <v/>
      </c>
      <c r="G46" s="47">
        <f>IFERROR(G28-G10,"")</f>
        <v/>
      </c>
      <c r="H46" s="47">
        <f>IFERROR(H28-H10,"")</f>
        <v/>
      </c>
      <c r="I46" s="47">
        <f>IFERROR(I28-I10,"")</f>
        <v/>
      </c>
      <c r="J46" s="47">
        <f>IFERROR(J28-J10,"")</f>
        <v/>
      </c>
      <c r="K46" s="47">
        <f>IFERROR(K28-K10,"")</f>
        <v/>
      </c>
      <c r="L46" s="47">
        <f>IFERROR(L28-L10,"")</f>
        <v/>
      </c>
      <c r="M46" s="47">
        <f>IFERROR(M28-M10,"")</f>
        <v/>
      </c>
      <c r="N46" s="47">
        <f>IFERROR(N28-N10,"")</f>
        <v/>
      </c>
      <c r="O46" s="47">
        <f>IFERROR(O28-O10,"")</f>
        <v/>
      </c>
      <c r="P46" s="60">
        <f>IFERROR(P28-P10,"")</f>
        <v/>
      </c>
    </row>
    <row r="47">
      <c r="A47" s="10" t="inlineStr">
        <is>
          <t>Penjualan (ton)</t>
        </is>
      </c>
      <c r="D47" s="19">
        <f>IFERROR(D29-D11,"")</f>
        <v/>
      </c>
      <c r="E47" s="19">
        <f>IFERROR(E29-E11,"")</f>
        <v/>
      </c>
      <c r="F47" s="19">
        <f>IFERROR(F29-F11,"")</f>
        <v/>
      </c>
      <c r="G47" s="19">
        <f>IFERROR(G29-G11,"")</f>
        <v/>
      </c>
      <c r="H47" s="19">
        <f>IFERROR(H29-H11,"")</f>
        <v/>
      </c>
      <c r="I47" s="19">
        <f>IFERROR(I29-I11,"")</f>
        <v/>
      </c>
      <c r="J47" s="19">
        <f>IFERROR(J29-J11,"")</f>
        <v/>
      </c>
      <c r="K47" s="19">
        <f>IFERROR(K29-K11,"")</f>
        <v/>
      </c>
      <c r="L47" s="19">
        <f>IFERROR(L29-L11,"")</f>
        <v/>
      </c>
      <c r="M47" s="19">
        <f>IFERROR(M29-M11,"")</f>
        <v/>
      </c>
      <c r="N47" s="19">
        <f>IFERROR(N29-N11,"")</f>
        <v/>
      </c>
      <c r="O47" s="19">
        <f>IFERROR(O29-O11,"")</f>
        <v/>
      </c>
      <c r="P47" s="71">
        <f>IFERROR(P29-P11,"")</f>
        <v/>
      </c>
    </row>
    <row r="48">
      <c r="A48" s="10" t="inlineStr">
        <is>
          <t>Barging (ton)</t>
        </is>
      </c>
      <c r="D48" s="19">
        <f>IFERROR(D30-D12,"")</f>
        <v/>
      </c>
      <c r="E48" s="19">
        <f>IFERROR(E30-E12,"")</f>
        <v/>
      </c>
      <c r="F48" s="19">
        <f>IFERROR(F30-F12,"")</f>
        <v/>
      </c>
      <c r="G48" s="19">
        <f>IFERROR(G30-G12,"")</f>
        <v/>
      </c>
      <c r="H48" s="19">
        <f>IFERROR(H30-H12,"")</f>
        <v/>
      </c>
      <c r="I48" s="19">
        <f>IFERROR(I30-I12,"")</f>
        <v/>
      </c>
      <c r="J48" s="19">
        <f>IFERROR(J30-J12,"")</f>
        <v/>
      </c>
      <c r="K48" s="19">
        <f>IFERROR(K30-K12,"")</f>
        <v/>
      </c>
      <c r="L48" s="19">
        <f>IFERROR(L30-L12,"")</f>
        <v/>
      </c>
      <c r="M48" s="19">
        <f>IFERROR(M30-M12,"")</f>
        <v/>
      </c>
      <c r="N48" s="19">
        <f>IFERROR(N30-N12,"")</f>
        <v/>
      </c>
      <c r="O48" s="19">
        <f>IFERROR(O30-O12,"")</f>
        <v/>
      </c>
      <c r="P48" s="71">
        <f>IFERROR(P30-P12,"")</f>
        <v/>
      </c>
    </row>
    <row r="49">
      <c r="A49" s="10" t="inlineStr">
        <is>
          <t>Stok akhir (ton)</t>
        </is>
      </c>
      <c r="D49" s="19">
        <f>IFERROR(D31-D13,"")</f>
        <v/>
      </c>
      <c r="E49" s="19">
        <f>IFERROR(E31-E13,"")</f>
        <v/>
      </c>
      <c r="F49" s="19">
        <f>IFERROR(F31-F13,"")</f>
        <v/>
      </c>
      <c r="G49" s="19">
        <f>IFERROR(G31-G13,"")</f>
        <v/>
      </c>
      <c r="H49" s="19">
        <f>IFERROR(H31-H13,"")</f>
        <v/>
      </c>
      <c r="I49" s="19">
        <f>IFERROR(I31-I13,"")</f>
        <v/>
      </c>
      <c r="J49" s="19">
        <f>IFERROR(J31-J13,"")</f>
        <v/>
      </c>
      <c r="K49" s="19">
        <f>IFERROR(K31-K13,"")</f>
        <v/>
      </c>
      <c r="L49" s="19">
        <f>IFERROR(L31-L13,"")</f>
        <v/>
      </c>
      <c r="M49" s="19">
        <f>IFERROR(M31-M13,"")</f>
        <v/>
      </c>
      <c r="N49" s="19">
        <f>IFERROR(N31-N13,"")</f>
        <v/>
      </c>
      <c r="O49" s="19">
        <f>IFERROR(O31-O13,"")</f>
        <v/>
      </c>
      <c r="P49" s="71">
        <f>IFERROR(P31-P13,"")</f>
        <v/>
      </c>
    </row>
    <row r="50"/>
    <row r="51"/>
    <row r="52">
      <c r="A52" s="4" t="inlineStr">
        <is>
          <t>GRAFIK – Aktual tahun lalu vs Budget vs Aktual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>
      <c r="A86" s="4" t="inlineStr">
        <is>
          <t>DATA GRAFIK (otomatis)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</row>
    <row r="87">
      <c r="A87" s="16" t="inlineStr">
        <is>
          <t>Bulan</t>
        </is>
      </c>
      <c r="B87" s="16" t="inlineStr">
        <is>
          <t>Tahun lalu</t>
        </is>
      </c>
      <c r="C87" s="16" t="inlineStr">
        <is>
          <t>Budget</t>
        </is>
      </c>
      <c r="D87" s="16" t="inlineStr">
        <is>
          <t>Aktual</t>
        </is>
      </c>
      <c r="E87" s="16" t="inlineStr">
        <is>
          <t>Tahun lalu</t>
        </is>
      </c>
      <c r="F87" s="16" t="inlineStr">
        <is>
          <t>Budget</t>
        </is>
      </c>
      <c r="G87" s="16" t="inlineStr">
        <is>
          <t>Aktual</t>
        </is>
      </c>
      <c r="H87" s="16" t="inlineStr">
        <is>
          <t>Tahun lalu</t>
        </is>
      </c>
      <c r="I87" s="16" t="inlineStr">
        <is>
          <t>Budget</t>
        </is>
      </c>
      <c r="J87" s="16" t="inlineStr">
        <is>
          <t>Aktual</t>
        </is>
      </c>
      <c r="K87" s="16" t="inlineStr">
        <is>
          <t>Tahun lalu</t>
        </is>
      </c>
      <c r="L87" s="16" t="inlineStr">
        <is>
          <t>Budget</t>
        </is>
      </c>
      <c r="M87" s="16" t="inlineStr">
        <is>
          <t>Aktual</t>
        </is>
      </c>
    </row>
    <row r="88">
      <c r="A88" s="10" t="inlineStr">
        <is>
          <t>Jan</t>
        </is>
      </c>
      <c r="B88" s="19">
        <f>D9</f>
        <v/>
      </c>
      <c r="C88" s="19">
        <f>D18</f>
        <v/>
      </c>
      <c r="D88" s="19">
        <f>D27</f>
        <v/>
      </c>
      <c r="E88" s="19">
        <f>D11</f>
        <v/>
      </c>
      <c r="F88" s="19">
        <f>D20</f>
        <v/>
      </c>
      <c r="G88" s="19">
        <f>D29</f>
        <v/>
      </c>
      <c r="H88" s="19">
        <f>D8</f>
        <v/>
      </c>
      <c r="I88" s="19">
        <f>D17</f>
        <v/>
      </c>
      <c r="J88" s="19">
        <f>D26</f>
        <v/>
      </c>
      <c r="K88" s="47">
        <f>D10</f>
        <v/>
      </c>
      <c r="L88" s="47">
        <f>D19</f>
        <v/>
      </c>
      <c r="M88" s="47">
        <f>D28</f>
        <v/>
      </c>
    </row>
    <row r="89">
      <c r="A89" s="10" t="inlineStr">
        <is>
          <t>Feb</t>
        </is>
      </c>
      <c r="B89" s="19">
        <f>E9</f>
        <v/>
      </c>
      <c r="C89" s="19">
        <f>E18</f>
        <v/>
      </c>
      <c r="D89" s="19">
        <f>E27</f>
        <v/>
      </c>
      <c r="E89" s="19">
        <f>E11</f>
        <v/>
      </c>
      <c r="F89" s="19">
        <f>E20</f>
        <v/>
      </c>
      <c r="G89" s="19">
        <f>E29</f>
        <v/>
      </c>
      <c r="H89" s="19">
        <f>E8</f>
        <v/>
      </c>
      <c r="I89" s="19">
        <f>E17</f>
        <v/>
      </c>
      <c r="J89" s="19">
        <f>E26</f>
        <v/>
      </c>
      <c r="K89" s="47">
        <f>E10</f>
        <v/>
      </c>
      <c r="L89" s="47">
        <f>E19</f>
        <v/>
      </c>
      <c r="M89" s="47">
        <f>E28</f>
        <v/>
      </c>
    </row>
    <row r="90">
      <c r="A90" s="10" t="inlineStr">
        <is>
          <t>Mar</t>
        </is>
      </c>
      <c r="B90" s="19">
        <f>F9</f>
        <v/>
      </c>
      <c r="C90" s="19">
        <f>F18</f>
        <v/>
      </c>
      <c r="D90" s="19">
        <f>F27</f>
        <v/>
      </c>
      <c r="E90" s="19">
        <f>F11</f>
        <v/>
      </c>
      <c r="F90" s="19">
        <f>F20</f>
        <v/>
      </c>
      <c r="G90" s="19">
        <f>F29</f>
        <v/>
      </c>
      <c r="H90" s="19">
        <f>F8</f>
        <v/>
      </c>
      <c r="I90" s="19">
        <f>F17</f>
        <v/>
      </c>
      <c r="J90" s="19">
        <f>F26</f>
        <v/>
      </c>
      <c r="K90" s="47">
        <f>F10</f>
        <v/>
      </c>
      <c r="L90" s="47">
        <f>F19</f>
        <v/>
      </c>
      <c r="M90" s="47">
        <f>F28</f>
        <v/>
      </c>
    </row>
    <row r="91">
      <c r="A91" s="10" t="inlineStr">
        <is>
          <t>Apr</t>
        </is>
      </c>
      <c r="B91" s="19">
        <f>G9</f>
        <v/>
      </c>
      <c r="C91" s="19">
        <f>G18</f>
        <v/>
      </c>
      <c r="D91" s="19">
        <f>G27</f>
        <v/>
      </c>
      <c r="E91" s="19">
        <f>G11</f>
        <v/>
      </c>
      <c r="F91" s="19">
        <f>G20</f>
        <v/>
      </c>
      <c r="G91" s="19">
        <f>G29</f>
        <v/>
      </c>
      <c r="H91" s="19">
        <f>G8</f>
        <v/>
      </c>
      <c r="I91" s="19">
        <f>G17</f>
        <v/>
      </c>
      <c r="J91" s="19">
        <f>G26</f>
        <v/>
      </c>
      <c r="K91" s="47">
        <f>G10</f>
        <v/>
      </c>
      <c r="L91" s="47">
        <f>G19</f>
        <v/>
      </c>
      <c r="M91" s="47">
        <f>G28</f>
        <v/>
      </c>
    </row>
    <row r="92">
      <c r="A92" s="10" t="inlineStr">
        <is>
          <t>Mei</t>
        </is>
      </c>
      <c r="B92" s="19">
        <f>H9</f>
        <v/>
      </c>
      <c r="C92" s="19">
        <f>H18</f>
        <v/>
      </c>
      <c r="D92" s="19">
        <f>H27</f>
        <v/>
      </c>
      <c r="E92" s="19">
        <f>H11</f>
        <v/>
      </c>
      <c r="F92" s="19">
        <f>H20</f>
        <v/>
      </c>
      <c r="G92" s="19">
        <f>H29</f>
        <v/>
      </c>
      <c r="H92" s="19">
        <f>H8</f>
        <v/>
      </c>
      <c r="I92" s="19">
        <f>H17</f>
        <v/>
      </c>
      <c r="J92" s="19">
        <f>H26</f>
        <v/>
      </c>
      <c r="K92" s="47">
        <f>H10</f>
        <v/>
      </c>
      <c r="L92" s="47">
        <f>H19</f>
        <v/>
      </c>
      <c r="M92" s="47">
        <f>H28</f>
        <v/>
      </c>
    </row>
    <row r="93">
      <c r="A93" s="10" t="inlineStr">
        <is>
          <t>Jun</t>
        </is>
      </c>
      <c r="B93" s="19">
        <f>I9</f>
        <v/>
      </c>
      <c r="C93" s="19">
        <f>I18</f>
        <v/>
      </c>
      <c r="D93" s="19">
        <f>I27</f>
        <v/>
      </c>
      <c r="E93" s="19">
        <f>I11</f>
        <v/>
      </c>
      <c r="F93" s="19">
        <f>I20</f>
        <v/>
      </c>
      <c r="G93" s="19">
        <f>I29</f>
        <v/>
      </c>
      <c r="H93" s="19">
        <f>I8</f>
        <v/>
      </c>
      <c r="I93" s="19">
        <f>I17</f>
        <v/>
      </c>
      <c r="J93" s="19">
        <f>I26</f>
        <v/>
      </c>
      <c r="K93" s="47">
        <f>I10</f>
        <v/>
      </c>
      <c r="L93" s="47">
        <f>I19</f>
        <v/>
      </c>
      <c r="M93" s="47">
        <f>I28</f>
        <v/>
      </c>
    </row>
    <row r="94">
      <c r="A94" s="10" t="inlineStr">
        <is>
          <t>Jul</t>
        </is>
      </c>
      <c r="B94" s="19">
        <f>J9</f>
        <v/>
      </c>
      <c r="C94" s="19">
        <f>J18</f>
        <v/>
      </c>
      <c r="D94" s="19">
        <f>J27</f>
        <v/>
      </c>
      <c r="E94" s="19">
        <f>J11</f>
        <v/>
      </c>
      <c r="F94" s="19">
        <f>J20</f>
        <v/>
      </c>
      <c r="G94" s="19">
        <f>J29</f>
        <v/>
      </c>
      <c r="H94" s="19">
        <f>J8</f>
        <v/>
      </c>
      <c r="I94" s="19">
        <f>J17</f>
        <v/>
      </c>
      <c r="J94" s="19">
        <f>J26</f>
        <v/>
      </c>
      <c r="K94" s="47">
        <f>J10</f>
        <v/>
      </c>
      <c r="L94" s="47">
        <f>J19</f>
        <v/>
      </c>
      <c r="M94" s="47">
        <f>J28</f>
        <v/>
      </c>
    </row>
    <row r="95">
      <c r="A95" s="10" t="inlineStr">
        <is>
          <t>Agu</t>
        </is>
      </c>
      <c r="B95" s="19">
        <f>K9</f>
        <v/>
      </c>
      <c r="C95" s="19">
        <f>K18</f>
        <v/>
      </c>
      <c r="D95" s="19">
        <f>K27</f>
        <v/>
      </c>
      <c r="E95" s="19">
        <f>K11</f>
        <v/>
      </c>
      <c r="F95" s="19">
        <f>K20</f>
        <v/>
      </c>
      <c r="G95" s="19">
        <f>K29</f>
        <v/>
      </c>
      <c r="H95" s="19">
        <f>K8</f>
        <v/>
      </c>
      <c r="I95" s="19">
        <f>K17</f>
        <v/>
      </c>
      <c r="J95" s="19">
        <f>K26</f>
        <v/>
      </c>
      <c r="K95" s="47">
        <f>K10</f>
        <v/>
      </c>
      <c r="L95" s="47">
        <f>K19</f>
        <v/>
      </c>
      <c r="M95" s="47">
        <f>K28</f>
        <v/>
      </c>
    </row>
    <row r="96">
      <c r="A96" s="10" t="inlineStr">
        <is>
          <t>Sep</t>
        </is>
      </c>
      <c r="B96" s="19">
        <f>L9</f>
        <v/>
      </c>
      <c r="C96" s="19">
        <f>L18</f>
        <v/>
      </c>
      <c r="D96" s="19">
        <f>L27</f>
        <v/>
      </c>
      <c r="E96" s="19">
        <f>L11</f>
        <v/>
      </c>
      <c r="F96" s="19">
        <f>L20</f>
        <v/>
      </c>
      <c r="G96" s="19">
        <f>L29</f>
        <v/>
      </c>
      <c r="H96" s="19">
        <f>L8</f>
        <v/>
      </c>
      <c r="I96" s="19">
        <f>L17</f>
        <v/>
      </c>
      <c r="J96" s="19">
        <f>L26</f>
        <v/>
      </c>
      <c r="K96" s="47">
        <f>L10</f>
        <v/>
      </c>
      <c r="L96" s="47">
        <f>L19</f>
        <v/>
      </c>
      <c r="M96" s="47">
        <f>L28</f>
        <v/>
      </c>
    </row>
    <row r="97">
      <c r="A97" s="10" t="inlineStr">
        <is>
          <t>Okt</t>
        </is>
      </c>
      <c r="B97" s="19">
        <f>M9</f>
        <v/>
      </c>
      <c r="C97" s="19">
        <f>M18</f>
        <v/>
      </c>
      <c r="D97" s="19">
        <f>M27</f>
        <v/>
      </c>
      <c r="E97" s="19">
        <f>M11</f>
        <v/>
      </c>
      <c r="F97" s="19">
        <f>M20</f>
        <v/>
      </c>
      <c r="G97" s="19">
        <f>M29</f>
        <v/>
      </c>
      <c r="H97" s="19">
        <f>M8</f>
        <v/>
      </c>
      <c r="I97" s="19">
        <f>M17</f>
        <v/>
      </c>
      <c r="J97" s="19">
        <f>M26</f>
        <v/>
      </c>
      <c r="K97" s="47">
        <f>M10</f>
        <v/>
      </c>
      <c r="L97" s="47">
        <f>M19</f>
        <v/>
      </c>
      <c r="M97" s="47">
        <f>M28</f>
        <v/>
      </c>
    </row>
    <row r="98">
      <c r="A98" s="10" t="inlineStr">
        <is>
          <t>Nov</t>
        </is>
      </c>
      <c r="B98" s="19">
        <f>N9</f>
        <v/>
      </c>
      <c r="C98" s="19">
        <f>N18</f>
        <v/>
      </c>
      <c r="D98" s="19">
        <f>N27</f>
        <v/>
      </c>
      <c r="E98" s="19">
        <f>N11</f>
        <v/>
      </c>
      <c r="F98" s="19">
        <f>N20</f>
        <v/>
      </c>
      <c r="G98" s="19">
        <f>N29</f>
        <v/>
      </c>
      <c r="H98" s="19">
        <f>N8</f>
        <v/>
      </c>
      <c r="I98" s="19">
        <f>N17</f>
        <v/>
      </c>
      <c r="J98" s="19">
        <f>N26</f>
        <v/>
      </c>
      <c r="K98" s="47">
        <f>N10</f>
        <v/>
      </c>
      <c r="L98" s="47">
        <f>N19</f>
        <v/>
      </c>
      <c r="M98" s="47">
        <f>N28</f>
        <v/>
      </c>
    </row>
    <row r="99">
      <c r="A99" s="10" t="inlineStr">
        <is>
          <t>Des</t>
        </is>
      </c>
      <c r="B99" s="19">
        <f>O9</f>
        <v/>
      </c>
      <c r="C99" s="19">
        <f>O18</f>
        <v/>
      </c>
      <c r="D99" s="19">
        <f>O27</f>
        <v/>
      </c>
      <c r="E99" s="19">
        <f>O11</f>
        <v/>
      </c>
      <c r="F99" s="19">
        <f>O20</f>
        <v/>
      </c>
      <c r="G99" s="19">
        <f>O29</f>
        <v/>
      </c>
      <c r="H99" s="19">
        <f>O8</f>
        <v/>
      </c>
      <c r="I99" s="19">
        <f>O17</f>
        <v/>
      </c>
      <c r="J99" s="19">
        <f>O26</f>
        <v/>
      </c>
      <c r="K99" s="47">
        <f>O10</f>
        <v/>
      </c>
      <c r="L99" s="47">
        <f>O19</f>
        <v/>
      </c>
      <c r="M99" s="47">
        <f>O28</f>
        <v/>
      </c>
    </row>
  </sheetData>
  <conditionalFormatting sqref="D6:P51">
    <cfRule type="expression" priority="1" dxfId="5">
      <formula>ISNA(D6)</formula>
    </cfRule>
  </conditionalFormatting>
  <conditionalFormatting sqref="D35:P35">
    <cfRule type="cellIs" priority="2" operator="lessThan" dxfId="6">
      <formula>0</formula>
    </cfRule>
  </conditionalFormatting>
  <conditionalFormatting sqref="D36:P36">
    <cfRule type="cellIs" priority="3" operator="lessThan" dxfId="6">
      <formula>0</formula>
    </cfRule>
  </conditionalFormatting>
  <conditionalFormatting sqref="D37:P37">
    <cfRule type="cellIs" priority="4" operator="lessThan" dxfId="6">
      <formula>0</formula>
    </cfRule>
  </conditionalFormatting>
  <conditionalFormatting sqref="D38:P38">
    <cfRule type="cellIs" priority="5" operator="lessThan" dxfId="6">
      <formula>0</formula>
    </cfRule>
  </conditionalFormatting>
  <conditionalFormatting sqref="D39:P39">
    <cfRule type="cellIs" priority="6" operator="lessThan" dxfId="6">
      <formula>0</formula>
    </cfRule>
  </conditionalFormatting>
  <conditionalFormatting sqref="D40:P40">
    <cfRule type="cellIs" priority="7" operator="lessThan" dxfId="6">
      <formula>0</formula>
    </cfRule>
  </conditionalFormatting>
  <conditionalFormatting sqref="D44:P44">
    <cfRule type="cellIs" priority="8" operator="lessThan" dxfId="6">
      <formula>0</formula>
    </cfRule>
  </conditionalFormatting>
  <conditionalFormatting sqref="D45:P45">
    <cfRule type="cellIs" priority="9" operator="lessThan" dxfId="6">
      <formula>0</formula>
    </cfRule>
  </conditionalFormatting>
  <conditionalFormatting sqref="D46:P46">
    <cfRule type="cellIs" priority="10" operator="lessThan" dxfId="6">
      <formula>0</formula>
    </cfRule>
  </conditionalFormatting>
  <conditionalFormatting sqref="D47:P47">
    <cfRule type="cellIs" priority="11" operator="lessThan" dxfId="6">
      <formula>0</formula>
    </cfRule>
  </conditionalFormatting>
  <conditionalFormatting sqref="D48:P48">
    <cfRule type="cellIs" priority="12" operator="lessThan" dxfId="6">
      <formula>0</formula>
    </cfRule>
  </conditionalFormatting>
  <conditionalFormatting sqref="D49:P49">
    <cfRule type="cellIs" priority="13" operator="lessThan" dxfId="6">
      <formula>0</formula>
    </cfRule>
  </conditionalFormatting>
  <conditionalFormatting sqref="B88:M99">
    <cfRule type="expression" priority="14" dxfId="5">
      <formula>ISNA(B88)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P4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</cols>
  <sheetData>
    <row r="1">
      <c r="A1" s="1" t="inlineStr">
        <is>
          <t>GEG – Produksi per Pit/Kontraktor &amp; Penjualan per Pembeli (Aktual Bulanan)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Padanan halaman "Volume by Districts/Category" laporan AAT. Baris cek harus 0 (total per pit/pembeli = total di C3).</t>
        </is>
      </c>
    </row>
    <row r="3"/>
    <row r="4"/>
    <row r="5">
      <c r="D5" s="80" t="n">
        <v>1</v>
      </c>
      <c r="E5" s="80" t="n">
        <v>2</v>
      </c>
      <c r="F5" s="80" t="n">
        <v>3</v>
      </c>
      <c r="G5" s="80" t="n">
        <v>4</v>
      </c>
      <c r="H5" s="80" t="n">
        <v>5</v>
      </c>
      <c r="I5" s="80" t="n">
        <v>6</v>
      </c>
      <c r="J5" s="80" t="n">
        <v>7</v>
      </c>
      <c r="K5" s="80" t="n">
        <v>8</v>
      </c>
      <c r="L5" s="80" t="n">
        <v>9</v>
      </c>
      <c r="M5" s="80" t="n">
        <v>10</v>
      </c>
      <c r="N5" s="80" t="n">
        <v>11</v>
      </c>
      <c r="O5" s="80" t="n">
        <v>12</v>
      </c>
    </row>
    <row r="6">
      <c r="A6" s="4" t="inlineStr">
        <is>
          <t>A. OB REMOVAL PER PIT (bcm)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16" t="inlineStr">
        <is>
          <t>Pit</t>
        </is>
      </c>
      <c r="B7" s="16" t="inlineStr">
        <is>
          <t>Kontraktor</t>
        </is>
      </c>
      <c r="C7" s="16" t="inlineStr"/>
      <c r="D7" s="16" t="inlineStr">
        <is>
          <t>Jan</t>
        </is>
      </c>
      <c r="E7" s="16" t="inlineStr">
        <is>
          <t>Feb</t>
        </is>
      </c>
      <c r="F7" s="16" t="inlineStr">
        <is>
          <t>Mar</t>
        </is>
      </c>
      <c r="G7" s="16" t="inlineStr">
        <is>
          <t>Apr</t>
        </is>
      </c>
      <c r="H7" s="16" t="inlineStr">
        <is>
          <t>Mei</t>
        </is>
      </c>
      <c r="I7" s="16" t="inlineStr">
        <is>
          <t>Jun</t>
        </is>
      </c>
      <c r="J7" s="16" t="inlineStr">
        <is>
          <t>Jul</t>
        </is>
      </c>
      <c r="K7" s="16" t="inlineStr">
        <is>
          <t>Agu</t>
        </is>
      </c>
      <c r="L7" s="16" t="inlineStr">
        <is>
          <t>Sep</t>
        </is>
      </c>
      <c r="M7" s="16" t="inlineStr">
        <is>
          <t>Okt</t>
        </is>
      </c>
      <c r="N7" s="16" t="inlineStr">
        <is>
          <t>Nov</t>
        </is>
      </c>
      <c r="O7" s="16" t="inlineStr">
        <is>
          <t>Des</t>
        </is>
      </c>
      <c r="P7" s="16" t="inlineStr">
        <is>
          <t>YTD</t>
        </is>
      </c>
    </row>
    <row r="8">
      <c r="A8" s="10" t="inlineStr">
        <is>
          <t>Pit Utara</t>
        </is>
      </c>
      <c r="B8" s="45" t="inlineStr">
        <is>
          <t>Kontraktor A</t>
        </is>
      </c>
      <c r="D8" s="17" t="n">
        <v>624393</v>
      </c>
      <c r="E8" s="17" t="n">
        <v>692985</v>
      </c>
      <c r="F8" s="17" t="n">
        <v>624751</v>
      </c>
      <c r="G8" s="17" t="n">
        <v>687595</v>
      </c>
      <c r="H8" s="17" t="n">
        <v>503809</v>
      </c>
      <c r="I8" s="17" t="n">
        <v>657833</v>
      </c>
      <c r="J8" s="17" t="n">
        <v>724731</v>
      </c>
      <c r="K8" s="17" t="n">
        <v>854430</v>
      </c>
      <c r="L8" s="112" t="n"/>
      <c r="M8" s="112" t="n"/>
      <c r="N8" s="112" t="n"/>
      <c r="O8" s="112" t="n"/>
      <c r="P8" s="70">
        <f>SUMIF($D$5:$O$5,"&lt;="&amp;'C1 GEG Setting'!$C$6,D8:O8)</f>
        <v/>
      </c>
    </row>
    <row r="9">
      <c r="A9" s="10" t="inlineStr">
        <is>
          <t>Pit Selatan</t>
        </is>
      </c>
      <c r="B9" s="45" t="inlineStr">
        <is>
          <t>Kontraktor B</t>
        </is>
      </c>
      <c r="D9" s="17" t="n">
        <v>480200</v>
      </c>
      <c r="E9" s="17" t="n">
        <v>456426</v>
      </c>
      <c r="F9" s="17" t="n">
        <v>643217</v>
      </c>
      <c r="G9" s="17" t="n">
        <v>640053</v>
      </c>
      <c r="H9" s="17" t="n">
        <v>869866</v>
      </c>
      <c r="I9" s="17" t="n">
        <v>560262</v>
      </c>
      <c r="J9" s="17" t="n">
        <v>794837</v>
      </c>
      <c r="K9" s="17" t="n">
        <v>751349</v>
      </c>
      <c r="L9" s="112" t="n"/>
      <c r="M9" s="112" t="n"/>
      <c r="N9" s="112" t="n"/>
      <c r="O9" s="112" t="n"/>
      <c r="P9" s="70">
        <f>SUMIF($D$5:$O$5,"&lt;="&amp;'C1 GEG Setting'!$C$6,D9:O9)</f>
        <v/>
      </c>
    </row>
    <row r="10">
      <c r="A10" s="10" t="inlineStr">
        <is>
          <t>Pit Timur</t>
        </is>
      </c>
      <c r="B10" s="45" t="inlineStr">
        <is>
          <t>Kontraktor C</t>
        </is>
      </c>
      <c r="D10" s="17" t="n">
        <v>454173</v>
      </c>
      <c r="E10" s="17" t="n">
        <v>577189</v>
      </c>
      <c r="F10" s="17" t="n">
        <v>482230</v>
      </c>
      <c r="G10" s="17" t="n">
        <v>768201</v>
      </c>
      <c r="H10" s="17" t="n">
        <v>560690</v>
      </c>
      <c r="I10" s="17" t="n">
        <v>664954</v>
      </c>
      <c r="J10" s="17" t="n">
        <v>676331</v>
      </c>
      <c r="K10" s="17" t="n">
        <v>612789</v>
      </c>
      <c r="L10" s="112" t="n"/>
      <c r="M10" s="112" t="n"/>
      <c r="N10" s="112" t="n"/>
      <c r="O10" s="112" t="n"/>
      <c r="P10" s="70">
        <f>SUMIF($D$5:$O$5,"&lt;="&amp;'C1 GEG Setting'!$C$6,D10:O10)</f>
        <v/>
      </c>
    </row>
    <row r="11">
      <c r="A11" s="46" t="inlineStr">
        <is>
          <t>Total</t>
        </is>
      </c>
      <c r="D11" s="71">
        <f>SUM(D8:D10)</f>
        <v/>
      </c>
      <c r="E11" s="71">
        <f>SUM(E8:E10)</f>
        <v/>
      </c>
      <c r="F11" s="71">
        <f>SUM(F8:F10)</f>
        <v/>
      </c>
      <c r="G11" s="71">
        <f>SUM(G8:G10)</f>
        <v/>
      </c>
      <c r="H11" s="71">
        <f>SUM(H8:H10)</f>
        <v/>
      </c>
      <c r="I11" s="71">
        <f>SUM(I8:I10)</f>
        <v/>
      </c>
      <c r="J11" s="71">
        <f>SUM(J8:J10)</f>
        <v/>
      </c>
      <c r="K11" s="71">
        <f>SUM(K8:K10)</f>
        <v/>
      </c>
      <c r="L11" s="71">
        <f>SUM(L8:L10)</f>
        <v/>
      </c>
      <c r="M11" s="71">
        <f>SUM(M8:M10)</f>
        <v/>
      </c>
      <c r="N11" s="71">
        <f>SUM(N8:N10)</f>
        <v/>
      </c>
      <c r="O11" s="71">
        <f>SUM(O8:O10)</f>
        <v/>
      </c>
      <c r="P11" s="71">
        <f>SUM(P8:P10)</f>
        <v/>
      </c>
    </row>
    <row r="12">
      <c r="A12" s="37" t="inlineStr">
        <is>
          <t>Cek vs C3 (harus 0)</t>
        </is>
      </c>
      <c r="D12" s="111">
        <f>IF('C3 GEG Ops Aktual'!D8="","",D11-'C3 GEG Ops Aktual'!D8)</f>
        <v/>
      </c>
      <c r="E12" s="111">
        <f>IF('C3 GEG Ops Aktual'!E8="","",E11-'C3 GEG Ops Aktual'!E8)</f>
        <v/>
      </c>
      <c r="F12" s="111">
        <f>IF('C3 GEG Ops Aktual'!F8="","",F11-'C3 GEG Ops Aktual'!F8)</f>
        <v/>
      </c>
      <c r="G12" s="111">
        <f>IF('C3 GEG Ops Aktual'!G8="","",G11-'C3 GEG Ops Aktual'!G8)</f>
        <v/>
      </c>
      <c r="H12" s="111">
        <f>IF('C3 GEG Ops Aktual'!H8="","",H11-'C3 GEG Ops Aktual'!H8)</f>
        <v/>
      </c>
      <c r="I12" s="111">
        <f>IF('C3 GEG Ops Aktual'!I8="","",I11-'C3 GEG Ops Aktual'!I8)</f>
        <v/>
      </c>
      <c r="J12" s="111">
        <f>IF('C3 GEG Ops Aktual'!J8="","",J11-'C3 GEG Ops Aktual'!J8)</f>
        <v/>
      </c>
      <c r="K12" s="111">
        <f>IF('C3 GEG Ops Aktual'!K8="","",K11-'C3 GEG Ops Aktual'!K8)</f>
        <v/>
      </c>
      <c r="L12" s="111">
        <f>IF('C3 GEG Ops Aktual'!L8="","",L11-'C3 GEG Ops Aktual'!L8)</f>
        <v/>
      </c>
      <c r="M12" s="111">
        <f>IF('C3 GEG Ops Aktual'!M8="","",M11-'C3 GEG Ops Aktual'!M8)</f>
        <v/>
      </c>
      <c r="N12" s="111">
        <f>IF('C3 GEG Ops Aktual'!N8="","",N11-'C3 GEG Ops Aktual'!N8)</f>
        <v/>
      </c>
      <c r="O12" s="111">
        <f>IF('C3 GEG Ops Aktual'!O8="","",O11-'C3 GEG Ops Aktual'!O8)</f>
        <v/>
      </c>
    </row>
    <row r="13"/>
    <row r="14">
      <c r="A14" s="4" t="inlineStr">
        <is>
          <t>B. PRODUKSI BATUBARA PER PIT (ton)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16" t="inlineStr">
        <is>
          <t>Pit</t>
        </is>
      </c>
      <c r="B15" s="16" t="inlineStr">
        <is>
          <t>Kontraktor</t>
        </is>
      </c>
      <c r="C15" s="16" t="inlineStr"/>
      <c r="D15" s="16" t="inlineStr">
        <is>
          <t>Jan</t>
        </is>
      </c>
      <c r="E15" s="16" t="inlineStr">
        <is>
          <t>Feb</t>
        </is>
      </c>
      <c r="F15" s="16" t="inlineStr">
        <is>
          <t>Mar</t>
        </is>
      </c>
      <c r="G15" s="16" t="inlineStr">
        <is>
          <t>Apr</t>
        </is>
      </c>
      <c r="H15" s="16" t="inlineStr">
        <is>
          <t>Mei</t>
        </is>
      </c>
      <c r="I15" s="16" t="inlineStr">
        <is>
          <t>Jun</t>
        </is>
      </c>
      <c r="J15" s="16" t="inlineStr">
        <is>
          <t>Jul</t>
        </is>
      </c>
      <c r="K15" s="16" t="inlineStr">
        <is>
          <t>Agu</t>
        </is>
      </c>
      <c r="L15" s="16" t="inlineStr">
        <is>
          <t>Sep</t>
        </is>
      </c>
      <c r="M15" s="16" t="inlineStr">
        <is>
          <t>Okt</t>
        </is>
      </c>
      <c r="N15" s="16" t="inlineStr">
        <is>
          <t>Nov</t>
        </is>
      </c>
      <c r="O15" s="16" t="inlineStr">
        <is>
          <t>Des</t>
        </is>
      </c>
      <c r="P15" s="16" t="inlineStr">
        <is>
          <t>YTD</t>
        </is>
      </c>
    </row>
    <row r="16">
      <c r="A16" s="10" t="inlineStr">
        <is>
          <t>Pit Utara</t>
        </is>
      </c>
      <c r="B16" s="45" t="inlineStr">
        <is>
          <t>Kontraktor A</t>
        </is>
      </c>
      <c r="D16" s="17" t="n">
        <v>65906</v>
      </c>
      <c r="E16" s="17" t="n">
        <v>70673</v>
      </c>
      <c r="F16" s="17" t="n">
        <v>49274</v>
      </c>
      <c r="G16" s="17" t="n">
        <v>83697</v>
      </c>
      <c r="H16" s="17" t="n">
        <v>72904</v>
      </c>
      <c r="I16" s="17" t="n">
        <v>93883</v>
      </c>
      <c r="J16" s="17" t="n">
        <v>84081</v>
      </c>
      <c r="K16" s="17" t="n">
        <v>79822</v>
      </c>
      <c r="L16" s="112" t="n"/>
      <c r="M16" s="112" t="n"/>
      <c r="N16" s="112" t="n"/>
      <c r="O16" s="112" t="n"/>
      <c r="P16" s="70">
        <f>SUMIF($D$5:$O$5,"&lt;="&amp;'C1 GEG Setting'!$C$6,D16:O16)</f>
        <v/>
      </c>
    </row>
    <row r="17">
      <c r="A17" s="10" t="inlineStr">
        <is>
          <t>Pit Selatan</t>
        </is>
      </c>
      <c r="B17" s="45" t="inlineStr">
        <is>
          <t>Kontraktor B</t>
        </is>
      </c>
      <c r="D17" s="17" t="n">
        <v>60844</v>
      </c>
      <c r="E17" s="17" t="n">
        <v>65892</v>
      </c>
      <c r="F17" s="17" t="n">
        <v>77627</v>
      </c>
      <c r="G17" s="17" t="n">
        <v>83841</v>
      </c>
      <c r="H17" s="17" t="n">
        <v>92761</v>
      </c>
      <c r="I17" s="17" t="n">
        <v>82626</v>
      </c>
      <c r="J17" s="17" t="n">
        <v>100557</v>
      </c>
      <c r="K17" s="17" t="n">
        <v>127277</v>
      </c>
      <c r="L17" s="112" t="n"/>
      <c r="M17" s="112" t="n"/>
      <c r="N17" s="112" t="n"/>
      <c r="O17" s="112" t="n"/>
      <c r="P17" s="70">
        <f>SUMIF($D$5:$O$5,"&lt;="&amp;'C1 GEG Setting'!$C$6,D17:O17)</f>
        <v/>
      </c>
    </row>
    <row r="18">
      <c r="A18" s="10" t="inlineStr">
        <is>
          <t>Pit Timur</t>
        </is>
      </c>
      <c r="B18" s="45" t="inlineStr">
        <is>
          <t>Kontraktor C</t>
        </is>
      </c>
      <c r="D18" s="17" t="n">
        <v>66292</v>
      </c>
      <c r="E18" s="17" t="n">
        <v>76301</v>
      </c>
      <c r="F18" s="17" t="n">
        <v>82925</v>
      </c>
      <c r="G18" s="17" t="n">
        <v>88326</v>
      </c>
      <c r="H18" s="17" t="n">
        <v>72058</v>
      </c>
      <c r="I18" s="17" t="n">
        <v>62685</v>
      </c>
      <c r="J18" s="17" t="n">
        <v>89404</v>
      </c>
      <c r="K18" s="17" t="n">
        <v>76033</v>
      </c>
      <c r="L18" s="112" t="n"/>
      <c r="M18" s="112" t="n"/>
      <c r="N18" s="112" t="n"/>
      <c r="O18" s="112" t="n"/>
      <c r="P18" s="70">
        <f>SUMIF($D$5:$O$5,"&lt;="&amp;'C1 GEG Setting'!$C$6,D18:O18)</f>
        <v/>
      </c>
    </row>
    <row r="19">
      <c r="A19" s="46" t="inlineStr">
        <is>
          <t>Total</t>
        </is>
      </c>
      <c r="D19" s="71">
        <f>SUM(D16:D18)</f>
        <v/>
      </c>
      <c r="E19" s="71">
        <f>SUM(E16:E18)</f>
        <v/>
      </c>
      <c r="F19" s="71">
        <f>SUM(F16:F18)</f>
        <v/>
      </c>
      <c r="G19" s="71">
        <f>SUM(G16:G18)</f>
        <v/>
      </c>
      <c r="H19" s="71">
        <f>SUM(H16:H18)</f>
        <v/>
      </c>
      <c r="I19" s="71">
        <f>SUM(I16:I18)</f>
        <v/>
      </c>
      <c r="J19" s="71">
        <f>SUM(J16:J18)</f>
        <v/>
      </c>
      <c r="K19" s="71">
        <f>SUM(K16:K18)</f>
        <v/>
      </c>
      <c r="L19" s="71">
        <f>SUM(L16:L18)</f>
        <v/>
      </c>
      <c r="M19" s="71">
        <f>SUM(M16:M18)</f>
        <v/>
      </c>
      <c r="N19" s="71">
        <f>SUM(N16:N18)</f>
        <v/>
      </c>
      <c r="O19" s="71">
        <f>SUM(O16:O18)</f>
        <v/>
      </c>
      <c r="P19" s="71">
        <f>SUM(P16:P18)</f>
        <v/>
      </c>
    </row>
    <row r="20">
      <c r="A20" s="37" t="inlineStr">
        <is>
          <t>Cek vs C3 (harus 0)</t>
        </is>
      </c>
      <c r="D20" s="111">
        <f>IF('C3 GEG Ops Aktual'!D9="","",D19-'C3 GEG Ops Aktual'!D9)</f>
        <v/>
      </c>
      <c r="E20" s="111">
        <f>IF('C3 GEG Ops Aktual'!E9="","",E19-'C3 GEG Ops Aktual'!E9)</f>
        <v/>
      </c>
      <c r="F20" s="111">
        <f>IF('C3 GEG Ops Aktual'!F9="","",F19-'C3 GEG Ops Aktual'!F9)</f>
        <v/>
      </c>
      <c r="G20" s="111">
        <f>IF('C3 GEG Ops Aktual'!G9="","",G19-'C3 GEG Ops Aktual'!G9)</f>
        <v/>
      </c>
      <c r="H20" s="111">
        <f>IF('C3 GEG Ops Aktual'!H9="","",H19-'C3 GEG Ops Aktual'!H9)</f>
        <v/>
      </c>
      <c r="I20" s="111">
        <f>IF('C3 GEG Ops Aktual'!I9="","",I19-'C3 GEG Ops Aktual'!I9)</f>
        <v/>
      </c>
      <c r="J20" s="111">
        <f>IF('C3 GEG Ops Aktual'!J9="","",J19-'C3 GEG Ops Aktual'!J9)</f>
        <v/>
      </c>
      <c r="K20" s="111">
        <f>IF('C3 GEG Ops Aktual'!K9="","",K19-'C3 GEG Ops Aktual'!K9)</f>
        <v/>
      </c>
      <c r="L20" s="111">
        <f>IF('C3 GEG Ops Aktual'!L9="","",L19-'C3 GEG Ops Aktual'!L9)</f>
        <v/>
      </c>
      <c r="M20" s="111">
        <f>IF('C3 GEG Ops Aktual'!M9="","",M19-'C3 GEG Ops Aktual'!M9)</f>
        <v/>
      </c>
      <c r="N20" s="111">
        <f>IF('C3 GEG Ops Aktual'!N9="","",N19-'C3 GEG Ops Aktual'!N9)</f>
        <v/>
      </c>
      <c r="O20" s="111">
        <f>IF('C3 GEG Ops Aktual'!O9="","",O19-'C3 GEG Ops Aktual'!O9)</f>
        <v/>
      </c>
    </row>
    <row r="21"/>
    <row r="22">
      <c r="A22" s="4" t="inlineStr">
        <is>
          <t>C. STRIPPING RATIO PER PIT (bcm/t)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16" t="inlineStr">
        <is>
          <t>Pit</t>
        </is>
      </c>
      <c r="B23" s="16" t="inlineStr">
        <is>
          <t>Kontraktor</t>
        </is>
      </c>
      <c r="C23" s="16" t="inlineStr"/>
      <c r="D23" s="16" t="inlineStr">
        <is>
          <t>Jan</t>
        </is>
      </c>
      <c r="E23" s="16" t="inlineStr">
        <is>
          <t>Feb</t>
        </is>
      </c>
      <c r="F23" s="16" t="inlineStr">
        <is>
          <t>Mar</t>
        </is>
      </c>
      <c r="G23" s="16" t="inlineStr">
        <is>
          <t>Apr</t>
        </is>
      </c>
      <c r="H23" s="16" t="inlineStr">
        <is>
          <t>Mei</t>
        </is>
      </c>
      <c r="I23" s="16" t="inlineStr">
        <is>
          <t>Jun</t>
        </is>
      </c>
      <c r="J23" s="16" t="inlineStr">
        <is>
          <t>Jul</t>
        </is>
      </c>
      <c r="K23" s="16" t="inlineStr">
        <is>
          <t>Agu</t>
        </is>
      </c>
      <c r="L23" s="16" t="inlineStr">
        <is>
          <t>Sep</t>
        </is>
      </c>
      <c r="M23" s="16" t="inlineStr">
        <is>
          <t>Okt</t>
        </is>
      </c>
      <c r="N23" s="16" t="inlineStr">
        <is>
          <t>Nov</t>
        </is>
      </c>
      <c r="O23" s="16" t="inlineStr">
        <is>
          <t>Des</t>
        </is>
      </c>
      <c r="P23" s="16" t="inlineStr">
        <is>
          <t>YTD</t>
        </is>
      </c>
    </row>
    <row r="24">
      <c r="A24" s="10" t="inlineStr">
        <is>
          <t>Pit Utara</t>
        </is>
      </c>
      <c r="B24" s="45" t="inlineStr">
        <is>
          <t>Kontraktor A</t>
        </is>
      </c>
      <c r="D24" s="47">
        <f>IFERROR(D8/D16,"")</f>
        <v/>
      </c>
      <c r="E24" s="47">
        <f>IFERROR(E8/E16,"")</f>
        <v/>
      </c>
      <c r="F24" s="47">
        <f>IFERROR(F8/F16,"")</f>
        <v/>
      </c>
      <c r="G24" s="47">
        <f>IFERROR(G8/G16,"")</f>
        <v/>
      </c>
      <c r="H24" s="47">
        <f>IFERROR(H8/H16,"")</f>
        <v/>
      </c>
      <c r="I24" s="47">
        <f>IFERROR(I8/I16,"")</f>
        <v/>
      </c>
      <c r="J24" s="47">
        <f>IFERROR(J8/J16,"")</f>
        <v/>
      </c>
      <c r="K24" s="47">
        <f>IFERROR(K8/K16,"")</f>
        <v/>
      </c>
      <c r="L24" s="47">
        <f>IFERROR(L8/L16,"")</f>
        <v/>
      </c>
      <c r="M24" s="47">
        <f>IFERROR(M8/M16,"")</f>
        <v/>
      </c>
      <c r="N24" s="47">
        <f>IFERROR(N8/N16,"")</f>
        <v/>
      </c>
      <c r="O24" s="47">
        <f>IFERROR(O8/O16,"")</f>
        <v/>
      </c>
      <c r="P24" s="47">
        <f>IFERROR(P8/P16,"")</f>
        <v/>
      </c>
    </row>
    <row r="25">
      <c r="A25" s="10" t="inlineStr">
        <is>
          <t>Pit Selatan</t>
        </is>
      </c>
      <c r="B25" s="45" t="inlineStr">
        <is>
          <t>Kontraktor B</t>
        </is>
      </c>
      <c r="D25" s="47">
        <f>IFERROR(D9/D17,"")</f>
        <v/>
      </c>
      <c r="E25" s="47">
        <f>IFERROR(E9/E17,"")</f>
        <v/>
      </c>
      <c r="F25" s="47">
        <f>IFERROR(F9/F17,"")</f>
        <v/>
      </c>
      <c r="G25" s="47">
        <f>IFERROR(G9/G17,"")</f>
        <v/>
      </c>
      <c r="H25" s="47">
        <f>IFERROR(H9/H17,"")</f>
        <v/>
      </c>
      <c r="I25" s="47">
        <f>IFERROR(I9/I17,"")</f>
        <v/>
      </c>
      <c r="J25" s="47">
        <f>IFERROR(J9/J17,"")</f>
        <v/>
      </c>
      <c r="K25" s="47">
        <f>IFERROR(K9/K17,"")</f>
        <v/>
      </c>
      <c r="L25" s="47">
        <f>IFERROR(L9/L17,"")</f>
        <v/>
      </c>
      <c r="M25" s="47">
        <f>IFERROR(M9/M17,"")</f>
        <v/>
      </c>
      <c r="N25" s="47">
        <f>IFERROR(N9/N17,"")</f>
        <v/>
      </c>
      <c r="O25" s="47">
        <f>IFERROR(O9/O17,"")</f>
        <v/>
      </c>
      <c r="P25" s="47">
        <f>IFERROR(P9/P17,"")</f>
        <v/>
      </c>
    </row>
    <row r="26">
      <c r="A26" s="10" t="inlineStr">
        <is>
          <t>Pit Timur</t>
        </is>
      </c>
      <c r="B26" s="45" t="inlineStr">
        <is>
          <t>Kontraktor C</t>
        </is>
      </c>
      <c r="D26" s="47">
        <f>IFERROR(D10/D18,"")</f>
        <v/>
      </c>
      <c r="E26" s="47">
        <f>IFERROR(E10/E18,"")</f>
        <v/>
      </c>
      <c r="F26" s="47">
        <f>IFERROR(F10/F18,"")</f>
        <v/>
      </c>
      <c r="G26" s="47">
        <f>IFERROR(G10/G18,"")</f>
        <v/>
      </c>
      <c r="H26" s="47">
        <f>IFERROR(H10/H18,"")</f>
        <v/>
      </c>
      <c r="I26" s="47">
        <f>IFERROR(I10/I18,"")</f>
        <v/>
      </c>
      <c r="J26" s="47">
        <f>IFERROR(J10/J18,"")</f>
        <v/>
      </c>
      <c r="K26" s="47">
        <f>IFERROR(K10/K18,"")</f>
        <v/>
      </c>
      <c r="L26" s="47">
        <f>IFERROR(L10/L18,"")</f>
        <v/>
      </c>
      <c r="M26" s="47">
        <f>IFERROR(M10/M18,"")</f>
        <v/>
      </c>
      <c r="N26" s="47">
        <f>IFERROR(N10/N18,"")</f>
        <v/>
      </c>
      <c r="O26" s="47">
        <f>IFERROR(O10/O18,"")</f>
        <v/>
      </c>
      <c r="P26" s="47">
        <f>IFERROR(P10/P18,"")</f>
        <v/>
      </c>
    </row>
    <row r="27">
      <c r="A27" s="46" t="inlineStr">
        <is>
          <t>Total</t>
        </is>
      </c>
      <c r="B27" s="45" t="inlineStr"/>
      <c r="D27" s="60">
        <f>IFERROR(D11/D19,"")</f>
        <v/>
      </c>
      <c r="E27" s="60">
        <f>IFERROR(E11/E19,"")</f>
        <v/>
      </c>
      <c r="F27" s="60">
        <f>IFERROR(F11/F19,"")</f>
        <v/>
      </c>
      <c r="G27" s="60">
        <f>IFERROR(G11/G19,"")</f>
        <v/>
      </c>
      <c r="H27" s="60">
        <f>IFERROR(H11/H19,"")</f>
        <v/>
      </c>
      <c r="I27" s="60">
        <f>IFERROR(I11/I19,"")</f>
        <v/>
      </c>
      <c r="J27" s="60">
        <f>IFERROR(J11/J19,"")</f>
        <v/>
      </c>
      <c r="K27" s="60">
        <f>IFERROR(K11/K19,"")</f>
        <v/>
      </c>
      <c r="L27" s="60">
        <f>IFERROR(L11/L19,"")</f>
        <v/>
      </c>
      <c r="M27" s="60">
        <f>IFERROR(M11/M19,"")</f>
        <v/>
      </c>
      <c r="N27" s="60">
        <f>IFERROR(N11/N19,"")</f>
        <v/>
      </c>
      <c r="O27" s="60">
        <f>IFERROR(O11/O19,"")</f>
        <v/>
      </c>
      <c r="P27" s="60">
        <f>IFERROR(P11/P19,"")</f>
        <v/>
      </c>
    </row>
    <row r="28"/>
    <row r="29">
      <c r="A29" s="4" t="inlineStr">
        <is>
          <t>D. PENJUALAN PER PEMBELI (ton)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</row>
    <row r="30">
      <c r="A30" s="16" t="inlineStr">
        <is>
          <t>Pembeli</t>
        </is>
      </c>
      <c r="B30" s="16" t="inlineStr">
        <is>
          <t>Segmen</t>
        </is>
      </c>
      <c r="C30" s="16" t="inlineStr"/>
      <c r="D30" s="16" t="inlineStr">
        <is>
          <t>Jan</t>
        </is>
      </c>
      <c r="E30" s="16" t="inlineStr">
        <is>
          <t>Feb</t>
        </is>
      </c>
      <c r="F30" s="16" t="inlineStr">
        <is>
          <t>Mar</t>
        </is>
      </c>
      <c r="G30" s="16" t="inlineStr">
        <is>
          <t>Apr</t>
        </is>
      </c>
      <c r="H30" s="16" t="inlineStr">
        <is>
          <t>Mei</t>
        </is>
      </c>
      <c r="I30" s="16" t="inlineStr">
        <is>
          <t>Jun</t>
        </is>
      </c>
      <c r="J30" s="16" t="inlineStr">
        <is>
          <t>Jul</t>
        </is>
      </c>
      <c r="K30" s="16" t="inlineStr">
        <is>
          <t>Agu</t>
        </is>
      </c>
      <c r="L30" s="16" t="inlineStr">
        <is>
          <t>Sep</t>
        </is>
      </c>
      <c r="M30" s="16" t="inlineStr">
        <is>
          <t>Okt</t>
        </is>
      </c>
      <c r="N30" s="16" t="inlineStr">
        <is>
          <t>Nov</t>
        </is>
      </c>
      <c r="O30" s="16" t="inlineStr">
        <is>
          <t>Des</t>
        </is>
      </c>
      <c r="P30" s="16" t="inlineStr">
        <is>
          <t>YTD</t>
        </is>
      </c>
    </row>
    <row r="31">
      <c r="A31" s="10" t="inlineStr">
        <is>
          <t>Pembeli Ekspor A (Tiongkok)</t>
        </is>
      </c>
      <c r="B31" s="45" t="inlineStr">
        <is>
          <t>Ekspor</t>
        </is>
      </c>
      <c r="D31" s="17" t="n">
        <v>35383</v>
      </c>
      <c r="E31" s="17" t="n">
        <v>50533</v>
      </c>
      <c r="F31" s="17" t="n">
        <v>38406</v>
      </c>
      <c r="G31" s="17" t="n">
        <v>44767</v>
      </c>
      <c r="H31" s="17" t="n">
        <v>51050</v>
      </c>
      <c r="I31" s="17" t="n">
        <v>50916</v>
      </c>
      <c r="J31" s="17" t="n">
        <v>57610</v>
      </c>
      <c r="K31" s="17" t="n">
        <v>54335</v>
      </c>
      <c r="L31" s="112" t="n"/>
      <c r="M31" s="112" t="n"/>
      <c r="N31" s="112" t="n"/>
      <c r="O31" s="112" t="n"/>
      <c r="P31" s="28">
        <f>SUMIF($D$5:$O$5,"&lt;="&amp;'C1 GEG Setting'!$C$6,D31:O31)</f>
        <v/>
      </c>
    </row>
    <row r="32">
      <c r="A32" s="10" t="inlineStr">
        <is>
          <t>Pembeli Ekspor B (India)</t>
        </is>
      </c>
      <c r="B32" s="45" t="inlineStr">
        <is>
          <t>Ekspor</t>
        </is>
      </c>
      <c r="D32" s="17" t="n">
        <v>37596</v>
      </c>
      <c r="E32" s="17" t="n">
        <v>40985</v>
      </c>
      <c r="F32" s="17" t="n">
        <v>44334</v>
      </c>
      <c r="G32" s="17" t="n">
        <v>60186</v>
      </c>
      <c r="H32" s="17" t="n">
        <v>37705</v>
      </c>
      <c r="I32" s="17" t="n">
        <v>31102</v>
      </c>
      <c r="J32" s="17" t="n">
        <v>51814</v>
      </c>
      <c r="K32" s="17" t="n">
        <v>61293</v>
      </c>
      <c r="L32" s="112" t="n"/>
      <c r="M32" s="112" t="n"/>
      <c r="N32" s="112" t="n"/>
      <c r="O32" s="112" t="n"/>
      <c r="P32" s="28">
        <f>SUMIF($D$5:$O$5,"&lt;="&amp;'C1 GEG Setting'!$C$6,D32:O32)</f>
        <v/>
      </c>
    </row>
    <row r="33">
      <c r="A33" s="10" t="inlineStr">
        <is>
          <t>Pembeli Ekspor C (Filipina)</t>
        </is>
      </c>
      <c r="B33" s="45" t="inlineStr">
        <is>
          <t>Ekspor</t>
        </is>
      </c>
      <c r="D33" s="17" t="n">
        <v>33828</v>
      </c>
      <c r="E33" s="17" t="n">
        <v>33810</v>
      </c>
      <c r="F33" s="17" t="n">
        <v>45012</v>
      </c>
      <c r="G33" s="17" t="n">
        <v>35201</v>
      </c>
      <c r="H33" s="17" t="n">
        <v>47021</v>
      </c>
      <c r="I33" s="17" t="n">
        <v>50832</v>
      </c>
      <c r="J33" s="17" t="n">
        <v>34911</v>
      </c>
      <c r="K33" s="17" t="n">
        <v>42458</v>
      </c>
      <c r="L33" s="112" t="n"/>
      <c r="M33" s="112" t="n"/>
      <c r="N33" s="112" t="n"/>
      <c r="O33" s="112" t="n"/>
      <c r="P33" s="28">
        <f>SUMIF($D$5:$O$5,"&lt;="&amp;'C1 GEG Setting'!$C$6,D33:O33)</f>
        <v/>
      </c>
    </row>
    <row r="34">
      <c r="A34" s="46" t="inlineStr">
        <is>
          <t>Subtotal Ekspor</t>
        </is>
      </c>
      <c r="D34" s="71">
        <f>SUM(D31:D33)</f>
        <v/>
      </c>
      <c r="E34" s="71">
        <f>SUM(E31:E33)</f>
        <v/>
      </c>
      <c r="F34" s="71">
        <f>SUM(F31:F33)</f>
        <v/>
      </c>
      <c r="G34" s="71">
        <f>SUM(G31:G33)</f>
        <v/>
      </c>
      <c r="H34" s="71">
        <f>SUM(H31:H33)</f>
        <v/>
      </c>
      <c r="I34" s="71">
        <f>SUM(I31:I33)</f>
        <v/>
      </c>
      <c r="J34" s="71">
        <f>SUM(J31:J33)</f>
        <v/>
      </c>
      <c r="K34" s="71">
        <f>SUM(K31:K33)</f>
        <v/>
      </c>
      <c r="L34" s="71">
        <f>SUM(L31:L33)</f>
        <v/>
      </c>
      <c r="M34" s="71">
        <f>SUM(M31:M33)</f>
        <v/>
      </c>
      <c r="N34" s="71">
        <f>SUM(N31:N33)</f>
        <v/>
      </c>
      <c r="O34" s="71">
        <f>SUM(O31:O33)</f>
        <v/>
      </c>
      <c r="P34" s="71">
        <f>SUM(P31:P33)</f>
        <v/>
      </c>
    </row>
    <row r="35">
      <c r="A35" s="37" t="inlineStr">
        <is>
          <t>Cek vs C3 (harus 0)</t>
        </is>
      </c>
      <c r="D35" s="111">
        <f>IF('C3 GEG Ops Aktual'!D16="","",D34-'C3 GEG Ops Aktual'!D16)</f>
        <v/>
      </c>
      <c r="E35" s="111">
        <f>IF('C3 GEG Ops Aktual'!E16="","",E34-'C3 GEG Ops Aktual'!E16)</f>
        <v/>
      </c>
      <c r="F35" s="111">
        <f>IF('C3 GEG Ops Aktual'!F16="","",F34-'C3 GEG Ops Aktual'!F16)</f>
        <v/>
      </c>
      <c r="G35" s="111">
        <f>IF('C3 GEG Ops Aktual'!G16="","",G34-'C3 GEG Ops Aktual'!G16)</f>
        <v/>
      </c>
      <c r="H35" s="111">
        <f>IF('C3 GEG Ops Aktual'!H16="","",H34-'C3 GEG Ops Aktual'!H16)</f>
        <v/>
      </c>
      <c r="I35" s="111">
        <f>IF('C3 GEG Ops Aktual'!I16="","",I34-'C3 GEG Ops Aktual'!I16)</f>
        <v/>
      </c>
      <c r="J35" s="111">
        <f>IF('C3 GEG Ops Aktual'!J16="","",J34-'C3 GEG Ops Aktual'!J16)</f>
        <v/>
      </c>
      <c r="K35" s="111">
        <f>IF('C3 GEG Ops Aktual'!K16="","",K34-'C3 GEG Ops Aktual'!K16)</f>
        <v/>
      </c>
      <c r="L35" s="111">
        <f>IF('C3 GEG Ops Aktual'!L16="","",L34-'C3 GEG Ops Aktual'!L16)</f>
        <v/>
      </c>
      <c r="M35" s="111">
        <f>IF('C3 GEG Ops Aktual'!M16="","",M34-'C3 GEG Ops Aktual'!M16)</f>
        <v/>
      </c>
      <c r="N35" s="111">
        <f>IF('C3 GEG Ops Aktual'!N16="","",N34-'C3 GEG Ops Aktual'!N16)</f>
        <v/>
      </c>
      <c r="O35" s="111">
        <f>IF('C3 GEG Ops Aktual'!O16="","",O34-'C3 GEG Ops Aktual'!O16)</f>
        <v/>
      </c>
    </row>
    <row r="36">
      <c r="A36" s="10" t="inlineStr">
        <is>
          <t>PLN / anak usaha PLN</t>
        </is>
      </c>
      <c r="B36" s="45" t="inlineStr">
        <is>
          <t>Domestik DMO</t>
        </is>
      </c>
      <c r="D36" s="17" t="n">
        <v>27617</v>
      </c>
      <c r="E36" s="17" t="n">
        <v>29948</v>
      </c>
      <c r="F36" s="17" t="n">
        <v>29686</v>
      </c>
      <c r="G36" s="17" t="n">
        <v>40394</v>
      </c>
      <c r="H36" s="17" t="n">
        <v>29067</v>
      </c>
      <c r="I36" s="17" t="n">
        <v>38124</v>
      </c>
      <c r="J36" s="17" t="n">
        <v>33593</v>
      </c>
      <c r="K36" s="17" t="n">
        <v>47021</v>
      </c>
      <c r="L36" s="112" t="n"/>
      <c r="M36" s="112" t="n"/>
      <c r="N36" s="112" t="n"/>
      <c r="O36" s="112" t="n"/>
      <c r="P36" s="28">
        <f>SUMIF($D$5:$O$5,"&lt;="&amp;'C1 GEG Setting'!$C$6,D36:O36)</f>
        <v/>
      </c>
    </row>
    <row r="37">
      <c r="A37" s="10" t="inlineStr">
        <is>
          <t>IPP (pembangkit swasta)</t>
        </is>
      </c>
      <c r="B37" s="45" t="inlineStr">
        <is>
          <t>Domestik DMO</t>
        </is>
      </c>
      <c r="D37" s="17" t="n">
        <v>23935</v>
      </c>
      <c r="E37" s="17" t="n">
        <v>30975</v>
      </c>
      <c r="F37" s="17" t="n">
        <v>27324</v>
      </c>
      <c r="G37" s="17" t="n">
        <v>29034</v>
      </c>
      <c r="H37" s="17" t="n">
        <v>33754</v>
      </c>
      <c r="I37" s="17" t="n">
        <v>24265</v>
      </c>
      <c r="J37" s="17" t="n">
        <v>35727</v>
      </c>
      <c r="K37" s="17" t="n">
        <v>29485</v>
      </c>
      <c r="L37" s="112" t="n"/>
      <c r="M37" s="112" t="n"/>
      <c r="N37" s="112" t="n"/>
      <c r="O37" s="112" t="n"/>
      <c r="P37" s="28">
        <f>SUMIF($D$5:$O$5,"&lt;="&amp;'C1 GEG Setting'!$C$6,D37:O37)</f>
        <v/>
      </c>
    </row>
    <row r="38">
      <c r="A38" s="46" t="inlineStr">
        <is>
          <t>Subtotal Domestik DMO</t>
        </is>
      </c>
      <c r="D38" s="71">
        <f>SUM(D36:D37)</f>
        <v/>
      </c>
      <c r="E38" s="71">
        <f>SUM(E36:E37)</f>
        <v/>
      </c>
      <c r="F38" s="71">
        <f>SUM(F36:F37)</f>
        <v/>
      </c>
      <c r="G38" s="71">
        <f>SUM(G36:G37)</f>
        <v/>
      </c>
      <c r="H38" s="71">
        <f>SUM(H36:H37)</f>
        <v/>
      </c>
      <c r="I38" s="71">
        <f>SUM(I36:I37)</f>
        <v/>
      </c>
      <c r="J38" s="71">
        <f>SUM(J36:J37)</f>
        <v/>
      </c>
      <c r="K38" s="71">
        <f>SUM(K36:K37)</f>
        <v/>
      </c>
      <c r="L38" s="71">
        <f>SUM(L36:L37)</f>
        <v/>
      </c>
      <c r="M38" s="71">
        <f>SUM(M36:M37)</f>
        <v/>
      </c>
      <c r="N38" s="71">
        <f>SUM(N36:N37)</f>
        <v/>
      </c>
      <c r="O38" s="71">
        <f>SUM(O36:O37)</f>
        <v/>
      </c>
      <c r="P38" s="71">
        <f>SUM(P36:P37)</f>
        <v/>
      </c>
    </row>
    <row r="39">
      <c r="A39" s="37" t="inlineStr">
        <is>
          <t>Cek vs C3 (harus 0)</t>
        </is>
      </c>
      <c r="D39" s="111">
        <f>IF('C3 GEG Ops Aktual'!D17="","",D38-'C3 GEG Ops Aktual'!D17)</f>
        <v/>
      </c>
      <c r="E39" s="111">
        <f>IF('C3 GEG Ops Aktual'!E17="","",E38-'C3 GEG Ops Aktual'!E17)</f>
        <v/>
      </c>
      <c r="F39" s="111">
        <f>IF('C3 GEG Ops Aktual'!F17="","",F38-'C3 GEG Ops Aktual'!F17)</f>
        <v/>
      </c>
      <c r="G39" s="111">
        <f>IF('C3 GEG Ops Aktual'!G17="","",G38-'C3 GEG Ops Aktual'!G17)</f>
        <v/>
      </c>
      <c r="H39" s="111">
        <f>IF('C3 GEG Ops Aktual'!H17="","",H38-'C3 GEG Ops Aktual'!H17)</f>
        <v/>
      </c>
      <c r="I39" s="111">
        <f>IF('C3 GEG Ops Aktual'!I17="","",I38-'C3 GEG Ops Aktual'!I17)</f>
        <v/>
      </c>
      <c r="J39" s="111">
        <f>IF('C3 GEG Ops Aktual'!J17="","",J38-'C3 GEG Ops Aktual'!J17)</f>
        <v/>
      </c>
      <c r="K39" s="111">
        <f>IF('C3 GEG Ops Aktual'!K17="","",K38-'C3 GEG Ops Aktual'!K17)</f>
        <v/>
      </c>
      <c r="L39" s="111">
        <f>IF('C3 GEG Ops Aktual'!L17="","",L38-'C3 GEG Ops Aktual'!L17)</f>
        <v/>
      </c>
      <c r="M39" s="111">
        <f>IF('C3 GEG Ops Aktual'!M17="","",M38-'C3 GEG Ops Aktual'!M17)</f>
        <v/>
      </c>
      <c r="N39" s="111">
        <f>IF('C3 GEG Ops Aktual'!N17="","",N38-'C3 GEG Ops Aktual'!N17)</f>
        <v/>
      </c>
      <c r="O39" s="111">
        <f>IF('C3 GEG Ops Aktual'!O17="","",O38-'C3 GEG Ops Aktual'!O17)</f>
        <v/>
      </c>
    </row>
    <row r="40">
      <c r="A40" s="10" t="inlineStr">
        <is>
          <t>Industri semen</t>
        </is>
      </c>
      <c r="B40" s="45" t="inlineStr">
        <is>
          <t>Domestik non-DMO</t>
        </is>
      </c>
      <c r="D40" s="17" t="n">
        <v>16242</v>
      </c>
      <c r="E40" s="17" t="n">
        <v>12429</v>
      </c>
      <c r="F40" s="17" t="n">
        <v>9840</v>
      </c>
      <c r="G40" s="17" t="n">
        <v>17229</v>
      </c>
      <c r="H40" s="17" t="n">
        <v>12683</v>
      </c>
      <c r="I40" s="17" t="n">
        <v>15182</v>
      </c>
      <c r="J40" s="17" t="n">
        <v>20258</v>
      </c>
      <c r="K40" s="17" t="n">
        <v>17964</v>
      </c>
      <c r="L40" s="112" t="n"/>
      <c r="M40" s="112" t="n"/>
      <c r="N40" s="112" t="n"/>
      <c r="O40" s="112" t="n"/>
      <c r="P40" s="28">
        <f>SUMIF($D$5:$O$5,"&lt;="&amp;'C1 GEG Setting'!$C$6,D40:O40)</f>
        <v/>
      </c>
    </row>
    <row r="41">
      <c r="A41" s="10" t="inlineStr">
        <is>
          <t>Smelter / industri lain</t>
        </is>
      </c>
      <c r="B41" s="45" t="inlineStr">
        <is>
          <t>Domestik non-DMO</t>
        </is>
      </c>
      <c r="D41" s="17" t="n">
        <v>17090</v>
      </c>
      <c r="E41" s="17" t="n">
        <v>8071</v>
      </c>
      <c r="F41" s="17" t="n">
        <v>13163</v>
      </c>
      <c r="G41" s="17" t="n">
        <v>18239</v>
      </c>
      <c r="H41" s="17" t="n">
        <v>21966</v>
      </c>
      <c r="I41" s="17" t="n">
        <v>17927</v>
      </c>
      <c r="J41" s="17" t="n">
        <v>27749</v>
      </c>
      <c r="K41" s="17" t="n">
        <v>16948</v>
      </c>
      <c r="L41" s="112" t="n"/>
      <c r="M41" s="112" t="n"/>
      <c r="N41" s="112" t="n"/>
      <c r="O41" s="112" t="n"/>
      <c r="P41" s="28">
        <f>SUMIF($D$5:$O$5,"&lt;="&amp;'C1 GEG Setting'!$C$6,D41:O41)</f>
        <v/>
      </c>
    </row>
    <row r="42">
      <c r="A42" s="46" t="inlineStr">
        <is>
          <t>Subtotal Domestik non-DMO</t>
        </is>
      </c>
      <c r="D42" s="71">
        <f>SUM(D40:D41)</f>
        <v/>
      </c>
      <c r="E42" s="71">
        <f>SUM(E40:E41)</f>
        <v/>
      </c>
      <c r="F42" s="71">
        <f>SUM(F40:F41)</f>
        <v/>
      </c>
      <c r="G42" s="71">
        <f>SUM(G40:G41)</f>
        <v/>
      </c>
      <c r="H42" s="71">
        <f>SUM(H40:H41)</f>
        <v/>
      </c>
      <c r="I42" s="71">
        <f>SUM(I40:I41)</f>
        <v/>
      </c>
      <c r="J42" s="71">
        <f>SUM(J40:J41)</f>
        <v/>
      </c>
      <c r="K42" s="71">
        <f>SUM(K40:K41)</f>
        <v/>
      </c>
      <c r="L42" s="71">
        <f>SUM(L40:L41)</f>
        <v/>
      </c>
      <c r="M42" s="71">
        <f>SUM(M40:M41)</f>
        <v/>
      </c>
      <c r="N42" s="71">
        <f>SUM(N40:N41)</f>
        <v/>
      </c>
      <c r="O42" s="71">
        <f>SUM(O40:O41)</f>
        <v/>
      </c>
      <c r="P42" s="71">
        <f>SUM(P40:P41)</f>
        <v/>
      </c>
    </row>
    <row r="43">
      <c r="A43" s="37" t="inlineStr">
        <is>
          <t>Cek vs C3 (harus 0)</t>
        </is>
      </c>
      <c r="D43" s="111">
        <f>IF('C3 GEG Ops Aktual'!D18="","",D42-'C3 GEG Ops Aktual'!D18)</f>
        <v/>
      </c>
      <c r="E43" s="111">
        <f>IF('C3 GEG Ops Aktual'!E18="","",E42-'C3 GEG Ops Aktual'!E18)</f>
        <v/>
      </c>
      <c r="F43" s="111">
        <f>IF('C3 GEG Ops Aktual'!F18="","",F42-'C3 GEG Ops Aktual'!F18)</f>
        <v/>
      </c>
      <c r="G43" s="111">
        <f>IF('C3 GEG Ops Aktual'!G18="","",G42-'C3 GEG Ops Aktual'!G18)</f>
        <v/>
      </c>
      <c r="H43" s="111">
        <f>IF('C3 GEG Ops Aktual'!H18="","",H42-'C3 GEG Ops Aktual'!H18)</f>
        <v/>
      </c>
      <c r="I43" s="111">
        <f>IF('C3 GEG Ops Aktual'!I18="","",I42-'C3 GEG Ops Aktual'!I18)</f>
        <v/>
      </c>
      <c r="J43" s="111">
        <f>IF('C3 GEG Ops Aktual'!J18="","",J42-'C3 GEG Ops Aktual'!J18)</f>
        <v/>
      </c>
      <c r="K43" s="111">
        <f>IF('C3 GEG Ops Aktual'!K18="","",K42-'C3 GEG Ops Aktual'!K18)</f>
        <v/>
      </c>
      <c r="L43" s="111">
        <f>IF('C3 GEG Ops Aktual'!L18="","",L42-'C3 GEG Ops Aktual'!L18)</f>
        <v/>
      </c>
      <c r="M43" s="111">
        <f>IF('C3 GEG Ops Aktual'!M18="","",M42-'C3 GEG Ops Aktual'!M18)</f>
        <v/>
      </c>
      <c r="N43" s="111">
        <f>IF('C3 GEG Ops Aktual'!N18="","",N42-'C3 GEG Ops Aktual'!N18)</f>
        <v/>
      </c>
      <c r="O43" s="111">
        <f>IF('C3 GEG Ops Aktual'!O18="","",O42-'C3 GEG Ops Aktual'!O18)</f>
        <v/>
      </c>
    </row>
    <row r="44"/>
    <row r="45">
      <c r="A45" s="3" t="inlineStr">
        <is>
          <t>Tambah pit/pembeli: sisipkan baris di atas baris Total/Subtotal agar rumus SUM tetap mencakup.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P6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50" customWidth="1" min="14" max="14"/>
    <col width="12" customWidth="1" min="15" max="15"/>
    <col width="13" customWidth="1" min="16" max="16"/>
  </cols>
  <sheetData>
    <row r="1">
      <c r="A1" s="1" t="inlineStr">
        <is>
          <t>GEG – Arus Kas Langsung, Debt Service &amp; CADS (format ala laporan AAT)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>
        <f>"Bulan laporan: "&amp;'C1 GEG Setting'!$C$7&amp;" "&amp;'C1 GEG Setting'!$C$5&amp;" | Rp juta | Aktual otomatis dari C5/C6/C7; Budget diisi di blok bawah"</f>
        <v/>
      </c>
    </row>
    <row r="3"/>
    <row r="4" ht="32" customHeight="1">
      <c r="A4" s="16" t="inlineStr">
        <is>
          <t>Arus kas (Rp juta)</t>
        </is>
      </c>
      <c r="B4" s="16" t="inlineStr">
        <is>
          <t>Satuan</t>
        </is>
      </c>
      <c r="C4" s="16" t="inlineStr">
        <is>
          <t>Bulan lalu
Aktual</t>
        </is>
      </c>
      <c r="D4" s="16" t="inlineStr">
        <is>
          <t>Bulan ini
Aktual</t>
        </is>
      </c>
      <c r="E4" s="16" t="inlineStr">
        <is>
          <t>Var MoM</t>
        </is>
      </c>
      <c r="F4" s="16" t="inlineStr">
        <is>
          <t>Var MoM %</t>
        </is>
      </c>
      <c r="G4" s="16" t="inlineStr">
        <is>
          <t>Bulan ini
Budget</t>
        </is>
      </c>
      <c r="H4" s="16" t="inlineStr">
        <is>
          <t>Var vs Budget</t>
        </is>
      </c>
      <c r="I4" s="16" t="inlineStr">
        <is>
          <t>Var %</t>
        </is>
      </c>
      <c r="J4" s="16" t="inlineStr">
        <is>
          <t>YTD
Aktual</t>
        </is>
      </c>
      <c r="K4" s="16" t="inlineStr">
        <is>
          <t>YTD
Budget</t>
        </is>
      </c>
      <c r="L4" s="16" t="inlineStr">
        <is>
          <t>Var YTD</t>
        </is>
      </c>
      <c r="M4" s="16" t="inlineStr">
        <is>
          <t>Var YTD %</t>
        </is>
      </c>
      <c r="N4" s="16" t="inlineStr">
        <is>
          <t>Catatan / penjelasan varians (diisi FP&amp;A)</t>
        </is>
      </c>
    </row>
    <row r="5">
      <c r="A5" s="10" t="inlineStr">
        <is>
          <t xml:space="preserve">   Penerimaan dari pelanggan</t>
        </is>
      </c>
      <c r="B5" s="3" t="inlineStr">
        <is>
          <t>Rp juta</t>
        </is>
      </c>
      <c r="C5" s="28">
        <f>IFERROR(IF('C1 GEG Setting'!$C$6-1&lt;1,0,INDEX($D$32:$O$32,'C1 GEG Setting'!$C$6-1)),0)</f>
        <v/>
      </c>
      <c r="D5" s="28">
        <f>IFERROR(IF('C1 GEG Setting'!$C$6-0&lt;1,0,INDEX($D$32:$O$32,'C1 GEG Setting'!$C$6)),0)</f>
        <v/>
      </c>
      <c r="E5" s="19">
        <f>IFERROR(D5-C5,0)</f>
        <v/>
      </c>
      <c r="F5" s="24">
        <f>IFERROR(E5/ABS(C5),"")</f>
        <v/>
      </c>
      <c r="G5" s="28">
        <f>IFERROR(IF('C1 GEG Setting'!$C$6-0&lt;1,0,INDEX($D$53:$O$53,'C1 GEG Setting'!$C$6)),0)</f>
        <v/>
      </c>
      <c r="H5" s="19">
        <f>IFERROR(D5-G5,0)</f>
        <v/>
      </c>
      <c r="I5" s="24">
        <f>IFERROR(H5/ABS(G5),"")</f>
        <v/>
      </c>
      <c r="J5" s="28">
        <f>SUMIF($D$29:$O$29,"&lt;="&amp;'C1 GEG Setting'!$C$6,$D$32:$O$32)</f>
        <v/>
      </c>
      <c r="K5" s="28">
        <f>SUMIF($D$29:$O$29,"&lt;="&amp;'C1 GEG Setting'!$C$6,$D$53:$O$53)</f>
        <v/>
      </c>
      <c r="L5" s="19">
        <f>IFERROR(J5-K5,0)</f>
        <v/>
      </c>
      <c r="M5" s="24">
        <f>IFERROR(L5/ABS(K5),"")</f>
        <v/>
      </c>
      <c r="N5" s="106" t="inlineStr">
        <is>
          <t>Contoh: penerimaan di bawah budget krn piutang pembeli ekspor mundur ke bulan berikut.</t>
        </is>
      </c>
    </row>
    <row r="6">
      <c r="A6" s="10" t="inlineStr">
        <is>
          <t xml:space="preserve">   Pembayaran ke kontraktor, pemasok &amp; karyawan</t>
        </is>
      </c>
      <c r="B6" s="3" t="inlineStr">
        <is>
          <t>Rp juta</t>
        </is>
      </c>
      <c r="C6" s="28">
        <f>IFERROR(IF('C1 GEG Setting'!$C$6-1&lt;1,0,INDEX($D$33:$O$33,'C1 GEG Setting'!$C$6-1)),0)</f>
        <v/>
      </c>
      <c r="D6" s="28">
        <f>IFERROR(IF('C1 GEG Setting'!$C$6-0&lt;1,0,INDEX($D$33:$O$33,'C1 GEG Setting'!$C$6)),0)</f>
        <v/>
      </c>
      <c r="E6" s="19">
        <f>IFERROR(D6-C6,0)</f>
        <v/>
      </c>
      <c r="F6" s="24">
        <f>IFERROR(E6/ABS(C6),"")</f>
        <v/>
      </c>
      <c r="G6" s="28">
        <f>IFERROR(IF('C1 GEG Setting'!$C$6-0&lt;1,0,INDEX($D$54:$O$54,'C1 GEG Setting'!$C$6)),0)</f>
        <v/>
      </c>
      <c r="H6" s="19">
        <f>IFERROR(D6-G6,0)</f>
        <v/>
      </c>
      <c r="I6" s="24">
        <f>IFERROR(H6/ABS(G6),"")</f>
        <v/>
      </c>
      <c r="J6" s="28">
        <f>SUMIF($D$29:$O$29,"&lt;="&amp;'C1 GEG Setting'!$C$6,$D$33:$O$33)</f>
        <v/>
      </c>
      <c r="K6" s="28">
        <f>SUMIF($D$29:$O$29,"&lt;="&amp;'C1 GEG Setting'!$C$6,$D$54:$O$54)</f>
        <v/>
      </c>
      <c r="L6" s="19">
        <f>IFERROR(J6-K6,0)</f>
        <v/>
      </c>
      <c r="M6" s="24">
        <f>IFERROR(L6/ABS(K6),"")</f>
        <v/>
      </c>
      <c r="N6" s="76" t="n"/>
    </row>
    <row r="7">
      <c r="A7" s="10" t="inlineStr">
        <is>
          <t xml:space="preserve">   Pembayaran royalti / PNBP</t>
        </is>
      </c>
      <c r="B7" s="3" t="inlineStr">
        <is>
          <t>Rp juta</t>
        </is>
      </c>
      <c r="C7" s="28">
        <f>IFERROR(IF('C1 GEG Setting'!$C$6-1&lt;1,0,INDEX($D$34:$O$34,'C1 GEG Setting'!$C$6-1)),0)</f>
        <v/>
      </c>
      <c r="D7" s="28">
        <f>IFERROR(IF('C1 GEG Setting'!$C$6-0&lt;1,0,INDEX($D$34:$O$34,'C1 GEG Setting'!$C$6)),0)</f>
        <v/>
      </c>
      <c r="E7" s="19">
        <f>IFERROR(D7-C7,0)</f>
        <v/>
      </c>
      <c r="F7" s="24">
        <f>IFERROR(E7/ABS(C7),"")</f>
        <v/>
      </c>
      <c r="G7" s="28">
        <f>IFERROR(IF('C1 GEG Setting'!$C$6-0&lt;1,0,INDEX($D$55:$O$55,'C1 GEG Setting'!$C$6)),0)</f>
        <v/>
      </c>
      <c r="H7" s="19">
        <f>IFERROR(D7-G7,0)</f>
        <v/>
      </c>
      <c r="I7" s="24">
        <f>IFERROR(H7/ABS(G7),"")</f>
        <v/>
      </c>
      <c r="J7" s="28">
        <f>SUMIF($D$29:$O$29,"&lt;="&amp;'C1 GEG Setting'!$C$6,$D$34:$O$34)</f>
        <v/>
      </c>
      <c r="K7" s="28">
        <f>SUMIF($D$29:$O$29,"&lt;="&amp;'C1 GEG Setting'!$C$6,$D$55:$O$55)</f>
        <v/>
      </c>
      <c r="L7" s="19">
        <f>IFERROR(J7-K7,0)</f>
        <v/>
      </c>
      <c r="M7" s="24">
        <f>IFERROR(L7/ABS(K7),"")</f>
        <v/>
      </c>
      <c r="N7" s="76" t="n"/>
    </row>
    <row r="8">
      <c r="A8" s="48" t="inlineStr">
        <is>
          <t>Kas operasi sebelum pajak &amp; bunga</t>
        </is>
      </c>
      <c r="B8" s="49" t="inlineStr">
        <is>
          <t>Rp juta</t>
        </is>
      </c>
      <c r="C8" s="50">
        <f>IFERROR(IF('C1 GEG Setting'!$C$6-1&lt;1,0,INDEX($D$35:$O$35,'C1 GEG Setting'!$C$6-1)),0)</f>
        <v/>
      </c>
      <c r="D8" s="50">
        <f>IFERROR(IF('C1 GEG Setting'!$C$6-0&lt;1,0,INDEX($D$35:$O$35,'C1 GEG Setting'!$C$6)),0)</f>
        <v/>
      </c>
      <c r="E8" s="107">
        <f>IFERROR(D8-C8,0)</f>
        <v/>
      </c>
      <c r="F8" s="54">
        <f>IFERROR(E8/ABS(C8),"")</f>
        <v/>
      </c>
      <c r="G8" s="50">
        <f>IFERROR(IF('C1 GEG Setting'!$C$6-0&lt;1,0,INDEX($D$56:$O$56,'C1 GEG Setting'!$C$6)),0)</f>
        <v/>
      </c>
      <c r="H8" s="107">
        <f>IFERROR(D8-G8,0)</f>
        <v/>
      </c>
      <c r="I8" s="54">
        <f>IFERROR(H8/ABS(G8),"")</f>
        <v/>
      </c>
      <c r="J8" s="50">
        <f>SUMIF($D$29:$O$29,"&lt;="&amp;'C1 GEG Setting'!$C$6,$D$35:$O$35)</f>
        <v/>
      </c>
      <c r="K8" s="50">
        <f>SUMIF($D$29:$O$29,"&lt;="&amp;'C1 GEG Setting'!$C$6,$D$56:$O$56)</f>
        <v/>
      </c>
      <c r="L8" s="107">
        <f>IFERROR(J8-K8,0)</f>
        <v/>
      </c>
      <c r="M8" s="54">
        <f>IFERROR(L8/ABS(K8),"")</f>
        <v/>
      </c>
      <c r="N8" s="108" t="n"/>
    </row>
    <row r="9">
      <c r="A9" s="10" t="inlineStr">
        <is>
          <t xml:space="preserve">   Pembayaran pajak penghasilan</t>
        </is>
      </c>
      <c r="B9" s="3" t="inlineStr">
        <is>
          <t>Rp juta</t>
        </is>
      </c>
      <c r="C9" s="28">
        <f>IFERROR(IF('C1 GEG Setting'!$C$6-1&lt;1,0,INDEX($D$36:$O$36,'C1 GEG Setting'!$C$6-1)),0)</f>
        <v/>
      </c>
      <c r="D9" s="28">
        <f>IFERROR(IF('C1 GEG Setting'!$C$6-0&lt;1,0,INDEX($D$36:$O$36,'C1 GEG Setting'!$C$6)),0)</f>
        <v/>
      </c>
      <c r="E9" s="19">
        <f>IFERROR(D9-C9,0)</f>
        <v/>
      </c>
      <c r="F9" s="24">
        <f>IFERROR(E9/ABS(C9),"")</f>
        <v/>
      </c>
      <c r="G9" s="28">
        <f>IFERROR(IF('C1 GEG Setting'!$C$6-0&lt;1,0,INDEX($D$57:$O$57,'C1 GEG Setting'!$C$6)),0)</f>
        <v/>
      </c>
      <c r="H9" s="19">
        <f>IFERROR(D9-G9,0)</f>
        <v/>
      </c>
      <c r="I9" s="24">
        <f>IFERROR(H9/ABS(G9),"")</f>
        <v/>
      </c>
      <c r="J9" s="28">
        <f>SUMIF($D$29:$O$29,"&lt;="&amp;'C1 GEG Setting'!$C$6,$D$36:$O$36)</f>
        <v/>
      </c>
      <c r="K9" s="28">
        <f>SUMIF($D$29:$O$29,"&lt;="&amp;'C1 GEG Setting'!$C$6,$D$57:$O$57)</f>
        <v/>
      </c>
      <c r="L9" s="19">
        <f>IFERROR(J9-K9,0)</f>
        <v/>
      </c>
      <c r="M9" s="24">
        <f>IFERROR(L9/ABS(K9),"")</f>
        <v/>
      </c>
      <c r="N9" s="76" t="n"/>
    </row>
    <row r="10">
      <c r="A10" s="10" t="inlineStr">
        <is>
          <t xml:space="preserve">   Penerimaan bunga</t>
        </is>
      </c>
      <c r="B10" s="3" t="inlineStr">
        <is>
          <t>Rp juta</t>
        </is>
      </c>
      <c r="C10" s="28">
        <f>IFERROR(IF('C1 GEG Setting'!$C$6-1&lt;1,0,INDEX($D$37:$O$37,'C1 GEG Setting'!$C$6-1)),0)</f>
        <v/>
      </c>
      <c r="D10" s="28">
        <f>IFERROR(IF('C1 GEG Setting'!$C$6-0&lt;1,0,INDEX($D$37:$O$37,'C1 GEG Setting'!$C$6)),0)</f>
        <v/>
      </c>
      <c r="E10" s="19">
        <f>IFERROR(D10-C10,0)</f>
        <v/>
      </c>
      <c r="F10" s="24">
        <f>IFERROR(E10/ABS(C10),"")</f>
        <v/>
      </c>
      <c r="G10" s="28">
        <f>IFERROR(IF('C1 GEG Setting'!$C$6-0&lt;1,0,INDEX($D$58:$O$58,'C1 GEG Setting'!$C$6)),0)</f>
        <v/>
      </c>
      <c r="H10" s="19">
        <f>IFERROR(D10-G10,0)</f>
        <v/>
      </c>
      <c r="I10" s="24">
        <f>IFERROR(H10/ABS(G10),"")</f>
        <v/>
      </c>
      <c r="J10" s="28">
        <f>SUMIF($D$29:$O$29,"&lt;="&amp;'C1 GEG Setting'!$C$6,$D$37:$O$37)</f>
        <v/>
      </c>
      <c r="K10" s="28">
        <f>SUMIF($D$29:$O$29,"&lt;="&amp;'C1 GEG Setting'!$C$6,$D$58:$O$58)</f>
        <v/>
      </c>
      <c r="L10" s="19">
        <f>IFERROR(J10-K10,0)</f>
        <v/>
      </c>
      <c r="M10" s="24">
        <f>IFERROR(L10/ABS(K10),"")</f>
        <v/>
      </c>
      <c r="N10" s="76" t="n"/>
    </row>
    <row r="11">
      <c r="A11" s="48" t="inlineStr">
        <is>
          <t>Kas bersih dari operasi</t>
        </is>
      </c>
      <c r="B11" s="49" t="inlineStr">
        <is>
          <t>Rp juta</t>
        </is>
      </c>
      <c r="C11" s="50">
        <f>IFERROR(IF('C1 GEG Setting'!$C$6-1&lt;1,0,INDEX($D$38:$O$38,'C1 GEG Setting'!$C$6-1)),0)</f>
        <v/>
      </c>
      <c r="D11" s="50">
        <f>IFERROR(IF('C1 GEG Setting'!$C$6-0&lt;1,0,INDEX($D$38:$O$38,'C1 GEG Setting'!$C$6)),0)</f>
        <v/>
      </c>
      <c r="E11" s="107">
        <f>IFERROR(D11-C11,0)</f>
        <v/>
      </c>
      <c r="F11" s="54">
        <f>IFERROR(E11/ABS(C11),"")</f>
        <v/>
      </c>
      <c r="G11" s="50">
        <f>IFERROR(IF('C1 GEG Setting'!$C$6-0&lt;1,0,INDEX($D$59:$O$59,'C1 GEG Setting'!$C$6)),0)</f>
        <v/>
      </c>
      <c r="H11" s="107">
        <f>IFERROR(D11-G11,0)</f>
        <v/>
      </c>
      <c r="I11" s="54">
        <f>IFERROR(H11/ABS(G11),"")</f>
        <v/>
      </c>
      <c r="J11" s="50">
        <f>SUMIF($D$29:$O$29,"&lt;="&amp;'C1 GEG Setting'!$C$6,$D$38:$O$38)</f>
        <v/>
      </c>
      <c r="K11" s="50">
        <f>SUMIF($D$29:$O$29,"&lt;="&amp;'C1 GEG Setting'!$C$6,$D$59:$O$59)</f>
        <v/>
      </c>
      <c r="L11" s="107">
        <f>IFERROR(J11-K11,0)</f>
        <v/>
      </c>
      <c r="M11" s="54">
        <f>IFERROR(L11/ABS(K11),"")</f>
        <v/>
      </c>
      <c r="N11" s="108" t="n"/>
    </row>
    <row r="12">
      <c r="A12" s="10" t="inlineStr">
        <is>
          <t xml:space="preserve">   Pembayaran bunga</t>
        </is>
      </c>
      <c r="B12" s="3" t="inlineStr">
        <is>
          <t>Rp juta</t>
        </is>
      </c>
      <c r="C12" s="28">
        <f>IFERROR(IF('C1 GEG Setting'!$C$6-1&lt;1,0,INDEX($D$39:$O$39,'C1 GEG Setting'!$C$6-1)),0)</f>
        <v/>
      </c>
      <c r="D12" s="28">
        <f>IFERROR(IF('C1 GEG Setting'!$C$6-0&lt;1,0,INDEX($D$39:$O$39,'C1 GEG Setting'!$C$6)),0)</f>
        <v/>
      </c>
      <c r="E12" s="19">
        <f>IFERROR(D12-C12,0)</f>
        <v/>
      </c>
      <c r="F12" s="24">
        <f>IFERROR(E12/ABS(C12),"")</f>
        <v/>
      </c>
      <c r="G12" s="28">
        <f>IFERROR(IF('C1 GEG Setting'!$C$6-0&lt;1,0,INDEX($D$60:$O$60,'C1 GEG Setting'!$C$6)),0)</f>
        <v/>
      </c>
      <c r="H12" s="19">
        <f>IFERROR(D12-G12,0)</f>
        <v/>
      </c>
      <c r="I12" s="24">
        <f>IFERROR(H12/ABS(G12),"")</f>
        <v/>
      </c>
      <c r="J12" s="28">
        <f>SUMIF($D$29:$O$29,"&lt;="&amp;'C1 GEG Setting'!$C$6,$D$39:$O$39)</f>
        <v/>
      </c>
      <c r="K12" s="28">
        <f>SUMIF($D$29:$O$29,"&lt;="&amp;'C1 GEG Setting'!$C$6,$D$60:$O$60)</f>
        <v/>
      </c>
      <c r="L12" s="19">
        <f>IFERROR(J12-K12,0)</f>
        <v/>
      </c>
      <c r="M12" s="24">
        <f>IFERROR(L12/ABS(K12),"")</f>
        <v/>
      </c>
      <c r="N12" s="76" t="n"/>
    </row>
    <row r="13">
      <c r="A13" s="10" t="inlineStr">
        <is>
          <t xml:space="preserve">   Pembayaran pokok pinjaman (neto)</t>
        </is>
      </c>
      <c r="B13" s="3" t="inlineStr">
        <is>
          <t>Rp juta</t>
        </is>
      </c>
      <c r="C13" s="28">
        <f>IFERROR(IF('C1 GEG Setting'!$C$6-1&lt;1,0,INDEX($D$40:$O$40,'C1 GEG Setting'!$C$6-1)),0)</f>
        <v/>
      </c>
      <c r="D13" s="28">
        <f>IFERROR(IF('C1 GEG Setting'!$C$6-0&lt;1,0,INDEX($D$40:$O$40,'C1 GEG Setting'!$C$6)),0)</f>
        <v/>
      </c>
      <c r="E13" s="19">
        <f>IFERROR(D13-C13,0)</f>
        <v/>
      </c>
      <c r="F13" s="24">
        <f>IFERROR(E13/ABS(C13),"")</f>
        <v/>
      </c>
      <c r="G13" s="28">
        <f>IFERROR(IF('C1 GEG Setting'!$C$6-0&lt;1,0,INDEX($D$61:$O$61,'C1 GEG Setting'!$C$6)),0)</f>
        <v/>
      </c>
      <c r="H13" s="19">
        <f>IFERROR(D13-G13,0)</f>
        <v/>
      </c>
      <c r="I13" s="24">
        <f>IFERROR(H13/ABS(G13),"")</f>
        <v/>
      </c>
      <c r="J13" s="28">
        <f>SUMIF($D$29:$O$29,"&lt;="&amp;'C1 GEG Setting'!$C$6,$D$40:$O$40)</f>
        <v/>
      </c>
      <c r="K13" s="28">
        <f>SUMIF($D$29:$O$29,"&lt;="&amp;'C1 GEG Setting'!$C$6,$D$61:$O$61)</f>
        <v/>
      </c>
      <c r="L13" s="19">
        <f>IFERROR(J13-K13,0)</f>
        <v/>
      </c>
      <c r="M13" s="24">
        <f>IFERROR(L13/ABS(K13),"")</f>
        <v/>
      </c>
      <c r="N13" s="76" t="n"/>
    </row>
    <row r="14">
      <c r="A14" s="48" t="inlineStr">
        <is>
          <t>Debt service</t>
        </is>
      </c>
      <c r="B14" s="49" t="inlineStr">
        <is>
          <t>Rp juta</t>
        </is>
      </c>
      <c r="C14" s="50">
        <f>IFERROR(IF('C1 GEG Setting'!$C$6-1&lt;1,0,INDEX($D$41:$O$41,'C1 GEG Setting'!$C$6-1)),0)</f>
        <v/>
      </c>
      <c r="D14" s="50">
        <f>IFERROR(IF('C1 GEG Setting'!$C$6-0&lt;1,0,INDEX($D$41:$O$41,'C1 GEG Setting'!$C$6)),0)</f>
        <v/>
      </c>
      <c r="E14" s="107">
        <f>IFERROR(D14-C14,0)</f>
        <v/>
      </c>
      <c r="F14" s="54">
        <f>IFERROR(E14/ABS(C14),"")</f>
        <v/>
      </c>
      <c r="G14" s="50">
        <f>IFERROR(IF('C1 GEG Setting'!$C$6-0&lt;1,0,INDEX($D$62:$O$62,'C1 GEG Setting'!$C$6)),0)</f>
        <v/>
      </c>
      <c r="H14" s="107">
        <f>IFERROR(D14-G14,0)</f>
        <v/>
      </c>
      <c r="I14" s="54">
        <f>IFERROR(H14/ABS(G14),"")</f>
        <v/>
      </c>
      <c r="J14" s="50">
        <f>SUMIF($D$29:$O$29,"&lt;="&amp;'C1 GEG Setting'!$C$6,$D$41:$O$41)</f>
        <v/>
      </c>
      <c r="K14" s="50">
        <f>SUMIF($D$29:$O$29,"&lt;="&amp;'C1 GEG Setting'!$C$6,$D$62:$O$62)</f>
        <v/>
      </c>
      <c r="L14" s="107">
        <f>IFERROR(J14-K14,0)</f>
        <v/>
      </c>
      <c r="M14" s="54">
        <f>IFERROR(L14/ABS(K14),"")</f>
        <v/>
      </c>
      <c r="N14" s="108" t="n"/>
    </row>
    <row r="15">
      <c r="A15" s="48" t="inlineStr">
        <is>
          <t>Kas tersedia setelah debt service (CADS)</t>
        </is>
      </c>
      <c r="B15" s="49" t="inlineStr">
        <is>
          <t>Rp juta</t>
        </is>
      </c>
      <c r="C15" s="50">
        <f>IFERROR(IF('C1 GEG Setting'!$C$6-1&lt;1,0,INDEX($D$42:$O$42,'C1 GEG Setting'!$C$6-1)),0)</f>
        <v/>
      </c>
      <c r="D15" s="50">
        <f>IFERROR(IF('C1 GEG Setting'!$C$6-0&lt;1,0,INDEX($D$42:$O$42,'C1 GEG Setting'!$C$6)),0)</f>
        <v/>
      </c>
      <c r="E15" s="107">
        <f>IFERROR(D15-C15,0)</f>
        <v/>
      </c>
      <c r="F15" s="54">
        <f>IFERROR(E15/ABS(C15),"")</f>
        <v/>
      </c>
      <c r="G15" s="50">
        <f>IFERROR(IF('C1 GEG Setting'!$C$6-0&lt;1,0,INDEX($D$63:$O$63,'C1 GEG Setting'!$C$6)),0)</f>
        <v/>
      </c>
      <c r="H15" s="107">
        <f>IFERROR(D15-G15,0)</f>
        <v/>
      </c>
      <c r="I15" s="54">
        <f>IFERROR(H15/ABS(G15),"")</f>
        <v/>
      </c>
      <c r="J15" s="50">
        <f>SUMIF($D$29:$O$29,"&lt;="&amp;'C1 GEG Setting'!$C$6,$D$42:$O$42)</f>
        <v/>
      </c>
      <c r="K15" s="50">
        <f>SUMIF($D$29:$O$29,"&lt;="&amp;'C1 GEG Setting'!$C$6,$D$63:$O$63)</f>
        <v/>
      </c>
      <c r="L15" s="107">
        <f>IFERROR(J15-K15,0)</f>
        <v/>
      </c>
      <c r="M15" s="54">
        <f>IFERROR(L15/ABS(K15),"")</f>
        <v/>
      </c>
      <c r="N15" s="108" t="n"/>
    </row>
    <row r="16">
      <c r="A16" s="10" t="inlineStr">
        <is>
          <t xml:space="preserve">   Capex &amp; investasi</t>
        </is>
      </c>
      <c r="B16" s="3" t="inlineStr">
        <is>
          <t>Rp juta</t>
        </is>
      </c>
      <c r="C16" s="28">
        <f>IFERROR(IF('C1 GEG Setting'!$C$6-1&lt;1,0,INDEX($D$43:$O$43,'C1 GEG Setting'!$C$6-1)),0)</f>
        <v/>
      </c>
      <c r="D16" s="28">
        <f>IFERROR(IF('C1 GEG Setting'!$C$6-0&lt;1,0,INDEX($D$43:$O$43,'C1 GEG Setting'!$C$6)),0)</f>
        <v/>
      </c>
      <c r="E16" s="19">
        <f>IFERROR(D16-C16,0)</f>
        <v/>
      </c>
      <c r="F16" s="24">
        <f>IFERROR(E16/ABS(C16),"")</f>
        <v/>
      </c>
      <c r="G16" s="28">
        <f>IFERROR(IF('C1 GEG Setting'!$C$6-0&lt;1,0,INDEX($D$64:$O$64,'C1 GEG Setting'!$C$6)),0)</f>
        <v/>
      </c>
      <c r="H16" s="19">
        <f>IFERROR(D16-G16,0)</f>
        <v/>
      </c>
      <c r="I16" s="24">
        <f>IFERROR(H16/ABS(G16),"")</f>
        <v/>
      </c>
      <c r="J16" s="28">
        <f>SUMIF($D$29:$O$29,"&lt;="&amp;'C1 GEG Setting'!$C$6,$D$43:$O$43)</f>
        <v/>
      </c>
      <c r="K16" s="28">
        <f>SUMIF($D$29:$O$29,"&lt;="&amp;'C1 GEG Setting'!$C$6,$D$64:$O$64)</f>
        <v/>
      </c>
      <c r="L16" s="19">
        <f>IFERROR(J16-K16,0)</f>
        <v/>
      </c>
      <c r="M16" s="24">
        <f>IFERROR(L16/ABS(K16),"")</f>
        <v/>
      </c>
      <c r="N16" s="76" t="n"/>
    </row>
    <row r="17">
      <c r="A17" s="48" t="inlineStr">
        <is>
          <t>Kas bersih setelah capex</t>
        </is>
      </c>
      <c r="B17" s="49" t="inlineStr">
        <is>
          <t>Rp juta</t>
        </is>
      </c>
      <c r="C17" s="50">
        <f>IFERROR(IF('C1 GEG Setting'!$C$6-1&lt;1,0,INDEX($D$44:$O$44,'C1 GEG Setting'!$C$6-1)),0)</f>
        <v/>
      </c>
      <c r="D17" s="50">
        <f>IFERROR(IF('C1 GEG Setting'!$C$6-0&lt;1,0,INDEX($D$44:$O$44,'C1 GEG Setting'!$C$6)),0)</f>
        <v/>
      </c>
      <c r="E17" s="107">
        <f>IFERROR(D17-C17,0)</f>
        <v/>
      </c>
      <c r="F17" s="54">
        <f>IFERROR(E17/ABS(C17),"")</f>
        <v/>
      </c>
      <c r="G17" s="50">
        <f>IFERROR(IF('C1 GEG Setting'!$C$6-0&lt;1,0,INDEX($D$65:$O$65,'C1 GEG Setting'!$C$6)),0)</f>
        <v/>
      </c>
      <c r="H17" s="107">
        <f>IFERROR(D17-G17,0)</f>
        <v/>
      </c>
      <c r="I17" s="54">
        <f>IFERROR(H17/ABS(G17),"")</f>
        <v/>
      </c>
      <c r="J17" s="50">
        <f>SUMIF($D$29:$O$29,"&lt;="&amp;'C1 GEG Setting'!$C$6,$D$44:$O$44)</f>
        <v/>
      </c>
      <c r="K17" s="50">
        <f>SUMIF($D$29:$O$29,"&lt;="&amp;'C1 GEG Setting'!$C$6,$D$65:$O$65)</f>
        <v/>
      </c>
      <c r="L17" s="107">
        <f>IFERROR(J17-K17,0)</f>
        <v/>
      </c>
      <c r="M17" s="54">
        <f>IFERROR(L17/ABS(K17),"")</f>
        <v/>
      </c>
      <c r="N17" s="108" t="n"/>
    </row>
    <row r="18">
      <c r="A18" s="10" t="inlineStr">
        <is>
          <t xml:space="preserve">   Dividen &amp; pendanaan lain (neto)</t>
        </is>
      </c>
      <c r="B18" s="3" t="inlineStr">
        <is>
          <t>Rp juta</t>
        </is>
      </c>
      <c r="C18" s="28">
        <f>IFERROR(IF('C1 GEG Setting'!$C$6-1&lt;1,0,INDEX($D$45:$O$45,'C1 GEG Setting'!$C$6-1)),0)</f>
        <v/>
      </c>
      <c r="D18" s="28">
        <f>IFERROR(IF('C1 GEG Setting'!$C$6-0&lt;1,0,INDEX($D$45:$O$45,'C1 GEG Setting'!$C$6)),0)</f>
        <v/>
      </c>
      <c r="E18" s="19">
        <f>IFERROR(D18-C18,0)</f>
        <v/>
      </c>
      <c r="F18" s="24">
        <f>IFERROR(E18/ABS(C18),"")</f>
        <v/>
      </c>
      <c r="G18" s="28">
        <f>IFERROR(IF('C1 GEG Setting'!$C$6-0&lt;1,0,INDEX($D$66:$O$66,'C1 GEG Setting'!$C$6)),0)</f>
        <v/>
      </c>
      <c r="H18" s="19">
        <f>IFERROR(D18-G18,0)</f>
        <v/>
      </c>
      <c r="I18" s="24">
        <f>IFERROR(H18/ABS(G18),"")</f>
        <v/>
      </c>
      <c r="J18" s="28">
        <f>SUMIF($D$29:$O$29,"&lt;="&amp;'C1 GEG Setting'!$C$6,$D$45:$O$45)</f>
        <v/>
      </c>
      <c r="K18" s="28">
        <f>SUMIF($D$29:$O$29,"&lt;="&amp;'C1 GEG Setting'!$C$6,$D$66:$O$66)</f>
        <v/>
      </c>
      <c r="L18" s="19">
        <f>IFERROR(J18-K18,0)</f>
        <v/>
      </c>
      <c r="M18" s="24">
        <f>IFERROR(L18/ABS(K18),"")</f>
        <v/>
      </c>
      <c r="N18" s="76" t="n"/>
    </row>
    <row r="19">
      <c r="A19" s="10" t="inlineStr">
        <is>
          <t xml:space="preserve">   Kas awal</t>
        </is>
      </c>
      <c r="B19" s="3" t="inlineStr">
        <is>
          <t>Rp juta</t>
        </is>
      </c>
      <c r="C19" s="28">
        <f>IFERROR(IF('C1 GEG Setting'!$C$6-1&lt;1,0,INDEX($D$46:$O$46,'C1 GEG Setting'!$C$6-1)),0)</f>
        <v/>
      </c>
      <c r="D19" s="28">
        <f>IFERROR(IF('C1 GEG Setting'!$C$6-0&lt;1,0,INDEX($D$46:$O$46,'C1 GEG Setting'!$C$6)),0)</f>
        <v/>
      </c>
      <c r="E19" s="19">
        <f>IFERROR(D19-C19,0)</f>
        <v/>
      </c>
      <c r="F19" s="24">
        <f>IFERROR(E19/ABS(C19),"")</f>
        <v/>
      </c>
      <c r="G19" s="28">
        <f>IFERROR(IF('C1 GEG Setting'!$C$6-0&lt;1,0,INDEX($D$67:$O$67,'C1 GEG Setting'!$C$6)),0)</f>
        <v/>
      </c>
      <c r="H19" s="19">
        <f>IFERROR(D19-G19,0)</f>
        <v/>
      </c>
      <c r="I19" s="24">
        <f>IFERROR(H19/ABS(G19),"")</f>
        <v/>
      </c>
      <c r="J19" s="19">
        <f>$C$46</f>
        <v/>
      </c>
      <c r="K19" s="19">
        <f>$C$67</f>
        <v/>
      </c>
      <c r="L19" s="19">
        <f>IFERROR(J19-K19,0)</f>
        <v/>
      </c>
      <c r="M19" s="24">
        <f>IFERROR(L19/ABS(K19),"")</f>
        <v/>
      </c>
      <c r="N19" s="76" t="n"/>
    </row>
    <row r="20">
      <c r="A20" s="48" t="inlineStr">
        <is>
          <t>Kas akhir</t>
        </is>
      </c>
      <c r="B20" s="49" t="inlineStr">
        <is>
          <t>Rp juta</t>
        </is>
      </c>
      <c r="C20" s="50">
        <f>IFERROR(IF('C1 GEG Setting'!$C$6-1&lt;1,0,INDEX($D$47:$O$47,'C1 GEG Setting'!$C$6-1)),0)</f>
        <v/>
      </c>
      <c r="D20" s="50">
        <f>IFERROR(IF('C1 GEG Setting'!$C$6-0&lt;1,0,INDEX($D$47:$O$47,'C1 GEG Setting'!$C$6)),0)</f>
        <v/>
      </c>
      <c r="E20" s="107">
        <f>IFERROR(D20-C20,0)</f>
        <v/>
      </c>
      <c r="F20" s="54">
        <f>IFERROR(E20/ABS(C20),"")</f>
        <v/>
      </c>
      <c r="G20" s="50">
        <f>IFERROR(IF('C1 GEG Setting'!$C$6-0&lt;1,0,INDEX($D$68:$O$68,'C1 GEG Setting'!$C$6)),0)</f>
        <v/>
      </c>
      <c r="H20" s="107">
        <f>IFERROR(D20-G20,0)</f>
        <v/>
      </c>
      <c r="I20" s="54">
        <f>IFERROR(H20/ABS(G20),"")</f>
        <v/>
      </c>
      <c r="J20" s="50">
        <f>IFERROR(IF('C1 GEG Setting'!$C$6-0&lt;1,0,INDEX($D$47:$O$47,'C1 GEG Setting'!$C$6)),0)</f>
        <v/>
      </c>
      <c r="K20" s="50">
        <f>IFERROR(IF('C1 GEG Setting'!$C$6-0&lt;1,0,INDEX($D$68:$O$68,'C1 GEG Setting'!$C$6)),0)</f>
        <v/>
      </c>
      <c r="L20" s="107">
        <f>IFERROR(J20-K20,0)</f>
        <v/>
      </c>
      <c r="M20" s="54">
        <f>IFERROR(L20/ABS(K20),"")</f>
        <v/>
      </c>
      <c r="N20" s="108" t="n"/>
    </row>
    <row r="21">
      <c r="A21" s="10" t="inlineStr">
        <is>
          <t xml:space="preserve">   DSCR (kas bersih operasi ÷ debt service)</t>
        </is>
      </c>
      <c r="B21" s="3" t="inlineStr">
        <is>
          <t>x</t>
        </is>
      </c>
      <c r="C21" s="110">
        <f>IFERROR(C11/-C14,0)</f>
        <v/>
      </c>
      <c r="D21" s="110">
        <f>IFERROR(D11/-D14,0)</f>
        <v/>
      </c>
      <c r="E21" s="110">
        <f>IFERROR(D21-C21,0)</f>
        <v/>
      </c>
      <c r="G21" s="110">
        <f>IFERROR(G11/-G14,0)</f>
        <v/>
      </c>
      <c r="H21" s="110">
        <f>IFERROR(D21-G21,0)</f>
        <v/>
      </c>
      <c r="J21" s="110">
        <f>IFERROR(J11/-J14,0)</f>
        <v/>
      </c>
      <c r="K21" s="110">
        <f>IFERROR(K11/-K14,0)</f>
        <v/>
      </c>
      <c r="L21" s="110">
        <f>IFERROR(J21-K21,0)</f>
        <v/>
      </c>
      <c r="N21" s="76" t="n"/>
    </row>
    <row r="22"/>
    <row r="23">
      <c r="A23" s="3" t="inlineStr">
        <is>
          <t>Catatan: "Bulan lalu" untuk bulan Januari = 0. Tanda: penerimaan positif, pembayaran negatif. DSCR &lt; 1,2x = perlu perhatian.</t>
        </is>
      </c>
    </row>
    <row r="24"/>
    <row r="25"/>
    <row r="26"/>
    <row r="27"/>
    <row r="28"/>
    <row r="29">
      <c r="D29" s="80" t="n">
        <v>1</v>
      </c>
      <c r="E29" s="80" t="n">
        <v>2</v>
      </c>
      <c r="F29" s="80" t="n">
        <v>3</v>
      </c>
      <c r="G29" s="80" t="n">
        <v>4</v>
      </c>
      <c r="H29" s="80" t="n">
        <v>5</v>
      </c>
      <c r="I29" s="80" t="n">
        <v>6</v>
      </c>
      <c r="J29" s="80" t="n">
        <v>7</v>
      </c>
      <c r="K29" s="80" t="n">
        <v>8</v>
      </c>
      <c r="L29" s="80" t="n">
        <v>9</v>
      </c>
      <c r="M29" s="80" t="n">
        <v>10</v>
      </c>
      <c r="N29" s="80" t="n">
        <v>11</v>
      </c>
      <c r="O29" s="80" t="n">
        <v>12</v>
      </c>
    </row>
    <row r="30">
      <c r="A30" s="4" t="inlineStr">
        <is>
          <t>BLOK BULANAN – AKTUAL (otomatis, jangan diubah)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16" t="inlineStr">
        <is>
          <t>Uraian</t>
        </is>
      </c>
      <c r="B31" s="16" t="inlineStr"/>
      <c r="C31" s="16" t="inlineStr">
        <is>
          <t>Saldo</t>
        </is>
      </c>
      <c r="D31" s="16" t="inlineStr">
        <is>
          <t>Jan</t>
        </is>
      </c>
      <c r="E31" s="16" t="inlineStr">
        <is>
          <t>Feb</t>
        </is>
      </c>
      <c r="F31" s="16" t="inlineStr">
        <is>
          <t>Mar</t>
        </is>
      </c>
      <c r="G31" s="16" t="inlineStr">
        <is>
          <t>Apr</t>
        </is>
      </c>
      <c r="H31" s="16" t="inlineStr">
        <is>
          <t>Mei</t>
        </is>
      </c>
      <c r="I31" s="16" t="inlineStr">
        <is>
          <t>Jun</t>
        </is>
      </c>
      <c r="J31" s="16" t="inlineStr">
        <is>
          <t>Jul</t>
        </is>
      </c>
      <c r="K31" s="16" t="inlineStr">
        <is>
          <t>Agu</t>
        </is>
      </c>
      <c r="L31" s="16" t="inlineStr">
        <is>
          <t>Sep</t>
        </is>
      </c>
      <c r="M31" s="16" t="inlineStr">
        <is>
          <t>Okt</t>
        </is>
      </c>
      <c r="N31" s="16" t="inlineStr">
        <is>
          <t>Nov</t>
        </is>
      </c>
      <c r="O31" s="16" t="inlineStr">
        <is>
          <t>Des</t>
        </is>
      </c>
      <c r="P31" s="16" t="inlineStr">
        <is>
          <t>YTD</t>
        </is>
      </c>
    </row>
    <row r="32">
      <c r="A32" s="10" t="inlineStr">
        <is>
          <t xml:space="preserve">   Penerimaan dari pelanggan</t>
        </is>
      </c>
      <c r="D32" s="28">
        <f>IF('C6 GEG Neraca Aktual'!D$25=0,"",('C5 GEG LR Aktual'!D14+'C7 GEG Arus Kas'!D13))</f>
        <v/>
      </c>
      <c r="E32" s="28">
        <f>IF('C6 GEG Neraca Aktual'!E$25=0,"",('C5 GEG LR Aktual'!E14+'C7 GEG Arus Kas'!E13))</f>
        <v/>
      </c>
      <c r="F32" s="28">
        <f>IF('C6 GEG Neraca Aktual'!F$25=0,"",('C5 GEG LR Aktual'!F14+'C7 GEG Arus Kas'!F13))</f>
        <v/>
      </c>
      <c r="G32" s="28">
        <f>IF('C6 GEG Neraca Aktual'!G$25=0,"",('C5 GEG LR Aktual'!G14+'C7 GEG Arus Kas'!G13))</f>
        <v/>
      </c>
      <c r="H32" s="28">
        <f>IF('C6 GEG Neraca Aktual'!H$25=0,"",('C5 GEG LR Aktual'!H14+'C7 GEG Arus Kas'!H13))</f>
        <v/>
      </c>
      <c r="I32" s="28">
        <f>IF('C6 GEG Neraca Aktual'!I$25=0,"",('C5 GEG LR Aktual'!I14+'C7 GEG Arus Kas'!I13))</f>
        <v/>
      </c>
      <c r="J32" s="28">
        <f>IF('C6 GEG Neraca Aktual'!J$25=0,"",('C5 GEG LR Aktual'!J14+'C7 GEG Arus Kas'!J13))</f>
        <v/>
      </c>
      <c r="K32" s="28">
        <f>IF('C6 GEG Neraca Aktual'!K$25=0,"",('C5 GEG LR Aktual'!K14+'C7 GEG Arus Kas'!K13))</f>
        <v/>
      </c>
      <c r="L32" s="28">
        <f>IF('C6 GEG Neraca Aktual'!L$25=0,"",('C5 GEG LR Aktual'!L14+'C7 GEG Arus Kas'!L13))</f>
        <v/>
      </c>
      <c r="M32" s="28">
        <f>IF('C6 GEG Neraca Aktual'!M$25=0,"",('C5 GEG LR Aktual'!M14+'C7 GEG Arus Kas'!M13))</f>
        <v/>
      </c>
      <c r="N32" s="28">
        <f>IF('C6 GEG Neraca Aktual'!N$25=0,"",('C5 GEG LR Aktual'!N14+'C7 GEG Arus Kas'!N13))</f>
        <v/>
      </c>
      <c r="O32" s="28">
        <f>IF('C6 GEG Neraca Aktual'!O$25=0,"",('C5 GEG LR Aktual'!O14+'C7 GEG Arus Kas'!O13))</f>
        <v/>
      </c>
      <c r="P32" s="28">
        <f>SUMIF($D$29:$O$29,"&lt;="&amp;'C1 GEG Setting'!$C$6,D32:O32)</f>
        <v/>
      </c>
    </row>
    <row r="33">
      <c r="A33" s="10" t="inlineStr">
        <is>
          <t xml:space="preserve">   Pembayaran ke kontraktor, pemasok &amp; karyawan</t>
        </is>
      </c>
      <c r="D33" s="28">
        <f>IF('C6 GEG Neraca Aktual'!D$25=0,"",(('C7 GEG Arus Kas'!D23-'C5 GEG LR Aktual'!D77)-(-'C5 GEG LR Aktual'!D82+'C7 GEG Arus Kas'!D22+'C7 GEG Arus Kas'!D18+'C7 GEG Arus Kas'!D12)-'C5 GEG LR Aktual'!D76-('C5 GEG LR Aktual'!D14+'C7 GEG Arus Kas'!D13)-(-'C5 GEG LR Aktual'!D33+'C7 GEG Arus Kas'!D20)))</f>
        <v/>
      </c>
      <c r="E33" s="28">
        <f>IF('C6 GEG Neraca Aktual'!E$25=0,"",(('C7 GEG Arus Kas'!E23-'C5 GEG LR Aktual'!E77)-(-'C5 GEG LR Aktual'!E82+'C7 GEG Arus Kas'!E22+'C7 GEG Arus Kas'!E18+'C7 GEG Arus Kas'!E12)-'C5 GEG LR Aktual'!E76-('C5 GEG LR Aktual'!E14+'C7 GEG Arus Kas'!E13)-(-'C5 GEG LR Aktual'!E33+'C7 GEG Arus Kas'!E20)))</f>
        <v/>
      </c>
      <c r="F33" s="28">
        <f>IF('C6 GEG Neraca Aktual'!F$25=0,"",(('C7 GEG Arus Kas'!F23-'C5 GEG LR Aktual'!F77)-(-'C5 GEG LR Aktual'!F82+'C7 GEG Arus Kas'!F22+'C7 GEG Arus Kas'!F18+'C7 GEG Arus Kas'!F12)-'C5 GEG LR Aktual'!F76-('C5 GEG LR Aktual'!F14+'C7 GEG Arus Kas'!F13)-(-'C5 GEG LR Aktual'!F33+'C7 GEG Arus Kas'!F20)))</f>
        <v/>
      </c>
      <c r="G33" s="28">
        <f>IF('C6 GEG Neraca Aktual'!G$25=0,"",(('C7 GEG Arus Kas'!G23-'C5 GEG LR Aktual'!G77)-(-'C5 GEG LR Aktual'!G82+'C7 GEG Arus Kas'!G22+'C7 GEG Arus Kas'!G18+'C7 GEG Arus Kas'!G12)-'C5 GEG LR Aktual'!G76-('C5 GEG LR Aktual'!G14+'C7 GEG Arus Kas'!G13)-(-'C5 GEG LR Aktual'!G33+'C7 GEG Arus Kas'!G20)))</f>
        <v/>
      </c>
      <c r="H33" s="28">
        <f>IF('C6 GEG Neraca Aktual'!H$25=0,"",(('C7 GEG Arus Kas'!H23-'C5 GEG LR Aktual'!H77)-(-'C5 GEG LR Aktual'!H82+'C7 GEG Arus Kas'!H22+'C7 GEG Arus Kas'!H18+'C7 GEG Arus Kas'!H12)-'C5 GEG LR Aktual'!H76-('C5 GEG LR Aktual'!H14+'C7 GEG Arus Kas'!H13)-(-'C5 GEG LR Aktual'!H33+'C7 GEG Arus Kas'!H20)))</f>
        <v/>
      </c>
      <c r="I33" s="28">
        <f>IF('C6 GEG Neraca Aktual'!I$25=0,"",(('C7 GEG Arus Kas'!I23-'C5 GEG LR Aktual'!I77)-(-'C5 GEG LR Aktual'!I82+'C7 GEG Arus Kas'!I22+'C7 GEG Arus Kas'!I18+'C7 GEG Arus Kas'!I12)-'C5 GEG LR Aktual'!I76-('C5 GEG LR Aktual'!I14+'C7 GEG Arus Kas'!I13)-(-'C5 GEG LR Aktual'!I33+'C7 GEG Arus Kas'!I20)))</f>
        <v/>
      </c>
      <c r="J33" s="28">
        <f>IF('C6 GEG Neraca Aktual'!J$25=0,"",(('C7 GEG Arus Kas'!J23-'C5 GEG LR Aktual'!J77)-(-'C5 GEG LR Aktual'!J82+'C7 GEG Arus Kas'!J22+'C7 GEG Arus Kas'!J18+'C7 GEG Arus Kas'!J12)-'C5 GEG LR Aktual'!J76-('C5 GEG LR Aktual'!J14+'C7 GEG Arus Kas'!J13)-(-'C5 GEG LR Aktual'!J33+'C7 GEG Arus Kas'!J20)))</f>
        <v/>
      </c>
      <c r="K33" s="28">
        <f>IF('C6 GEG Neraca Aktual'!K$25=0,"",(('C7 GEG Arus Kas'!K23-'C5 GEG LR Aktual'!K77)-(-'C5 GEG LR Aktual'!K82+'C7 GEG Arus Kas'!K22+'C7 GEG Arus Kas'!K18+'C7 GEG Arus Kas'!K12)-'C5 GEG LR Aktual'!K76-('C5 GEG LR Aktual'!K14+'C7 GEG Arus Kas'!K13)-(-'C5 GEG LR Aktual'!K33+'C7 GEG Arus Kas'!K20)))</f>
        <v/>
      </c>
      <c r="L33" s="28">
        <f>IF('C6 GEG Neraca Aktual'!L$25=0,"",(('C7 GEG Arus Kas'!L23-'C5 GEG LR Aktual'!L77)-(-'C5 GEG LR Aktual'!L82+'C7 GEG Arus Kas'!L22+'C7 GEG Arus Kas'!L18+'C7 GEG Arus Kas'!L12)-'C5 GEG LR Aktual'!L76-('C5 GEG LR Aktual'!L14+'C7 GEG Arus Kas'!L13)-(-'C5 GEG LR Aktual'!L33+'C7 GEG Arus Kas'!L20)))</f>
        <v/>
      </c>
      <c r="M33" s="28">
        <f>IF('C6 GEG Neraca Aktual'!M$25=0,"",(('C7 GEG Arus Kas'!M23-'C5 GEG LR Aktual'!M77)-(-'C5 GEG LR Aktual'!M82+'C7 GEG Arus Kas'!M22+'C7 GEG Arus Kas'!M18+'C7 GEG Arus Kas'!M12)-'C5 GEG LR Aktual'!M76-('C5 GEG LR Aktual'!M14+'C7 GEG Arus Kas'!M13)-(-'C5 GEG LR Aktual'!M33+'C7 GEG Arus Kas'!M20)))</f>
        <v/>
      </c>
      <c r="N33" s="28">
        <f>IF('C6 GEG Neraca Aktual'!N$25=0,"",(('C7 GEG Arus Kas'!N23-'C5 GEG LR Aktual'!N77)-(-'C5 GEG LR Aktual'!N82+'C7 GEG Arus Kas'!N22+'C7 GEG Arus Kas'!N18+'C7 GEG Arus Kas'!N12)-'C5 GEG LR Aktual'!N76-('C5 GEG LR Aktual'!N14+'C7 GEG Arus Kas'!N13)-(-'C5 GEG LR Aktual'!N33+'C7 GEG Arus Kas'!N20)))</f>
        <v/>
      </c>
      <c r="O33" s="28">
        <f>IF('C6 GEG Neraca Aktual'!O$25=0,"",(('C7 GEG Arus Kas'!O23-'C5 GEG LR Aktual'!O77)-(-'C5 GEG LR Aktual'!O82+'C7 GEG Arus Kas'!O22+'C7 GEG Arus Kas'!O18+'C7 GEG Arus Kas'!O12)-'C5 GEG LR Aktual'!O76-('C5 GEG LR Aktual'!O14+'C7 GEG Arus Kas'!O13)-(-'C5 GEG LR Aktual'!O33+'C7 GEG Arus Kas'!O20)))</f>
        <v/>
      </c>
      <c r="P33" s="28">
        <f>SUMIF($D$29:$O$29,"&lt;="&amp;'C1 GEG Setting'!$C$6,D33:O33)</f>
        <v/>
      </c>
    </row>
    <row r="34">
      <c r="A34" s="10" t="inlineStr">
        <is>
          <t xml:space="preserve">   Pembayaran royalti / PNBP</t>
        </is>
      </c>
      <c r="D34" s="28">
        <f>IF('C6 GEG Neraca Aktual'!D$25=0,"",(-'C5 GEG LR Aktual'!D33+'C7 GEG Arus Kas'!D20))</f>
        <v/>
      </c>
      <c r="E34" s="28">
        <f>IF('C6 GEG Neraca Aktual'!E$25=0,"",(-'C5 GEG LR Aktual'!E33+'C7 GEG Arus Kas'!E20))</f>
        <v/>
      </c>
      <c r="F34" s="28">
        <f>IF('C6 GEG Neraca Aktual'!F$25=0,"",(-'C5 GEG LR Aktual'!F33+'C7 GEG Arus Kas'!F20))</f>
        <v/>
      </c>
      <c r="G34" s="28">
        <f>IF('C6 GEG Neraca Aktual'!G$25=0,"",(-'C5 GEG LR Aktual'!G33+'C7 GEG Arus Kas'!G20))</f>
        <v/>
      </c>
      <c r="H34" s="28">
        <f>IF('C6 GEG Neraca Aktual'!H$25=0,"",(-'C5 GEG LR Aktual'!H33+'C7 GEG Arus Kas'!H20))</f>
        <v/>
      </c>
      <c r="I34" s="28">
        <f>IF('C6 GEG Neraca Aktual'!I$25=0,"",(-'C5 GEG LR Aktual'!I33+'C7 GEG Arus Kas'!I20))</f>
        <v/>
      </c>
      <c r="J34" s="28">
        <f>IF('C6 GEG Neraca Aktual'!J$25=0,"",(-'C5 GEG LR Aktual'!J33+'C7 GEG Arus Kas'!J20))</f>
        <v/>
      </c>
      <c r="K34" s="28">
        <f>IF('C6 GEG Neraca Aktual'!K$25=0,"",(-'C5 GEG LR Aktual'!K33+'C7 GEG Arus Kas'!K20))</f>
        <v/>
      </c>
      <c r="L34" s="28">
        <f>IF('C6 GEG Neraca Aktual'!L$25=0,"",(-'C5 GEG LR Aktual'!L33+'C7 GEG Arus Kas'!L20))</f>
        <v/>
      </c>
      <c r="M34" s="28">
        <f>IF('C6 GEG Neraca Aktual'!M$25=0,"",(-'C5 GEG LR Aktual'!M33+'C7 GEG Arus Kas'!M20))</f>
        <v/>
      </c>
      <c r="N34" s="28">
        <f>IF('C6 GEG Neraca Aktual'!N$25=0,"",(-'C5 GEG LR Aktual'!N33+'C7 GEG Arus Kas'!N20))</f>
        <v/>
      </c>
      <c r="O34" s="28">
        <f>IF('C6 GEG Neraca Aktual'!O$25=0,"",(-'C5 GEG LR Aktual'!O33+'C7 GEG Arus Kas'!O20))</f>
        <v/>
      </c>
      <c r="P34" s="28">
        <f>SUMIF($D$29:$O$29,"&lt;="&amp;'C1 GEG Setting'!$C$6,D34:O34)</f>
        <v/>
      </c>
    </row>
    <row r="35">
      <c r="A35" s="48" t="inlineStr">
        <is>
          <t>Kas operasi sebelum pajak &amp; bunga</t>
        </is>
      </c>
      <c r="B35" s="72" t="n"/>
      <c r="C35" s="72" t="n"/>
      <c r="D35" s="58">
        <f>IF(D32="","",SUM(D32:D34))</f>
        <v/>
      </c>
      <c r="E35" s="58">
        <f>IF(E32="","",SUM(E32:E34))</f>
        <v/>
      </c>
      <c r="F35" s="58">
        <f>IF(F32="","",SUM(F32:F34))</f>
        <v/>
      </c>
      <c r="G35" s="58">
        <f>IF(G32="","",SUM(G32:G34))</f>
        <v/>
      </c>
      <c r="H35" s="58">
        <f>IF(H32="","",SUM(H32:H34))</f>
        <v/>
      </c>
      <c r="I35" s="58">
        <f>IF(I32="","",SUM(I32:I34))</f>
        <v/>
      </c>
      <c r="J35" s="58">
        <f>IF(J32="","",SUM(J32:J34))</f>
        <v/>
      </c>
      <c r="K35" s="58">
        <f>IF(K32="","",SUM(K32:K34))</f>
        <v/>
      </c>
      <c r="L35" s="58">
        <f>IF(L32="","",SUM(L32:L34))</f>
        <v/>
      </c>
      <c r="M35" s="58">
        <f>IF(M32="","",SUM(M32:M34))</f>
        <v/>
      </c>
      <c r="N35" s="58">
        <f>IF(N32="","",SUM(N32:N34))</f>
        <v/>
      </c>
      <c r="O35" s="58">
        <f>IF(O32="","",SUM(O32:O34))</f>
        <v/>
      </c>
      <c r="P35" s="50">
        <f>SUMIF($D$29:$O$29,"&lt;="&amp;'C1 GEG Setting'!$C$6,D35:O35)</f>
        <v/>
      </c>
    </row>
    <row r="36">
      <c r="A36" s="10" t="inlineStr">
        <is>
          <t xml:space="preserve">   Pembayaran pajak penghasilan</t>
        </is>
      </c>
      <c r="D36" s="28">
        <f>IF('C6 GEG Neraca Aktual'!D$25=0,"",(-'C5 GEG LR Aktual'!D82+'C7 GEG Arus Kas'!D22+'C7 GEG Arus Kas'!D18+'C7 GEG Arus Kas'!D12))</f>
        <v/>
      </c>
      <c r="E36" s="28">
        <f>IF('C6 GEG Neraca Aktual'!E$25=0,"",(-'C5 GEG LR Aktual'!E82+'C7 GEG Arus Kas'!E22+'C7 GEG Arus Kas'!E18+'C7 GEG Arus Kas'!E12))</f>
        <v/>
      </c>
      <c r="F36" s="28">
        <f>IF('C6 GEG Neraca Aktual'!F$25=0,"",(-'C5 GEG LR Aktual'!F82+'C7 GEG Arus Kas'!F22+'C7 GEG Arus Kas'!F18+'C7 GEG Arus Kas'!F12))</f>
        <v/>
      </c>
      <c r="G36" s="28">
        <f>IF('C6 GEG Neraca Aktual'!G$25=0,"",(-'C5 GEG LR Aktual'!G82+'C7 GEG Arus Kas'!G22+'C7 GEG Arus Kas'!G18+'C7 GEG Arus Kas'!G12))</f>
        <v/>
      </c>
      <c r="H36" s="28">
        <f>IF('C6 GEG Neraca Aktual'!H$25=0,"",(-'C5 GEG LR Aktual'!H82+'C7 GEG Arus Kas'!H22+'C7 GEG Arus Kas'!H18+'C7 GEG Arus Kas'!H12))</f>
        <v/>
      </c>
      <c r="I36" s="28">
        <f>IF('C6 GEG Neraca Aktual'!I$25=0,"",(-'C5 GEG LR Aktual'!I82+'C7 GEG Arus Kas'!I22+'C7 GEG Arus Kas'!I18+'C7 GEG Arus Kas'!I12))</f>
        <v/>
      </c>
      <c r="J36" s="28">
        <f>IF('C6 GEG Neraca Aktual'!J$25=0,"",(-'C5 GEG LR Aktual'!J82+'C7 GEG Arus Kas'!J22+'C7 GEG Arus Kas'!J18+'C7 GEG Arus Kas'!J12))</f>
        <v/>
      </c>
      <c r="K36" s="28">
        <f>IF('C6 GEG Neraca Aktual'!K$25=0,"",(-'C5 GEG LR Aktual'!K82+'C7 GEG Arus Kas'!K22+'C7 GEG Arus Kas'!K18+'C7 GEG Arus Kas'!K12))</f>
        <v/>
      </c>
      <c r="L36" s="28">
        <f>IF('C6 GEG Neraca Aktual'!L$25=0,"",(-'C5 GEG LR Aktual'!L82+'C7 GEG Arus Kas'!L22+'C7 GEG Arus Kas'!L18+'C7 GEG Arus Kas'!L12))</f>
        <v/>
      </c>
      <c r="M36" s="28">
        <f>IF('C6 GEG Neraca Aktual'!M$25=0,"",(-'C5 GEG LR Aktual'!M82+'C7 GEG Arus Kas'!M22+'C7 GEG Arus Kas'!M18+'C7 GEG Arus Kas'!M12))</f>
        <v/>
      </c>
      <c r="N36" s="28">
        <f>IF('C6 GEG Neraca Aktual'!N$25=0,"",(-'C5 GEG LR Aktual'!N82+'C7 GEG Arus Kas'!N22+'C7 GEG Arus Kas'!N18+'C7 GEG Arus Kas'!N12))</f>
        <v/>
      </c>
      <c r="O36" s="28">
        <f>IF('C6 GEG Neraca Aktual'!O$25=0,"",(-'C5 GEG LR Aktual'!O82+'C7 GEG Arus Kas'!O22+'C7 GEG Arus Kas'!O18+'C7 GEG Arus Kas'!O12))</f>
        <v/>
      </c>
      <c r="P36" s="28">
        <f>SUMIF($D$29:$O$29,"&lt;="&amp;'C1 GEG Setting'!$C$6,D36:O36)</f>
        <v/>
      </c>
    </row>
    <row r="37">
      <c r="A37" s="10" t="inlineStr">
        <is>
          <t xml:space="preserve">   Penerimaan bunga</t>
        </is>
      </c>
      <c r="D37" s="28">
        <f>IF('C6 GEG Neraca Aktual'!D$25=0,"",'C5 GEG LR Aktual'!D76)</f>
        <v/>
      </c>
      <c r="E37" s="28">
        <f>IF('C6 GEG Neraca Aktual'!E$25=0,"",'C5 GEG LR Aktual'!E76)</f>
        <v/>
      </c>
      <c r="F37" s="28">
        <f>IF('C6 GEG Neraca Aktual'!F$25=0,"",'C5 GEG LR Aktual'!F76)</f>
        <v/>
      </c>
      <c r="G37" s="28">
        <f>IF('C6 GEG Neraca Aktual'!G$25=0,"",'C5 GEG LR Aktual'!G76)</f>
        <v/>
      </c>
      <c r="H37" s="28">
        <f>IF('C6 GEG Neraca Aktual'!H$25=0,"",'C5 GEG LR Aktual'!H76)</f>
        <v/>
      </c>
      <c r="I37" s="28">
        <f>IF('C6 GEG Neraca Aktual'!I$25=0,"",'C5 GEG LR Aktual'!I76)</f>
        <v/>
      </c>
      <c r="J37" s="28">
        <f>IF('C6 GEG Neraca Aktual'!J$25=0,"",'C5 GEG LR Aktual'!J76)</f>
        <v/>
      </c>
      <c r="K37" s="28">
        <f>IF('C6 GEG Neraca Aktual'!K$25=0,"",'C5 GEG LR Aktual'!K76)</f>
        <v/>
      </c>
      <c r="L37" s="28">
        <f>IF('C6 GEG Neraca Aktual'!L$25=0,"",'C5 GEG LR Aktual'!L76)</f>
        <v/>
      </c>
      <c r="M37" s="28">
        <f>IF('C6 GEG Neraca Aktual'!M$25=0,"",'C5 GEG LR Aktual'!M76)</f>
        <v/>
      </c>
      <c r="N37" s="28">
        <f>IF('C6 GEG Neraca Aktual'!N$25=0,"",'C5 GEG LR Aktual'!N76)</f>
        <v/>
      </c>
      <c r="O37" s="28">
        <f>IF('C6 GEG Neraca Aktual'!O$25=0,"",'C5 GEG LR Aktual'!O76)</f>
        <v/>
      </c>
      <c r="P37" s="28">
        <f>SUMIF($D$29:$O$29,"&lt;="&amp;'C1 GEG Setting'!$C$6,D37:O37)</f>
        <v/>
      </c>
    </row>
    <row r="38">
      <c r="A38" s="48" t="inlineStr">
        <is>
          <t>Kas bersih dari operasi</t>
        </is>
      </c>
      <c r="B38" s="72" t="n"/>
      <c r="C38" s="72" t="n"/>
      <c r="D38" s="58">
        <f>IF(D35="","",D35+D36+D37)</f>
        <v/>
      </c>
      <c r="E38" s="58">
        <f>IF(E35="","",E35+E36+E37)</f>
        <v/>
      </c>
      <c r="F38" s="58">
        <f>IF(F35="","",F35+F36+F37)</f>
        <v/>
      </c>
      <c r="G38" s="58">
        <f>IF(G35="","",G35+G36+G37)</f>
        <v/>
      </c>
      <c r="H38" s="58">
        <f>IF(H35="","",H35+H36+H37)</f>
        <v/>
      </c>
      <c r="I38" s="58">
        <f>IF(I35="","",I35+I36+I37)</f>
        <v/>
      </c>
      <c r="J38" s="58">
        <f>IF(J35="","",J35+J36+J37)</f>
        <v/>
      </c>
      <c r="K38" s="58">
        <f>IF(K35="","",K35+K36+K37)</f>
        <v/>
      </c>
      <c r="L38" s="58">
        <f>IF(L35="","",L35+L36+L37)</f>
        <v/>
      </c>
      <c r="M38" s="58">
        <f>IF(M35="","",M35+M36+M37)</f>
        <v/>
      </c>
      <c r="N38" s="58">
        <f>IF(N35="","",N35+N36+N37)</f>
        <v/>
      </c>
      <c r="O38" s="58">
        <f>IF(O35="","",O35+O36+O37)</f>
        <v/>
      </c>
      <c r="P38" s="50">
        <f>SUMIF($D$29:$O$29,"&lt;="&amp;'C1 GEG Setting'!$C$6,D38:O38)</f>
        <v/>
      </c>
    </row>
    <row r="39">
      <c r="A39" s="10" t="inlineStr">
        <is>
          <t xml:space="preserve">   Pembayaran bunga</t>
        </is>
      </c>
      <c r="D39" s="28">
        <f>IF('C6 GEG Neraca Aktual'!D$25=0,"",'C5 GEG LR Aktual'!D77)</f>
        <v/>
      </c>
      <c r="E39" s="28">
        <f>IF('C6 GEG Neraca Aktual'!E$25=0,"",'C5 GEG LR Aktual'!E77)</f>
        <v/>
      </c>
      <c r="F39" s="28">
        <f>IF('C6 GEG Neraca Aktual'!F$25=0,"",'C5 GEG LR Aktual'!F77)</f>
        <v/>
      </c>
      <c r="G39" s="28">
        <f>IF('C6 GEG Neraca Aktual'!G$25=0,"",'C5 GEG LR Aktual'!G77)</f>
        <v/>
      </c>
      <c r="H39" s="28">
        <f>IF('C6 GEG Neraca Aktual'!H$25=0,"",'C5 GEG LR Aktual'!H77)</f>
        <v/>
      </c>
      <c r="I39" s="28">
        <f>IF('C6 GEG Neraca Aktual'!I$25=0,"",'C5 GEG LR Aktual'!I77)</f>
        <v/>
      </c>
      <c r="J39" s="28">
        <f>IF('C6 GEG Neraca Aktual'!J$25=0,"",'C5 GEG LR Aktual'!J77)</f>
        <v/>
      </c>
      <c r="K39" s="28">
        <f>IF('C6 GEG Neraca Aktual'!K$25=0,"",'C5 GEG LR Aktual'!K77)</f>
        <v/>
      </c>
      <c r="L39" s="28">
        <f>IF('C6 GEG Neraca Aktual'!L$25=0,"",'C5 GEG LR Aktual'!L77)</f>
        <v/>
      </c>
      <c r="M39" s="28">
        <f>IF('C6 GEG Neraca Aktual'!M$25=0,"",'C5 GEG LR Aktual'!M77)</f>
        <v/>
      </c>
      <c r="N39" s="28">
        <f>IF('C6 GEG Neraca Aktual'!N$25=0,"",'C5 GEG LR Aktual'!N77)</f>
        <v/>
      </c>
      <c r="O39" s="28">
        <f>IF('C6 GEG Neraca Aktual'!O$25=0,"",'C5 GEG LR Aktual'!O77)</f>
        <v/>
      </c>
      <c r="P39" s="28">
        <f>SUMIF($D$29:$O$29,"&lt;="&amp;'C1 GEG Setting'!$C$6,D39:O39)</f>
        <v/>
      </c>
    </row>
    <row r="40">
      <c r="A40" s="10" t="inlineStr">
        <is>
          <t xml:space="preserve">   Pembayaran pokok pinjaman (neto)</t>
        </is>
      </c>
      <c r="D40" s="28">
        <f>IF('C6 GEG Neraca Aktual'!D$25=0,"",('C7 GEG Arus Kas'!D34+'C7 GEG Arus Kas'!D33))</f>
        <v/>
      </c>
      <c r="E40" s="28">
        <f>IF('C6 GEG Neraca Aktual'!E$25=0,"",('C7 GEG Arus Kas'!E34+'C7 GEG Arus Kas'!E33))</f>
        <v/>
      </c>
      <c r="F40" s="28">
        <f>IF('C6 GEG Neraca Aktual'!F$25=0,"",('C7 GEG Arus Kas'!F34+'C7 GEG Arus Kas'!F33))</f>
        <v/>
      </c>
      <c r="G40" s="28">
        <f>IF('C6 GEG Neraca Aktual'!G$25=0,"",('C7 GEG Arus Kas'!G34+'C7 GEG Arus Kas'!G33))</f>
        <v/>
      </c>
      <c r="H40" s="28">
        <f>IF('C6 GEG Neraca Aktual'!H$25=0,"",('C7 GEG Arus Kas'!H34+'C7 GEG Arus Kas'!H33))</f>
        <v/>
      </c>
      <c r="I40" s="28">
        <f>IF('C6 GEG Neraca Aktual'!I$25=0,"",('C7 GEG Arus Kas'!I34+'C7 GEG Arus Kas'!I33))</f>
        <v/>
      </c>
      <c r="J40" s="28">
        <f>IF('C6 GEG Neraca Aktual'!J$25=0,"",('C7 GEG Arus Kas'!J34+'C7 GEG Arus Kas'!J33))</f>
        <v/>
      </c>
      <c r="K40" s="28">
        <f>IF('C6 GEG Neraca Aktual'!K$25=0,"",('C7 GEG Arus Kas'!K34+'C7 GEG Arus Kas'!K33))</f>
        <v/>
      </c>
      <c r="L40" s="28">
        <f>IF('C6 GEG Neraca Aktual'!L$25=0,"",('C7 GEG Arus Kas'!L34+'C7 GEG Arus Kas'!L33))</f>
        <v/>
      </c>
      <c r="M40" s="28">
        <f>IF('C6 GEG Neraca Aktual'!M$25=0,"",('C7 GEG Arus Kas'!M34+'C7 GEG Arus Kas'!M33))</f>
        <v/>
      </c>
      <c r="N40" s="28">
        <f>IF('C6 GEG Neraca Aktual'!N$25=0,"",('C7 GEG Arus Kas'!N34+'C7 GEG Arus Kas'!N33))</f>
        <v/>
      </c>
      <c r="O40" s="28">
        <f>IF('C6 GEG Neraca Aktual'!O$25=0,"",('C7 GEG Arus Kas'!O34+'C7 GEG Arus Kas'!O33))</f>
        <v/>
      </c>
      <c r="P40" s="28">
        <f>SUMIF($D$29:$O$29,"&lt;="&amp;'C1 GEG Setting'!$C$6,D40:O40)</f>
        <v/>
      </c>
    </row>
    <row r="41">
      <c r="A41" s="48" t="inlineStr">
        <is>
          <t>Debt service</t>
        </is>
      </c>
      <c r="B41" s="72" t="n"/>
      <c r="C41" s="72" t="n"/>
      <c r="D41" s="58">
        <f>IF(D39="","",D39+D40)</f>
        <v/>
      </c>
      <c r="E41" s="58">
        <f>IF(E39="","",E39+E40)</f>
        <v/>
      </c>
      <c r="F41" s="58">
        <f>IF(F39="","",F39+F40)</f>
        <v/>
      </c>
      <c r="G41" s="58">
        <f>IF(G39="","",G39+G40)</f>
        <v/>
      </c>
      <c r="H41" s="58">
        <f>IF(H39="","",H39+H40)</f>
        <v/>
      </c>
      <c r="I41" s="58">
        <f>IF(I39="","",I39+I40)</f>
        <v/>
      </c>
      <c r="J41" s="58">
        <f>IF(J39="","",J39+J40)</f>
        <v/>
      </c>
      <c r="K41" s="58">
        <f>IF(K39="","",K39+K40)</f>
        <v/>
      </c>
      <c r="L41" s="58">
        <f>IF(L39="","",L39+L40)</f>
        <v/>
      </c>
      <c r="M41" s="58">
        <f>IF(M39="","",M39+M40)</f>
        <v/>
      </c>
      <c r="N41" s="58">
        <f>IF(N39="","",N39+N40)</f>
        <v/>
      </c>
      <c r="O41" s="58">
        <f>IF(O39="","",O39+O40)</f>
        <v/>
      </c>
      <c r="P41" s="50">
        <f>SUMIF($D$29:$O$29,"&lt;="&amp;'C1 GEG Setting'!$C$6,D41:O41)</f>
        <v/>
      </c>
    </row>
    <row r="42">
      <c r="A42" s="48" t="inlineStr">
        <is>
          <t>Kas tersedia setelah debt service (CADS)</t>
        </is>
      </c>
      <c r="B42" s="72" t="n"/>
      <c r="C42" s="72" t="n"/>
      <c r="D42" s="58">
        <f>IF(D38="","",D38+D41)</f>
        <v/>
      </c>
      <c r="E42" s="58">
        <f>IF(E38="","",E38+E41)</f>
        <v/>
      </c>
      <c r="F42" s="58">
        <f>IF(F38="","",F38+F41)</f>
        <v/>
      </c>
      <c r="G42" s="58">
        <f>IF(G38="","",G38+G41)</f>
        <v/>
      </c>
      <c r="H42" s="58">
        <f>IF(H38="","",H38+H41)</f>
        <v/>
      </c>
      <c r="I42" s="58">
        <f>IF(I38="","",I38+I41)</f>
        <v/>
      </c>
      <c r="J42" s="58">
        <f>IF(J38="","",J38+J41)</f>
        <v/>
      </c>
      <c r="K42" s="58">
        <f>IF(K38="","",K38+K41)</f>
        <v/>
      </c>
      <c r="L42" s="58">
        <f>IF(L38="","",L38+L41)</f>
        <v/>
      </c>
      <c r="M42" s="58">
        <f>IF(M38="","",M38+M41)</f>
        <v/>
      </c>
      <c r="N42" s="58">
        <f>IF(N38="","",N38+N41)</f>
        <v/>
      </c>
      <c r="O42" s="58">
        <f>IF(O38="","",O38+O41)</f>
        <v/>
      </c>
      <c r="P42" s="50">
        <f>SUMIF($D$29:$O$29,"&lt;="&amp;'C1 GEG Setting'!$C$6,D42:O42)</f>
        <v/>
      </c>
    </row>
    <row r="43">
      <c r="A43" s="10" t="inlineStr">
        <is>
          <t xml:space="preserve">   Capex &amp; investasi</t>
        </is>
      </c>
      <c r="D43" s="28">
        <f>IF('C6 GEG Neraca Aktual'!D$25=0,"",'C7 GEG Arus Kas'!D31)</f>
        <v/>
      </c>
      <c r="E43" s="28">
        <f>IF('C6 GEG Neraca Aktual'!E$25=0,"",'C7 GEG Arus Kas'!E31)</f>
        <v/>
      </c>
      <c r="F43" s="28">
        <f>IF('C6 GEG Neraca Aktual'!F$25=0,"",'C7 GEG Arus Kas'!F31)</f>
        <v/>
      </c>
      <c r="G43" s="28">
        <f>IF('C6 GEG Neraca Aktual'!G$25=0,"",'C7 GEG Arus Kas'!G31)</f>
        <v/>
      </c>
      <c r="H43" s="28">
        <f>IF('C6 GEG Neraca Aktual'!H$25=0,"",'C7 GEG Arus Kas'!H31)</f>
        <v/>
      </c>
      <c r="I43" s="28">
        <f>IF('C6 GEG Neraca Aktual'!I$25=0,"",'C7 GEG Arus Kas'!I31)</f>
        <v/>
      </c>
      <c r="J43" s="28">
        <f>IF('C6 GEG Neraca Aktual'!J$25=0,"",'C7 GEG Arus Kas'!J31)</f>
        <v/>
      </c>
      <c r="K43" s="28">
        <f>IF('C6 GEG Neraca Aktual'!K$25=0,"",'C7 GEG Arus Kas'!K31)</f>
        <v/>
      </c>
      <c r="L43" s="28">
        <f>IF('C6 GEG Neraca Aktual'!L$25=0,"",'C7 GEG Arus Kas'!L31)</f>
        <v/>
      </c>
      <c r="M43" s="28">
        <f>IF('C6 GEG Neraca Aktual'!M$25=0,"",'C7 GEG Arus Kas'!M31)</f>
        <v/>
      </c>
      <c r="N43" s="28">
        <f>IF('C6 GEG Neraca Aktual'!N$25=0,"",'C7 GEG Arus Kas'!N31)</f>
        <v/>
      </c>
      <c r="O43" s="28">
        <f>IF('C6 GEG Neraca Aktual'!O$25=0,"",'C7 GEG Arus Kas'!O31)</f>
        <v/>
      </c>
      <c r="P43" s="28">
        <f>SUMIF($D$29:$O$29,"&lt;="&amp;'C1 GEG Setting'!$C$6,D43:O43)</f>
        <v/>
      </c>
    </row>
    <row r="44">
      <c r="A44" s="48" t="inlineStr">
        <is>
          <t>Kas bersih setelah capex</t>
        </is>
      </c>
      <c r="B44" s="72" t="n"/>
      <c r="C44" s="72" t="n"/>
      <c r="D44" s="58">
        <f>IF(D42="","",D42+D43)</f>
        <v/>
      </c>
      <c r="E44" s="58">
        <f>IF(E42="","",E42+E43)</f>
        <v/>
      </c>
      <c r="F44" s="58">
        <f>IF(F42="","",F42+F43)</f>
        <v/>
      </c>
      <c r="G44" s="58">
        <f>IF(G42="","",G42+G43)</f>
        <v/>
      </c>
      <c r="H44" s="58">
        <f>IF(H42="","",H42+H43)</f>
        <v/>
      </c>
      <c r="I44" s="58">
        <f>IF(I42="","",I42+I43)</f>
        <v/>
      </c>
      <c r="J44" s="58">
        <f>IF(J42="","",J42+J43)</f>
        <v/>
      </c>
      <c r="K44" s="58">
        <f>IF(K42="","",K42+K43)</f>
        <v/>
      </c>
      <c r="L44" s="58">
        <f>IF(L42="","",L42+L43)</f>
        <v/>
      </c>
      <c r="M44" s="58">
        <f>IF(M42="","",M42+M43)</f>
        <v/>
      </c>
      <c r="N44" s="58">
        <f>IF(N42="","",N42+N43)</f>
        <v/>
      </c>
      <c r="O44" s="58">
        <f>IF(O42="","",O42+O43)</f>
        <v/>
      </c>
      <c r="P44" s="50">
        <f>SUMIF($D$29:$O$29,"&lt;="&amp;'C1 GEG Setting'!$C$6,D44:O44)</f>
        <v/>
      </c>
    </row>
    <row r="45">
      <c r="A45" s="10" t="inlineStr">
        <is>
          <t xml:space="preserve">   Dividen &amp; pendanaan lain (neto)</t>
        </is>
      </c>
      <c r="D45" s="28">
        <f>IF('C6 GEG Neraca Aktual'!D$25=0,"",('C7 GEG Arus Kas'!D35+'C7 GEG Arus Kas'!D36))</f>
        <v/>
      </c>
      <c r="E45" s="28">
        <f>IF('C6 GEG Neraca Aktual'!E$25=0,"",('C7 GEG Arus Kas'!E35+'C7 GEG Arus Kas'!E36))</f>
        <v/>
      </c>
      <c r="F45" s="28">
        <f>IF('C6 GEG Neraca Aktual'!F$25=0,"",('C7 GEG Arus Kas'!F35+'C7 GEG Arus Kas'!F36))</f>
        <v/>
      </c>
      <c r="G45" s="28">
        <f>IF('C6 GEG Neraca Aktual'!G$25=0,"",('C7 GEG Arus Kas'!G35+'C7 GEG Arus Kas'!G36))</f>
        <v/>
      </c>
      <c r="H45" s="28">
        <f>IF('C6 GEG Neraca Aktual'!H$25=0,"",('C7 GEG Arus Kas'!H35+'C7 GEG Arus Kas'!H36))</f>
        <v/>
      </c>
      <c r="I45" s="28">
        <f>IF('C6 GEG Neraca Aktual'!I$25=0,"",('C7 GEG Arus Kas'!I35+'C7 GEG Arus Kas'!I36))</f>
        <v/>
      </c>
      <c r="J45" s="28">
        <f>IF('C6 GEG Neraca Aktual'!J$25=0,"",('C7 GEG Arus Kas'!J35+'C7 GEG Arus Kas'!J36))</f>
        <v/>
      </c>
      <c r="K45" s="28">
        <f>IF('C6 GEG Neraca Aktual'!K$25=0,"",('C7 GEG Arus Kas'!K35+'C7 GEG Arus Kas'!K36))</f>
        <v/>
      </c>
      <c r="L45" s="28">
        <f>IF('C6 GEG Neraca Aktual'!L$25=0,"",('C7 GEG Arus Kas'!L35+'C7 GEG Arus Kas'!L36))</f>
        <v/>
      </c>
      <c r="M45" s="28">
        <f>IF('C6 GEG Neraca Aktual'!M$25=0,"",('C7 GEG Arus Kas'!M35+'C7 GEG Arus Kas'!M36))</f>
        <v/>
      </c>
      <c r="N45" s="28">
        <f>IF('C6 GEG Neraca Aktual'!N$25=0,"",('C7 GEG Arus Kas'!N35+'C7 GEG Arus Kas'!N36))</f>
        <v/>
      </c>
      <c r="O45" s="28">
        <f>IF('C6 GEG Neraca Aktual'!O$25=0,"",('C7 GEG Arus Kas'!O35+'C7 GEG Arus Kas'!O36))</f>
        <v/>
      </c>
      <c r="P45" s="28">
        <f>SUMIF($D$29:$O$29,"&lt;="&amp;'C1 GEG Setting'!$C$6,D45:O45)</f>
        <v/>
      </c>
    </row>
    <row r="46">
      <c r="A46" s="10" t="inlineStr">
        <is>
          <t xml:space="preserve">   Kas awal</t>
        </is>
      </c>
      <c r="C46" s="28">
        <f>'C6 GEG Neraca Aktual'!$C$8</f>
        <v/>
      </c>
      <c r="D46" s="28">
        <f>IF('C6 GEG Neraca Aktual'!D$25=0,"",C46)</f>
        <v/>
      </c>
      <c r="E46" s="28">
        <f>IF('C6 GEG Neraca Aktual'!E$25=0,"",D47)</f>
        <v/>
      </c>
      <c r="F46" s="28">
        <f>IF('C6 GEG Neraca Aktual'!F$25=0,"",E47)</f>
        <v/>
      </c>
      <c r="G46" s="28">
        <f>IF('C6 GEG Neraca Aktual'!G$25=0,"",F47)</f>
        <v/>
      </c>
      <c r="H46" s="28">
        <f>IF('C6 GEG Neraca Aktual'!H$25=0,"",G47)</f>
        <v/>
      </c>
      <c r="I46" s="28">
        <f>IF('C6 GEG Neraca Aktual'!I$25=0,"",H47)</f>
        <v/>
      </c>
      <c r="J46" s="28">
        <f>IF('C6 GEG Neraca Aktual'!J$25=0,"",I47)</f>
        <v/>
      </c>
      <c r="K46" s="28">
        <f>IF('C6 GEG Neraca Aktual'!K$25=0,"",J47)</f>
        <v/>
      </c>
      <c r="L46" s="28">
        <f>IF('C6 GEG Neraca Aktual'!L$25=0,"",K47)</f>
        <v/>
      </c>
      <c r="M46" s="28">
        <f>IF('C6 GEG Neraca Aktual'!M$25=0,"",L47)</f>
        <v/>
      </c>
      <c r="N46" s="28">
        <f>IF('C6 GEG Neraca Aktual'!N$25=0,"",M47)</f>
        <v/>
      </c>
      <c r="O46" s="28">
        <f>IF('C6 GEG Neraca Aktual'!O$25=0,"",N47)</f>
        <v/>
      </c>
      <c r="P46" s="19">
        <f>C46</f>
        <v/>
      </c>
    </row>
    <row r="47">
      <c r="A47" s="48" t="inlineStr">
        <is>
          <t>Kas akhir</t>
        </is>
      </c>
      <c r="B47" s="72" t="n"/>
      <c r="C47" s="72" t="n"/>
      <c r="D47" s="58">
        <f>IF(D46="","",D46+D44+D45)</f>
        <v/>
      </c>
      <c r="E47" s="58">
        <f>IF(E46="","",E46+E44+E45)</f>
        <v/>
      </c>
      <c r="F47" s="58">
        <f>IF(F46="","",F46+F44+F45)</f>
        <v/>
      </c>
      <c r="G47" s="58">
        <f>IF(G46="","",G46+G44+G45)</f>
        <v/>
      </c>
      <c r="H47" s="58">
        <f>IF(H46="","",H46+H44+H45)</f>
        <v/>
      </c>
      <c r="I47" s="58">
        <f>IF(I46="","",I46+I44+I45)</f>
        <v/>
      </c>
      <c r="J47" s="58">
        <f>IF(J46="","",J46+J44+J45)</f>
        <v/>
      </c>
      <c r="K47" s="58">
        <f>IF(K46="","",K46+K44+K45)</f>
        <v/>
      </c>
      <c r="L47" s="58">
        <f>IF(L46="","",L46+L44+L45)</f>
        <v/>
      </c>
      <c r="M47" s="58">
        <f>IF(M46="","",M46+M44+M45)</f>
        <v/>
      </c>
      <c r="N47" s="58">
        <f>IF(N46="","",N46+N44+N45)</f>
        <v/>
      </c>
      <c r="O47" s="58">
        <f>IF(O46="","",O46+O44+O45)</f>
        <v/>
      </c>
      <c r="P47" s="50">
        <f>INDEX(D47:O47,'C1 GEG Setting'!$C$6)</f>
        <v/>
      </c>
    </row>
    <row r="48">
      <c r="A48" s="10" t="inlineStr">
        <is>
          <t xml:space="preserve">   DSCR (kas bersih operasi ÷ debt service)</t>
        </is>
      </c>
      <c r="D48" s="110">
        <f>IF(D38="","",IFERROR(D38/-D41,""))</f>
        <v/>
      </c>
      <c r="E48" s="110">
        <f>IF(E38="","",IFERROR(E38/-E41,""))</f>
        <v/>
      </c>
      <c r="F48" s="110">
        <f>IF(F38="","",IFERROR(F38/-F41,""))</f>
        <v/>
      </c>
      <c r="G48" s="110">
        <f>IF(G38="","",IFERROR(G38/-G41,""))</f>
        <v/>
      </c>
      <c r="H48" s="110">
        <f>IF(H38="","",IFERROR(H38/-H41,""))</f>
        <v/>
      </c>
      <c r="I48" s="110">
        <f>IF(I38="","",IFERROR(I38/-I41,""))</f>
        <v/>
      </c>
      <c r="J48" s="110">
        <f>IF(J38="","",IFERROR(J38/-J41,""))</f>
        <v/>
      </c>
      <c r="K48" s="110">
        <f>IF(K38="","",IFERROR(K38/-K41,""))</f>
        <v/>
      </c>
      <c r="L48" s="110">
        <f>IF(L38="","",IFERROR(L38/-L41,""))</f>
        <v/>
      </c>
      <c r="M48" s="110">
        <f>IF(M38="","",IFERROR(M38/-M41,""))</f>
        <v/>
      </c>
      <c r="N48" s="110">
        <f>IF(N38="","",IFERROR(N38/-N41,""))</f>
        <v/>
      </c>
      <c r="O48" s="110">
        <f>IF(O38="","",IFERROR(O38/-O41,""))</f>
        <v/>
      </c>
      <c r="P48" s="110">
        <f>IFERROR(P38/-P41,"")</f>
        <v/>
      </c>
    </row>
    <row r="49">
      <c r="A49" s="37" t="inlineStr">
        <is>
          <t xml:space="preserve">   Cek: kas akhir vs neraca C6 (harus 0)</t>
        </is>
      </c>
      <c r="D49" s="111">
        <f>IF(D47="","",ROUND(D47-'C6 GEG Neraca Aktual'!D8,0))</f>
        <v/>
      </c>
      <c r="E49" s="111">
        <f>IF(E47="","",ROUND(E47-'C6 GEG Neraca Aktual'!E8,0))</f>
        <v/>
      </c>
      <c r="F49" s="111">
        <f>IF(F47="","",ROUND(F47-'C6 GEG Neraca Aktual'!F8,0))</f>
        <v/>
      </c>
      <c r="G49" s="111">
        <f>IF(G47="","",ROUND(G47-'C6 GEG Neraca Aktual'!G8,0))</f>
        <v/>
      </c>
      <c r="H49" s="111">
        <f>IF(H47="","",ROUND(H47-'C6 GEG Neraca Aktual'!H8,0))</f>
        <v/>
      </c>
      <c r="I49" s="111">
        <f>IF(I47="","",ROUND(I47-'C6 GEG Neraca Aktual'!I8,0))</f>
        <v/>
      </c>
      <c r="J49" s="111">
        <f>IF(J47="","",ROUND(J47-'C6 GEG Neraca Aktual'!J8,0))</f>
        <v/>
      </c>
      <c r="K49" s="111">
        <f>IF(K47="","",ROUND(K47-'C6 GEG Neraca Aktual'!K8,0))</f>
        <v/>
      </c>
      <c r="L49" s="111">
        <f>IF(L47="","",ROUND(L47-'C6 GEG Neraca Aktual'!L8,0))</f>
        <v/>
      </c>
      <c r="M49" s="111">
        <f>IF(M47="","",ROUND(M47-'C6 GEG Neraca Aktual'!M8,0))</f>
        <v/>
      </c>
      <c r="N49" s="111">
        <f>IF(N47="","",ROUND(N47-'C6 GEG Neraca Aktual'!N8,0))</f>
        <v/>
      </c>
      <c r="O49" s="111">
        <f>IF(O47="","",ROUND(O47-'C6 GEG Neraca Aktual'!O8,0))</f>
        <v/>
      </c>
    </row>
    <row r="50"/>
    <row r="51">
      <c r="A51" s="4" t="inlineStr">
        <is>
          <t>BLOK BULANAN – BUDGET (isi sel kuning)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</row>
    <row r="52">
      <c r="A52" s="16" t="inlineStr">
        <is>
          <t>Uraian</t>
        </is>
      </c>
      <c r="B52" s="16" t="inlineStr"/>
      <c r="C52" s="16" t="inlineStr">
        <is>
          <t>Saldo</t>
        </is>
      </c>
      <c r="D52" s="16" t="inlineStr">
        <is>
          <t>Jan</t>
        </is>
      </c>
      <c r="E52" s="16" t="inlineStr">
        <is>
          <t>Feb</t>
        </is>
      </c>
      <c r="F52" s="16" t="inlineStr">
        <is>
          <t>Mar</t>
        </is>
      </c>
      <c r="G52" s="16" t="inlineStr">
        <is>
          <t>Apr</t>
        </is>
      </c>
      <c r="H52" s="16" t="inlineStr">
        <is>
          <t>Mei</t>
        </is>
      </c>
      <c r="I52" s="16" t="inlineStr">
        <is>
          <t>Jun</t>
        </is>
      </c>
      <c r="J52" s="16" t="inlineStr">
        <is>
          <t>Jul</t>
        </is>
      </c>
      <c r="K52" s="16" t="inlineStr">
        <is>
          <t>Agu</t>
        </is>
      </c>
      <c r="L52" s="16" t="inlineStr">
        <is>
          <t>Sep</t>
        </is>
      </c>
      <c r="M52" s="16" t="inlineStr">
        <is>
          <t>Okt</t>
        </is>
      </c>
      <c r="N52" s="16" t="inlineStr">
        <is>
          <t>Nov</t>
        </is>
      </c>
      <c r="O52" s="16" t="inlineStr">
        <is>
          <t>Des</t>
        </is>
      </c>
      <c r="P52" s="16" t="inlineStr">
        <is>
          <t>YTD</t>
        </is>
      </c>
    </row>
    <row r="53">
      <c r="A53" s="10" t="inlineStr">
        <is>
          <t xml:space="preserve">   Penerimaan dari pelanggan</t>
        </is>
      </c>
      <c r="D53" s="17" t="n">
        <v>183615</v>
      </c>
      <c r="E53" s="17" t="n">
        <v>184912</v>
      </c>
      <c r="F53" s="17" t="n">
        <v>204628</v>
      </c>
      <c r="G53" s="17" t="n">
        <v>219963</v>
      </c>
      <c r="H53" s="17" t="n">
        <v>230915</v>
      </c>
      <c r="I53" s="17" t="n">
        <v>235297</v>
      </c>
      <c r="J53" s="17" t="n">
        <v>241870</v>
      </c>
      <c r="K53" s="17" t="n">
        <v>241870</v>
      </c>
      <c r="L53" s="17" t="n">
        <v>233106</v>
      </c>
      <c r="M53" s="17" t="n">
        <v>224344</v>
      </c>
      <c r="N53" s="17" t="n">
        <v>213391</v>
      </c>
      <c r="O53" s="17" t="n">
        <v>202438</v>
      </c>
      <c r="P53" s="28">
        <f>SUMIF($D$29:$O$29,"&lt;="&amp;'C1 GEG Setting'!$C$6,D53:O53)</f>
        <v/>
      </c>
    </row>
    <row r="54">
      <c r="A54" s="10" t="inlineStr">
        <is>
          <t xml:space="preserve">   Pembayaran ke kontraktor, pemasok &amp; karyawan</t>
        </is>
      </c>
      <c r="D54" s="17" t="n">
        <v>-147305</v>
      </c>
      <c r="E54" s="17" t="n">
        <v>-144424</v>
      </c>
      <c r="F54" s="17" t="n">
        <v>-156704</v>
      </c>
      <c r="G54" s="17" t="n">
        <v>-165855</v>
      </c>
      <c r="H54" s="17" t="n">
        <v>-172498</v>
      </c>
      <c r="I54" s="17" t="n">
        <v>-175004</v>
      </c>
      <c r="J54" s="17" t="n">
        <v>-178890</v>
      </c>
      <c r="K54" s="17" t="n">
        <v>-178890</v>
      </c>
      <c r="L54" s="17" t="n">
        <v>-173501</v>
      </c>
      <c r="M54" s="17" t="n">
        <v>-168488</v>
      </c>
      <c r="N54" s="17" t="n">
        <v>-162094</v>
      </c>
      <c r="O54" s="17" t="n">
        <v>-155452</v>
      </c>
      <c r="P54" s="28">
        <f>SUMIF($D$29:$O$29,"&lt;="&amp;'C1 GEG Setting'!$C$6,D54:O54)</f>
        <v/>
      </c>
    </row>
    <row r="55">
      <c r="A55" s="10" t="inlineStr">
        <is>
          <t xml:space="preserve">   Pembayaran royalti / PNBP</t>
        </is>
      </c>
      <c r="D55" s="17" t="n">
        <v>-9420</v>
      </c>
      <c r="E55" s="17" t="n">
        <v>-9201</v>
      </c>
      <c r="F55" s="17" t="n">
        <v>-10186</v>
      </c>
      <c r="G55" s="17" t="n">
        <v>-10953</v>
      </c>
      <c r="H55" s="17" t="n">
        <v>-11501</v>
      </c>
      <c r="I55" s="17" t="n">
        <v>-11720</v>
      </c>
      <c r="J55" s="17" t="n">
        <v>-12048</v>
      </c>
      <c r="K55" s="17" t="n">
        <v>-12048</v>
      </c>
      <c r="L55" s="17" t="n">
        <v>-11610</v>
      </c>
      <c r="M55" s="17" t="n">
        <v>-11172</v>
      </c>
      <c r="N55" s="17" t="n">
        <v>-10625</v>
      </c>
      <c r="O55" s="17" t="n">
        <v>-10077</v>
      </c>
      <c r="P55" s="28">
        <f>SUMIF($D$29:$O$29,"&lt;="&amp;'C1 GEG Setting'!$C$6,D55:O55)</f>
        <v/>
      </c>
    </row>
    <row r="56">
      <c r="A56" s="48" t="inlineStr">
        <is>
          <t>Kas operasi sebelum pajak &amp; bunga</t>
        </is>
      </c>
      <c r="B56" s="72" t="n"/>
      <c r="C56" s="72" t="n"/>
      <c r="D56" s="58">
        <f>IF(D53="","",SUM(D53:D55))</f>
        <v/>
      </c>
      <c r="E56" s="58">
        <f>IF(E53="","",SUM(E53:E55))</f>
        <v/>
      </c>
      <c r="F56" s="58">
        <f>IF(F53="","",SUM(F53:F55))</f>
        <v/>
      </c>
      <c r="G56" s="58">
        <f>IF(G53="","",SUM(G53:G55))</f>
        <v/>
      </c>
      <c r="H56" s="58">
        <f>IF(H53="","",SUM(H53:H55))</f>
        <v/>
      </c>
      <c r="I56" s="58">
        <f>IF(I53="","",SUM(I53:I55))</f>
        <v/>
      </c>
      <c r="J56" s="58">
        <f>IF(J53="","",SUM(J53:J55))</f>
        <v/>
      </c>
      <c r="K56" s="58">
        <f>IF(K53="","",SUM(K53:K55))</f>
        <v/>
      </c>
      <c r="L56" s="58">
        <f>IF(L53="","",SUM(L53:L55))</f>
        <v/>
      </c>
      <c r="M56" s="58">
        <f>IF(M53="","",SUM(M53:M55))</f>
        <v/>
      </c>
      <c r="N56" s="58">
        <f>IF(N53="","",SUM(N53:N55))</f>
        <v/>
      </c>
      <c r="O56" s="58">
        <f>IF(O53="","",SUM(O53:O55))</f>
        <v/>
      </c>
      <c r="P56" s="50">
        <f>SUMIF($D$29:$O$29,"&lt;="&amp;'C1 GEG Setting'!$C$6,D56:O56)</f>
        <v/>
      </c>
    </row>
    <row r="57">
      <c r="A57" s="10" t="inlineStr">
        <is>
          <t xml:space="preserve">   Pembayaran pajak penghasilan</t>
        </is>
      </c>
      <c r="D57" s="17" t="n">
        <v>-4219</v>
      </c>
      <c r="E57" s="17" t="n">
        <v>-4145</v>
      </c>
      <c r="F57" s="17" t="n">
        <v>-4875</v>
      </c>
      <c r="G57" s="17" t="n">
        <v>-6109</v>
      </c>
      <c r="H57" s="17" t="n">
        <v>-7058</v>
      </c>
      <c r="I57" s="17" t="n">
        <v>-7537</v>
      </c>
      <c r="J57" s="17" t="n">
        <v>-7996</v>
      </c>
      <c r="K57" s="17" t="n">
        <v>-8158</v>
      </c>
      <c r="L57" s="17" t="n">
        <v>-7739</v>
      </c>
      <c r="M57" s="17" t="n">
        <v>-7146</v>
      </c>
      <c r="N57" s="17" t="n">
        <v>-6399</v>
      </c>
      <c r="O57" s="17" t="n">
        <v>-5614</v>
      </c>
      <c r="P57" s="28">
        <f>SUMIF($D$29:$O$29,"&lt;="&amp;'C1 GEG Setting'!$C$6,D57:O57)</f>
        <v/>
      </c>
    </row>
    <row r="58">
      <c r="A58" s="10" t="inlineStr">
        <is>
          <t xml:space="preserve">   Penerimaan bunga</t>
        </is>
      </c>
      <c r="D58" s="17" t="n">
        <v>150</v>
      </c>
      <c r="E58" s="17" t="n">
        <v>150</v>
      </c>
      <c r="F58" s="17" t="n">
        <v>150</v>
      </c>
      <c r="G58" s="17" t="n">
        <v>150</v>
      </c>
      <c r="H58" s="17" t="n">
        <v>150</v>
      </c>
      <c r="I58" s="17" t="n">
        <v>150</v>
      </c>
      <c r="J58" s="17" t="n">
        <v>150</v>
      </c>
      <c r="K58" s="17" t="n">
        <v>150</v>
      </c>
      <c r="L58" s="17" t="n">
        <v>150</v>
      </c>
      <c r="M58" s="17" t="n">
        <v>150</v>
      </c>
      <c r="N58" s="17" t="n">
        <v>150</v>
      </c>
      <c r="O58" s="17" t="n">
        <v>150</v>
      </c>
      <c r="P58" s="28">
        <f>SUMIF($D$29:$O$29,"&lt;="&amp;'C1 GEG Setting'!$C$6,D58:O58)</f>
        <v/>
      </c>
    </row>
    <row r="59">
      <c r="A59" s="48" t="inlineStr">
        <is>
          <t>Kas bersih dari operasi</t>
        </is>
      </c>
      <c r="B59" s="72" t="n"/>
      <c r="C59" s="72" t="n"/>
      <c r="D59" s="58">
        <f>IF(D56="","",D56+D57+D58)</f>
        <v/>
      </c>
      <c r="E59" s="58">
        <f>IF(E56="","",E56+E57+E58)</f>
        <v/>
      </c>
      <c r="F59" s="58">
        <f>IF(F56="","",F56+F57+F58)</f>
        <v/>
      </c>
      <c r="G59" s="58">
        <f>IF(G56="","",G56+G57+G58)</f>
        <v/>
      </c>
      <c r="H59" s="58">
        <f>IF(H56="","",H56+H57+H58)</f>
        <v/>
      </c>
      <c r="I59" s="58">
        <f>IF(I56="","",I56+I57+I58)</f>
        <v/>
      </c>
      <c r="J59" s="58">
        <f>IF(J56="","",J56+J57+J58)</f>
        <v/>
      </c>
      <c r="K59" s="58">
        <f>IF(K56="","",K56+K57+K58)</f>
        <v/>
      </c>
      <c r="L59" s="58">
        <f>IF(L56="","",L56+L57+L58)</f>
        <v/>
      </c>
      <c r="M59" s="58">
        <f>IF(M56="","",M56+M57+M58)</f>
        <v/>
      </c>
      <c r="N59" s="58">
        <f>IF(N56="","",N56+N57+N58)</f>
        <v/>
      </c>
      <c r="O59" s="58">
        <f>IF(O56="","",O56+O57+O58)</f>
        <v/>
      </c>
      <c r="P59" s="50">
        <f>SUMIF($D$29:$O$29,"&lt;="&amp;'C1 GEG Setting'!$C$6,D59:O59)</f>
        <v/>
      </c>
    </row>
    <row r="60">
      <c r="A60" s="10" t="inlineStr">
        <is>
          <t xml:space="preserve">   Pembayaran bunga</t>
        </is>
      </c>
      <c r="D60" s="17" t="n">
        <v>-2300</v>
      </c>
      <c r="E60" s="17" t="n">
        <v>-2280</v>
      </c>
      <c r="F60" s="17" t="n">
        <v>-2260</v>
      </c>
      <c r="G60" s="17" t="n">
        <v>-2240</v>
      </c>
      <c r="H60" s="17" t="n">
        <v>-2220</v>
      </c>
      <c r="I60" s="17" t="n">
        <v>-2200</v>
      </c>
      <c r="J60" s="17" t="n">
        <v>-2180</v>
      </c>
      <c r="K60" s="17" t="n">
        <v>-2160</v>
      </c>
      <c r="L60" s="17" t="n">
        <v>-2140</v>
      </c>
      <c r="M60" s="17" t="n">
        <v>-2120</v>
      </c>
      <c r="N60" s="17" t="n">
        <v>-2100</v>
      </c>
      <c r="O60" s="17" t="n">
        <v>-2080</v>
      </c>
      <c r="P60" s="28">
        <f>SUMIF($D$29:$O$29,"&lt;="&amp;'C1 GEG Setting'!$C$6,D60:O60)</f>
        <v/>
      </c>
    </row>
    <row r="61">
      <c r="A61" s="10" t="inlineStr">
        <is>
          <t xml:space="preserve">   Pembayaran pokok pinjaman (neto)</t>
        </is>
      </c>
      <c r="D61" s="17" t="n">
        <v>-7500</v>
      </c>
      <c r="E61" s="17" t="n">
        <v>-7500</v>
      </c>
      <c r="F61" s="17" t="n">
        <v>-7500</v>
      </c>
      <c r="G61" s="17" t="n">
        <v>-7500</v>
      </c>
      <c r="H61" s="17" t="n">
        <v>-7500</v>
      </c>
      <c r="I61" s="17" t="n">
        <v>-7500</v>
      </c>
      <c r="J61" s="17" t="n">
        <v>-7500</v>
      </c>
      <c r="K61" s="17" t="n">
        <v>-7500</v>
      </c>
      <c r="L61" s="17" t="n">
        <v>-7500</v>
      </c>
      <c r="M61" s="17" t="n">
        <v>-7500</v>
      </c>
      <c r="N61" s="17" t="n">
        <v>-7500</v>
      </c>
      <c r="O61" s="17" t="n">
        <v>-7500</v>
      </c>
      <c r="P61" s="28">
        <f>SUMIF($D$29:$O$29,"&lt;="&amp;'C1 GEG Setting'!$C$6,D61:O61)</f>
        <v/>
      </c>
    </row>
    <row r="62">
      <c r="A62" s="48" t="inlineStr">
        <is>
          <t>Debt service</t>
        </is>
      </c>
      <c r="B62" s="72" t="n"/>
      <c r="C62" s="72" t="n"/>
      <c r="D62" s="58">
        <f>IF(D60="","",D60+D61)</f>
        <v/>
      </c>
      <c r="E62" s="58">
        <f>IF(E60="","",E60+E61)</f>
        <v/>
      </c>
      <c r="F62" s="58">
        <f>IF(F60="","",F60+F61)</f>
        <v/>
      </c>
      <c r="G62" s="58">
        <f>IF(G60="","",G60+G61)</f>
        <v/>
      </c>
      <c r="H62" s="58">
        <f>IF(H60="","",H60+H61)</f>
        <v/>
      </c>
      <c r="I62" s="58">
        <f>IF(I60="","",I60+I61)</f>
        <v/>
      </c>
      <c r="J62" s="58">
        <f>IF(J60="","",J60+J61)</f>
        <v/>
      </c>
      <c r="K62" s="58">
        <f>IF(K60="","",K60+K61)</f>
        <v/>
      </c>
      <c r="L62" s="58">
        <f>IF(L60="","",L60+L61)</f>
        <v/>
      </c>
      <c r="M62" s="58">
        <f>IF(M60="","",M60+M61)</f>
        <v/>
      </c>
      <c r="N62" s="58">
        <f>IF(N60="","",N60+N61)</f>
        <v/>
      </c>
      <c r="O62" s="58">
        <f>IF(O60="","",O60+O61)</f>
        <v/>
      </c>
      <c r="P62" s="50">
        <f>SUMIF($D$29:$O$29,"&lt;="&amp;'C1 GEG Setting'!$C$6,D62:O62)</f>
        <v/>
      </c>
    </row>
    <row r="63">
      <c r="A63" s="48" t="inlineStr">
        <is>
          <t>Kas tersedia setelah debt service (CADS)</t>
        </is>
      </c>
      <c r="B63" s="72" t="n"/>
      <c r="C63" s="72" t="n"/>
      <c r="D63" s="58">
        <f>IF(D59="","",D59+D62)</f>
        <v/>
      </c>
      <c r="E63" s="58">
        <f>IF(E59="","",E59+E62)</f>
        <v/>
      </c>
      <c r="F63" s="58">
        <f>IF(F59="","",F59+F62)</f>
        <v/>
      </c>
      <c r="G63" s="58">
        <f>IF(G59="","",G59+G62)</f>
        <v/>
      </c>
      <c r="H63" s="58">
        <f>IF(H59="","",H59+H62)</f>
        <v/>
      </c>
      <c r="I63" s="58">
        <f>IF(I59="","",I59+I62)</f>
        <v/>
      </c>
      <c r="J63" s="58">
        <f>IF(J59="","",J59+J62)</f>
        <v/>
      </c>
      <c r="K63" s="58">
        <f>IF(K59="","",K59+K62)</f>
        <v/>
      </c>
      <c r="L63" s="58">
        <f>IF(L59="","",L59+L62)</f>
        <v/>
      </c>
      <c r="M63" s="58">
        <f>IF(M59="","",M59+M62)</f>
        <v/>
      </c>
      <c r="N63" s="58">
        <f>IF(N59="","",N59+N62)</f>
        <v/>
      </c>
      <c r="O63" s="58">
        <f>IF(O59="","",O59+O62)</f>
        <v/>
      </c>
      <c r="P63" s="50">
        <f>SUMIF($D$29:$O$29,"&lt;="&amp;'C1 GEG Setting'!$C$6,D63:O63)</f>
        <v/>
      </c>
    </row>
    <row r="64">
      <c r="A64" s="10" t="inlineStr">
        <is>
          <t xml:space="preserve">   Capex &amp; investasi</t>
        </is>
      </c>
      <c r="D64" s="17" t="n">
        <v>-23000</v>
      </c>
      <c r="E64" s="17" t="n">
        <v>-23000</v>
      </c>
      <c r="F64" s="17" t="n">
        <v>-23000</v>
      </c>
      <c r="G64" s="17" t="n">
        <v>-23000</v>
      </c>
      <c r="H64" s="17" t="n">
        <v>-23000</v>
      </c>
      <c r="I64" s="17" t="n">
        <v>-23000</v>
      </c>
      <c r="J64" s="17" t="n">
        <v>-23000</v>
      </c>
      <c r="K64" s="17" t="n">
        <v>-23000</v>
      </c>
      <c r="L64" s="17" t="n">
        <v>-23000</v>
      </c>
      <c r="M64" s="17" t="n">
        <v>-23000</v>
      </c>
      <c r="N64" s="17" t="n">
        <v>-23000</v>
      </c>
      <c r="O64" s="17" t="n">
        <v>-23000</v>
      </c>
      <c r="P64" s="28">
        <f>SUMIF($D$29:$O$29,"&lt;="&amp;'C1 GEG Setting'!$C$6,D64:O64)</f>
        <v/>
      </c>
    </row>
    <row r="65">
      <c r="A65" s="48" t="inlineStr">
        <is>
          <t>Kas bersih setelah capex</t>
        </is>
      </c>
      <c r="B65" s="72" t="n"/>
      <c r="C65" s="72" t="n"/>
      <c r="D65" s="58">
        <f>IF(D63="","",D63+D64)</f>
        <v/>
      </c>
      <c r="E65" s="58">
        <f>IF(E63="","",E63+E64)</f>
        <v/>
      </c>
      <c r="F65" s="58">
        <f>IF(F63="","",F63+F64)</f>
        <v/>
      </c>
      <c r="G65" s="58">
        <f>IF(G63="","",G63+G64)</f>
        <v/>
      </c>
      <c r="H65" s="58">
        <f>IF(H63="","",H63+H64)</f>
        <v/>
      </c>
      <c r="I65" s="58">
        <f>IF(I63="","",I63+I64)</f>
        <v/>
      </c>
      <c r="J65" s="58">
        <f>IF(J63="","",J63+J64)</f>
        <v/>
      </c>
      <c r="K65" s="58">
        <f>IF(K63="","",K63+K64)</f>
        <v/>
      </c>
      <c r="L65" s="58">
        <f>IF(L63="","",L63+L64)</f>
        <v/>
      </c>
      <c r="M65" s="58">
        <f>IF(M63="","",M63+M64)</f>
        <v/>
      </c>
      <c r="N65" s="58">
        <f>IF(N63="","",N63+N64)</f>
        <v/>
      </c>
      <c r="O65" s="58">
        <f>IF(O63="","",O63+O64)</f>
        <v/>
      </c>
      <c r="P65" s="50">
        <f>SUMIF($D$29:$O$29,"&lt;="&amp;'C1 GEG Setting'!$C$6,D65:O65)</f>
        <v/>
      </c>
    </row>
    <row r="66">
      <c r="A66" s="10" t="inlineStr">
        <is>
          <t xml:space="preserve">   Dividen &amp; pendanaan lain (neto)</t>
        </is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-40000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28">
        <f>SUMIF($D$29:$O$29,"&lt;="&amp;'C1 GEG Setting'!$C$6,D66:O66)</f>
        <v/>
      </c>
    </row>
    <row r="67">
      <c r="A67" s="10" t="inlineStr">
        <is>
          <t xml:space="preserve">   Kas awal</t>
        </is>
      </c>
      <c r="C67" s="17" t="n">
        <v>150000</v>
      </c>
      <c r="D67" s="19">
        <f>C67</f>
        <v/>
      </c>
      <c r="E67" s="19">
        <f>D68</f>
        <v/>
      </c>
      <c r="F67" s="19">
        <f>E68</f>
        <v/>
      </c>
      <c r="G67" s="19">
        <f>F68</f>
        <v/>
      </c>
      <c r="H67" s="19">
        <f>G68</f>
        <v/>
      </c>
      <c r="I67" s="19">
        <f>H68</f>
        <v/>
      </c>
      <c r="J67" s="19">
        <f>I68</f>
        <v/>
      </c>
      <c r="K67" s="19">
        <f>J68</f>
        <v/>
      </c>
      <c r="L67" s="19">
        <f>K68</f>
        <v/>
      </c>
      <c r="M67" s="19">
        <f>L68</f>
        <v/>
      </c>
      <c r="N67" s="19">
        <f>M68</f>
        <v/>
      </c>
      <c r="O67" s="19">
        <f>N68</f>
        <v/>
      </c>
      <c r="P67" s="19">
        <f>C67</f>
        <v/>
      </c>
    </row>
    <row r="68">
      <c r="A68" s="48" t="inlineStr">
        <is>
          <t>Kas akhir</t>
        </is>
      </c>
      <c r="B68" s="72" t="n"/>
      <c r="C68" s="72" t="n"/>
      <c r="D68" s="58">
        <f>IF(D67="","",D67+D65+D66)</f>
        <v/>
      </c>
      <c r="E68" s="58">
        <f>IF(E67="","",E67+E65+E66)</f>
        <v/>
      </c>
      <c r="F68" s="58">
        <f>IF(F67="","",F67+F65+F66)</f>
        <v/>
      </c>
      <c r="G68" s="58">
        <f>IF(G67="","",G67+G65+G66)</f>
        <v/>
      </c>
      <c r="H68" s="58">
        <f>IF(H67="","",H67+H65+H66)</f>
        <v/>
      </c>
      <c r="I68" s="58">
        <f>IF(I67="","",I67+I65+I66)</f>
        <v/>
      </c>
      <c r="J68" s="58">
        <f>IF(J67="","",J67+J65+J66)</f>
        <v/>
      </c>
      <c r="K68" s="58">
        <f>IF(K67="","",K67+K65+K66)</f>
        <v/>
      </c>
      <c r="L68" s="58">
        <f>IF(L67="","",L67+L65+L66)</f>
        <v/>
      </c>
      <c r="M68" s="58">
        <f>IF(M67="","",M67+M65+M66)</f>
        <v/>
      </c>
      <c r="N68" s="58">
        <f>IF(N67="","",N67+N65+N66)</f>
        <v/>
      </c>
      <c r="O68" s="58">
        <f>IF(O67="","",O67+O65+O66)</f>
        <v/>
      </c>
      <c r="P68" s="50">
        <f>INDEX(D68:O68,'C1 GEG Setting'!$C$6)</f>
        <v/>
      </c>
    </row>
    <row r="69">
      <c r="A69" s="10" t="inlineStr">
        <is>
          <t xml:space="preserve">   DSCR (kas bersih operasi ÷ debt service)</t>
        </is>
      </c>
      <c r="D69" s="110">
        <f>IF(D59="","",IFERROR(D59/-D62,""))</f>
        <v/>
      </c>
      <c r="E69" s="110">
        <f>IF(E59="","",IFERROR(E59/-E62,""))</f>
        <v/>
      </c>
      <c r="F69" s="110">
        <f>IF(F59="","",IFERROR(F59/-F62,""))</f>
        <v/>
      </c>
      <c r="G69" s="110">
        <f>IF(G59="","",IFERROR(G59/-G62,""))</f>
        <v/>
      </c>
      <c r="H69" s="110">
        <f>IF(H59="","",IFERROR(H59/-H62,""))</f>
        <v/>
      </c>
      <c r="I69" s="110">
        <f>IF(I59="","",IFERROR(I59/-I62,""))</f>
        <v/>
      </c>
      <c r="J69" s="110">
        <f>IF(J59="","",IFERROR(J59/-J62,""))</f>
        <v/>
      </c>
      <c r="K69" s="110">
        <f>IF(K59="","",IFERROR(K59/-K62,""))</f>
        <v/>
      </c>
      <c r="L69" s="110">
        <f>IF(L59="","",IFERROR(L59/-L62,""))</f>
        <v/>
      </c>
      <c r="M69" s="110">
        <f>IF(M59="","",IFERROR(M59/-M62,""))</f>
        <v/>
      </c>
      <c r="N69" s="110">
        <f>IF(N59="","",IFERROR(N59/-N62,""))</f>
        <v/>
      </c>
      <c r="O69" s="110">
        <f>IF(O59="","",IFERROR(O59/-O62,""))</f>
        <v/>
      </c>
      <c r="P69" s="110">
        <f>IFERROR(P59/-P62,"")</f>
        <v/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N9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52" customWidth="1" min="14" max="14"/>
  </cols>
  <sheetData>
    <row r="1">
      <c r="A1" s="1" t="inlineStr">
        <is>
          <t>GEG – Analisa Cost per BCM (OB) &amp; Cost per MT Batubara Terjual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>
        <f>"Bulan laporan: "&amp;'C1 GEG Setting'!$C$7&amp;" "&amp;'C1 GEG Setting'!$C$5&amp;" | Cost per BCM = biaya ÷ bcm OB; Cost per MT = biaya ÷ ton batubara terjual; USD memakai kurs rata-rata periode"</f>
        <v/>
      </c>
    </row>
    <row r="3"/>
    <row r="4">
      <c r="A4" s="4" t="inlineStr">
        <is>
          <t>A. COST PER BCM – biaya pengupasan tanah penutup (USD/bcm)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 ht="32" customHeight="1">
      <c r="A5" s="16" t="inlineStr">
        <is>
          <t>Komponen</t>
        </is>
      </c>
      <c r="B5" s="16" t="inlineStr">
        <is>
          <t>Satuan</t>
        </is>
      </c>
      <c r="C5" s="16" t="inlineStr">
        <is>
          <t>Bulan lalu
Aktual</t>
        </is>
      </c>
      <c r="D5" s="16" t="inlineStr">
        <is>
          <t>Bulan ini
Aktual</t>
        </is>
      </c>
      <c r="E5" s="16" t="inlineStr">
        <is>
          <t>Var MoM</t>
        </is>
      </c>
      <c r="F5" s="16" t="inlineStr">
        <is>
          <t>Var MoM %</t>
        </is>
      </c>
      <c r="G5" s="16" t="inlineStr">
        <is>
          <t>Bulan ini
Budget</t>
        </is>
      </c>
      <c r="H5" s="16" t="inlineStr">
        <is>
          <t>Var vs Budget</t>
        </is>
      </c>
      <c r="I5" s="16" t="inlineStr">
        <is>
          <t>Var %</t>
        </is>
      </c>
      <c r="J5" s="16" t="inlineStr">
        <is>
          <t>YTD
Aktual</t>
        </is>
      </c>
      <c r="K5" s="16" t="inlineStr">
        <is>
          <t>YTD
Budget</t>
        </is>
      </c>
      <c r="L5" s="16" t="inlineStr">
        <is>
          <t>Var YTD</t>
        </is>
      </c>
      <c r="M5" s="16" t="inlineStr">
        <is>
          <t>Var YTD %</t>
        </is>
      </c>
      <c r="N5" s="16" t="inlineStr">
        <is>
          <t>Catatan / penjelasan varians (diisi FP&amp;A)</t>
        </is>
      </c>
    </row>
    <row r="6">
      <c r="A6" s="10" t="inlineStr">
        <is>
          <t xml:space="preserve">   Volume OB removal (bcm)</t>
        </is>
      </c>
      <c r="B6" s="3" t="inlineStr">
        <is>
          <t>bcm</t>
        </is>
      </c>
      <c r="C6" s="28">
        <f>IF('C1 GEG Setting'!$C$6=1,0,INDEX('C3 GEG Ops Aktual'!$D$8:$O$8,'C1 GEG Setting'!$C$6-1))</f>
        <v/>
      </c>
      <c r="D6" s="28">
        <f>INDEX('C3 GEG Ops Aktual'!$D$8:$O$8,'C1 GEG Setting'!$C$6)</f>
        <v/>
      </c>
      <c r="E6" s="19">
        <f>IFERROR(D6-C6,0)</f>
        <v/>
      </c>
      <c r="F6" s="24">
        <f>IFERROR(E6/ABS(C6),"")</f>
        <v/>
      </c>
      <c r="G6" s="28">
        <f>INDEX('C2 GEG Ops Budget'!$D$8:$O$8,'C1 GEG Setting'!$C$6)</f>
        <v/>
      </c>
      <c r="H6" s="19">
        <f>IFERROR(D6-G6,0)</f>
        <v/>
      </c>
      <c r="I6" s="24">
        <f>IFERROR(H6/ABS(G6),"")</f>
        <v/>
      </c>
      <c r="J6" s="28">
        <f>SUMIF('C3 GEG Ops Aktual'!$D$5:$O$5,"&lt;="&amp;'C1 GEG Setting'!$C$6,'C3 GEG Ops Aktual'!$D$8:$O$8)</f>
        <v/>
      </c>
      <c r="K6" s="28">
        <f>SUMIF('C2 GEG Ops Budget'!$D$5:$O$5,"&lt;="&amp;'C1 GEG Setting'!$C$6,'C2 GEG Ops Budget'!$D$8:$O$8)</f>
        <v/>
      </c>
      <c r="L6" s="19">
        <f>IFERROR(J6-K6,0)</f>
        <v/>
      </c>
      <c r="M6" s="24">
        <f>IFERROR(L6/ABS(K6),"")</f>
        <v/>
      </c>
      <c r="N6" s="76" t="n"/>
    </row>
    <row r="7">
      <c r="A7" s="10" t="inlineStr">
        <is>
          <t xml:space="preserve">   Jasa kontraktor OB</t>
        </is>
      </c>
      <c r="B7" s="3" t="inlineStr">
        <is>
          <t>USD/bcm</t>
        </is>
      </c>
      <c r="C7" s="39">
        <f>IFERROR((IF('C1 GEG Setting'!$C$6=1,0,INDEX('C5 GEG LR Aktual'!$D$17:$O$17,'C1 GEG Setting'!$C$6-1)))*1000000/(IF('C1 GEG Setting'!$C$6=1,0,INDEX('C3 GEG Ops Aktual'!$D$8:$O$8,'C1 GEG Setting'!$C$6-1)))/(IF('C1 GEG Setting'!$C$6=1,0,INDEX('C3 GEG Ops Aktual'!$D$25:$O$25,'C1 GEG Setting'!$C$6-1))),0)</f>
        <v/>
      </c>
      <c r="D7" s="39">
        <f>IFERROR((INDEX('C5 GEG LR Aktual'!$D$17:$O$17,'C1 GEG Setting'!$C$6))*1000000/(INDEX('C3 GEG Ops Aktual'!$D$8:$O$8,'C1 GEG Setting'!$C$6))/(INDEX('C3 GEG Ops Aktual'!$D$25:$O$25,'C1 GEG Setting'!$C$6)),0)</f>
        <v/>
      </c>
      <c r="E7" s="47">
        <f>IFERROR(D7-C7,0)</f>
        <v/>
      </c>
      <c r="F7" s="24">
        <f>IFERROR(E7/ABS(C7),"")</f>
        <v/>
      </c>
      <c r="G7" s="39">
        <f>IFERROR((INDEX('C4 GEG LR Budget'!$D$17:$O$17,'C1 GEG Setting'!$C$6))*1000000/(INDEX('C2 GEG Ops Budget'!$D$8:$O$8,'C1 GEG Setting'!$C$6))/(INDEX('C2 GEG Ops Budget'!$D$25:$O$25,'C1 GEG Setting'!$C$6)),0)</f>
        <v/>
      </c>
      <c r="H7" s="47">
        <f>IFERROR(D7-G7,0)</f>
        <v/>
      </c>
      <c r="I7" s="24">
        <f>IFERROR(H7/ABS(G7),"")</f>
        <v/>
      </c>
      <c r="J7" s="39">
        <f>IFERROR((SUMIF('C5 GEG LR Aktual'!$D$5:$O$5,"&lt;="&amp;'C1 GEG Setting'!$C$6,'C5 GEG LR Aktual'!$D$17:$O$17))*1000000/(SUMIF('C3 GEG Ops Aktual'!$D$5:$O$5,"&lt;="&amp;'C1 GEG Setting'!$C$6,'C3 GEG Ops Aktual'!$D$8:$O$8))/(IFERROR(AVERAGEIFS('C3 GEG Ops Aktual'!$D$25:$O$25,'C3 GEG Ops Aktual'!$D$5:$O$5,"&lt;="&amp;'C1 GEG Setting'!$C$6),0)),0)</f>
        <v/>
      </c>
      <c r="K7" s="39">
        <f>IFERROR((SUMIF('C4 GEG LR Budget'!$D$5:$O$5,"&lt;="&amp;'C1 GEG Setting'!$C$6,'C4 GEG LR Budget'!$D$17:$O$17))*1000000/(SUMIF('C2 GEG Ops Budget'!$D$5:$O$5,"&lt;="&amp;'C1 GEG Setting'!$C$6,'C2 GEG Ops Budget'!$D$8:$O$8))/(IFERROR(AVERAGEIFS('C2 GEG Ops Budget'!$D$25:$O$25,'C2 GEG Ops Budget'!$D$5:$O$5,"&lt;="&amp;'C1 GEG Setting'!$C$6),0)),0)</f>
        <v/>
      </c>
      <c r="L7" s="47">
        <f>IFERROR(J7-K7,0)</f>
        <v/>
      </c>
      <c r="M7" s="24">
        <f>IFERROR(L7/ABS(K7),"")</f>
        <v/>
      </c>
      <c r="N7" s="76" t="n"/>
    </row>
    <row r="8">
      <c r="A8" s="10" t="inlineStr">
        <is>
          <t xml:space="preserve">   Bahan bakar (BBM)</t>
        </is>
      </c>
      <c r="B8" s="3" t="inlineStr">
        <is>
          <t>USD/bcm</t>
        </is>
      </c>
      <c r="C8" s="39">
        <f>IFERROR((IF('C1 GEG Setting'!$C$6=1,0,INDEX('C5 GEG LR Aktual'!$D$18:$O$18,'C1 GEG Setting'!$C$6-1)))*1000000/(IF('C1 GEG Setting'!$C$6=1,0,INDEX('C3 GEG Ops Aktual'!$D$8:$O$8,'C1 GEG Setting'!$C$6-1)))/(IF('C1 GEG Setting'!$C$6=1,0,INDEX('C3 GEG Ops Aktual'!$D$25:$O$25,'C1 GEG Setting'!$C$6-1))),0)</f>
        <v/>
      </c>
      <c r="D8" s="39">
        <f>IFERROR((INDEX('C5 GEG LR Aktual'!$D$18:$O$18,'C1 GEG Setting'!$C$6))*1000000/(INDEX('C3 GEG Ops Aktual'!$D$8:$O$8,'C1 GEG Setting'!$C$6))/(INDEX('C3 GEG Ops Aktual'!$D$25:$O$25,'C1 GEG Setting'!$C$6)),0)</f>
        <v/>
      </c>
      <c r="E8" s="47">
        <f>IFERROR(D8-C8,0)</f>
        <v/>
      </c>
      <c r="F8" s="24">
        <f>IFERROR(E8/ABS(C8),"")</f>
        <v/>
      </c>
      <c r="G8" s="39">
        <f>IFERROR((INDEX('C4 GEG LR Budget'!$D$18:$O$18,'C1 GEG Setting'!$C$6))*1000000/(INDEX('C2 GEG Ops Budget'!$D$8:$O$8,'C1 GEG Setting'!$C$6))/(INDEX('C2 GEG Ops Budget'!$D$25:$O$25,'C1 GEG Setting'!$C$6)),0)</f>
        <v/>
      </c>
      <c r="H8" s="47">
        <f>IFERROR(D8-G8,0)</f>
        <v/>
      </c>
      <c r="I8" s="24">
        <f>IFERROR(H8/ABS(G8),"")</f>
        <v/>
      </c>
      <c r="J8" s="39">
        <f>IFERROR((SUMIF('C5 GEG LR Aktual'!$D$5:$O$5,"&lt;="&amp;'C1 GEG Setting'!$C$6,'C5 GEG LR Aktual'!$D$18:$O$18))*1000000/(SUMIF('C3 GEG Ops Aktual'!$D$5:$O$5,"&lt;="&amp;'C1 GEG Setting'!$C$6,'C3 GEG Ops Aktual'!$D$8:$O$8))/(IFERROR(AVERAGEIFS('C3 GEG Ops Aktual'!$D$25:$O$25,'C3 GEG Ops Aktual'!$D$5:$O$5,"&lt;="&amp;'C1 GEG Setting'!$C$6),0)),0)</f>
        <v/>
      </c>
      <c r="K8" s="39">
        <f>IFERROR((SUMIF('C4 GEG LR Budget'!$D$5:$O$5,"&lt;="&amp;'C1 GEG Setting'!$C$6,'C4 GEG LR Budget'!$D$18:$O$18))*1000000/(SUMIF('C2 GEG Ops Budget'!$D$5:$O$5,"&lt;="&amp;'C1 GEG Setting'!$C$6,'C2 GEG Ops Budget'!$D$8:$O$8))/(IFERROR(AVERAGEIFS('C2 GEG Ops Budget'!$D$25:$O$25,'C2 GEG Ops Budget'!$D$5:$O$5,"&lt;="&amp;'C1 GEG Setting'!$C$6),0)),0)</f>
        <v/>
      </c>
      <c r="L8" s="47">
        <f>IFERROR(J8-K8,0)</f>
        <v/>
      </c>
      <c r="M8" s="24">
        <f>IFERROR(L8/ABS(K8),"")</f>
        <v/>
      </c>
      <c r="N8" s="76" t="n"/>
    </row>
    <row r="9">
      <c r="A9" s="10" t="inlineStr">
        <is>
          <t xml:space="preserve">   Peledakan (drill &amp; blast)</t>
        </is>
      </c>
      <c r="B9" s="3" t="inlineStr">
        <is>
          <t>USD/bcm</t>
        </is>
      </c>
      <c r="C9" s="39">
        <f>IFERROR((IF('C1 GEG Setting'!$C$6=1,0,INDEX('C5 GEG LR Aktual'!$D$19:$O$19,'C1 GEG Setting'!$C$6-1)))*1000000/(IF('C1 GEG Setting'!$C$6=1,0,INDEX('C3 GEG Ops Aktual'!$D$8:$O$8,'C1 GEG Setting'!$C$6-1)))/(IF('C1 GEG Setting'!$C$6=1,0,INDEX('C3 GEG Ops Aktual'!$D$25:$O$25,'C1 GEG Setting'!$C$6-1))),0)</f>
        <v/>
      </c>
      <c r="D9" s="39">
        <f>IFERROR((INDEX('C5 GEG LR Aktual'!$D$19:$O$19,'C1 GEG Setting'!$C$6))*1000000/(INDEX('C3 GEG Ops Aktual'!$D$8:$O$8,'C1 GEG Setting'!$C$6))/(INDEX('C3 GEG Ops Aktual'!$D$25:$O$25,'C1 GEG Setting'!$C$6)),0)</f>
        <v/>
      </c>
      <c r="E9" s="47">
        <f>IFERROR(D9-C9,0)</f>
        <v/>
      </c>
      <c r="F9" s="24">
        <f>IFERROR(E9/ABS(C9),"")</f>
        <v/>
      </c>
      <c r="G9" s="39">
        <f>IFERROR((INDEX('C4 GEG LR Budget'!$D$19:$O$19,'C1 GEG Setting'!$C$6))*1000000/(INDEX('C2 GEG Ops Budget'!$D$8:$O$8,'C1 GEG Setting'!$C$6))/(INDEX('C2 GEG Ops Budget'!$D$25:$O$25,'C1 GEG Setting'!$C$6)),0)</f>
        <v/>
      </c>
      <c r="H9" s="47">
        <f>IFERROR(D9-G9,0)</f>
        <v/>
      </c>
      <c r="I9" s="24">
        <f>IFERROR(H9/ABS(G9),"")</f>
        <v/>
      </c>
      <c r="J9" s="39">
        <f>IFERROR((SUMIF('C5 GEG LR Aktual'!$D$5:$O$5,"&lt;="&amp;'C1 GEG Setting'!$C$6,'C5 GEG LR Aktual'!$D$19:$O$19))*1000000/(SUMIF('C3 GEG Ops Aktual'!$D$5:$O$5,"&lt;="&amp;'C1 GEG Setting'!$C$6,'C3 GEG Ops Aktual'!$D$8:$O$8))/(IFERROR(AVERAGEIFS('C3 GEG Ops Aktual'!$D$25:$O$25,'C3 GEG Ops Aktual'!$D$5:$O$5,"&lt;="&amp;'C1 GEG Setting'!$C$6),0)),0)</f>
        <v/>
      </c>
      <c r="K9" s="39">
        <f>IFERROR((SUMIF('C4 GEG LR Budget'!$D$5:$O$5,"&lt;="&amp;'C1 GEG Setting'!$C$6,'C4 GEG LR Budget'!$D$19:$O$19))*1000000/(SUMIF('C2 GEG Ops Budget'!$D$5:$O$5,"&lt;="&amp;'C1 GEG Setting'!$C$6,'C2 GEG Ops Budget'!$D$8:$O$8))/(IFERROR(AVERAGEIFS('C2 GEG Ops Budget'!$D$25:$O$25,'C2 GEG Ops Budget'!$D$5:$O$5,"&lt;="&amp;'C1 GEG Setting'!$C$6),0)),0)</f>
        <v/>
      </c>
      <c r="L9" s="47">
        <f>IFERROR(J9-K9,0)</f>
        <v/>
      </c>
      <c r="M9" s="24">
        <f>IFERROR(L9/ABS(K9),"")</f>
        <v/>
      </c>
      <c r="N9" s="76" t="n"/>
    </row>
    <row r="10">
      <c r="A10" s="48" t="inlineStr">
        <is>
          <t>COST PER BCM – PENGUPASAN OB</t>
        </is>
      </c>
      <c r="B10" s="49" t="inlineStr">
        <is>
          <t>USD/bcm</t>
        </is>
      </c>
      <c r="C10" s="52">
        <f>IFERROR((IF('C1 GEG Setting'!$C$6=1,0,INDEX('C5 GEG LR Aktual'!$D$17:$O$17,'C1 GEG Setting'!$C$6-1))+IF('C1 GEG Setting'!$C$6=1,0,INDEX('C5 GEG LR Aktual'!$D$18:$O$18,'C1 GEG Setting'!$C$6-1))+IF('C1 GEG Setting'!$C$6=1,0,INDEX('C5 GEG LR Aktual'!$D$19:$O$19,'C1 GEG Setting'!$C$6-1)))*1000000/(IF('C1 GEG Setting'!$C$6=1,0,INDEX('C3 GEG Ops Aktual'!$D$8:$O$8,'C1 GEG Setting'!$C$6-1)))/(IF('C1 GEG Setting'!$C$6=1,0,INDEX('C3 GEG Ops Aktual'!$D$25:$O$25,'C1 GEG Setting'!$C$6-1))),0)</f>
        <v/>
      </c>
      <c r="D10" s="52">
        <f>IFERROR((INDEX('C5 GEG LR Aktual'!$D$17:$O$17,'C1 GEG Setting'!$C$6)+INDEX('C5 GEG LR Aktual'!$D$18:$O$18,'C1 GEG Setting'!$C$6)+INDEX('C5 GEG LR Aktual'!$D$19:$O$19,'C1 GEG Setting'!$C$6))*1000000/(INDEX('C3 GEG Ops Aktual'!$D$8:$O$8,'C1 GEG Setting'!$C$6))/(INDEX('C3 GEG Ops Aktual'!$D$25:$O$25,'C1 GEG Setting'!$C$6)),0)</f>
        <v/>
      </c>
      <c r="E10" s="53">
        <f>IFERROR(D10-C10,0)</f>
        <v/>
      </c>
      <c r="F10" s="54">
        <f>IFERROR(E10/ABS(C10),"")</f>
        <v/>
      </c>
      <c r="G10" s="52">
        <f>IFERROR((INDEX('C4 GEG LR Budget'!$D$17:$O$17,'C1 GEG Setting'!$C$6)+INDEX('C4 GEG LR Budget'!$D$18:$O$18,'C1 GEG Setting'!$C$6)+INDEX('C4 GEG LR Budget'!$D$19:$O$19,'C1 GEG Setting'!$C$6))*1000000/(INDEX('C2 GEG Ops Budget'!$D$8:$O$8,'C1 GEG Setting'!$C$6))/(INDEX('C2 GEG Ops Budget'!$D$25:$O$25,'C1 GEG Setting'!$C$6)),0)</f>
        <v/>
      </c>
      <c r="H10" s="53">
        <f>IFERROR(D10-G10,0)</f>
        <v/>
      </c>
      <c r="I10" s="54">
        <f>IFERROR(H10/ABS(G10),"")</f>
        <v/>
      </c>
      <c r="J10" s="52">
        <f>IFERROR((SUMIF('C5 GEG LR Aktual'!$D$5:$O$5,"&lt;="&amp;'C1 GEG Setting'!$C$6,'C5 GEG LR Aktual'!$D$17:$O$17)+SUMIF('C5 GEG LR Aktual'!$D$5:$O$5,"&lt;="&amp;'C1 GEG Setting'!$C$6,'C5 GEG LR Aktual'!$D$18:$O$18)+SUMIF('C5 GEG LR Aktual'!$D$5:$O$5,"&lt;="&amp;'C1 GEG Setting'!$C$6,'C5 GEG LR Aktual'!$D$19:$O$19))*1000000/(SUMIF('C3 GEG Ops Aktual'!$D$5:$O$5,"&lt;="&amp;'C1 GEG Setting'!$C$6,'C3 GEG Ops Aktual'!$D$8:$O$8))/(IFERROR(AVERAGEIFS('C3 GEG Ops Aktual'!$D$25:$O$25,'C3 GEG Ops Aktual'!$D$5:$O$5,"&lt;="&amp;'C1 GEG Setting'!$C$6),0)),0)</f>
        <v/>
      </c>
      <c r="K10" s="52">
        <f>IFERROR((SUMIF('C4 GEG LR Budget'!$D$5:$O$5,"&lt;="&amp;'C1 GEG Setting'!$C$6,'C4 GEG LR Budget'!$D$17:$O$17)+SUMIF('C4 GEG LR Budget'!$D$5:$O$5,"&lt;="&amp;'C1 GEG Setting'!$C$6,'C4 GEG LR Budget'!$D$18:$O$18)+SUMIF('C4 GEG LR Budget'!$D$5:$O$5,"&lt;="&amp;'C1 GEG Setting'!$C$6,'C4 GEG LR Budget'!$D$19:$O$19))*1000000/(SUMIF('C2 GEG Ops Budget'!$D$5:$O$5,"&lt;="&amp;'C1 GEG Setting'!$C$6,'C2 GEG Ops Budget'!$D$8:$O$8))/(IFERROR(AVERAGEIFS('C2 GEG Ops Budget'!$D$25:$O$25,'C2 GEG Ops Budget'!$D$5:$O$5,"&lt;="&amp;'C1 GEG Setting'!$C$6),0)),0)</f>
        <v/>
      </c>
      <c r="L10" s="53">
        <f>IFERROR(J10-K10,0)</f>
        <v/>
      </c>
      <c r="M10" s="54">
        <f>IFERROR(L10/ABS(K10),"")</f>
        <v/>
      </c>
      <c r="N10" s="108" t="n"/>
    </row>
    <row r="11">
      <c r="A11" s="10" t="inlineStr">
        <is>
          <t xml:space="preserve">   Biaya tambang tetap (sewa alat, jalan, dewatering, survei)</t>
        </is>
      </c>
      <c r="B11" s="3" t="inlineStr">
        <is>
          <t>USD/bcm</t>
        </is>
      </c>
      <c r="C11" s="39">
        <f>IFERROR((IF('C1 GEG Setting'!$C$6=1,0,INDEX('C5 GEG LR Aktual'!$D$21:$O$21,'C1 GEG Setting'!$C$6-1))+IF('C1 GEG Setting'!$C$6=1,0,INDEX('C5 GEG LR Aktual'!$D$22:$O$22,'C1 GEG Setting'!$C$6-1))+IF('C1 GEG Setting'!$C$6=1,0,INDEX('C5 GEG LR Aktual'!$D$23:$O$23,'C1 GEG Setting'!$C$6-1))+IF('C1 GEG Setting'!$C$6=1,0,INDEX('C5 GEG LR Aktual'!$D$24:$O$24,'C1 GEG Setting'!$C$6-1)))*1000000/(IF('C1 GEG Setting'!$C$6=1,0,INDEX('C3 GEG Ops Aktual'!$D$8:$O$8,'C1 GEG Setting'!$C$6-1)))/(IF('C1 GEG Setting'!$C$6=1,0,INDEX('C3 GEG Ops Aktual'!$D$25:$O$25,'C1 GEG Setting'!$C$6-1))),0)</f>
        <v/>
      </c>
      <c r="D11" s="39">
        <f>IFERROR((INDEX('C5 GEG LR Aktual'!$D$21:$O$21,'C1 GEG Setting'!$C$6)+INDEX('C5 GEG LR Aktual'!$D$22:$O$22,'C1 GEG Setting'!$C$6)+INDEX('C5 GEG LR Aktual'!$D$23:$O$23,'C1 GEG Setting'!$C$6)+INDEX('C5 GEG LR Aktual'!$D$24:$O$24,'C1 GEG Setting'!$C$6))*1000000/(INDEX('C3 GEG Ops Aktual'!$D$8:$O$8,'C1 GEG Setting'!$C$6))/(INDEX('C3 GEG Ops Aktual'!$D$25:$O$25,'C1 GEG Setting'!$C$6)),0)</f>
        <v/>
      </c>
      <c r="E11" s="47">
        <f>IFERROR(D11-C11,0)</f>
        <v/>
      </c>
      <c r="F11" s="24">
        <f>IFERROR(E11/ABS(C11),"")</f>
        <v/>
      </c>
      <c r="G11" s="39">
        <f>IFERROR((INDEX('C4 GEG LR Budget'!$D$21:$O$21,'C1 GEG Setting'!$C$6)+INDEX('C4 GEG LR Budget'!$D$22:$O$22,'C1 GEG Setting'!$C$6)+INDEX('C4 GEG LR Budget'!$D$23:$O$23,'C1 GEG Setting'!$C$6)+INDEX('C4 GEG LR Budget'!$D$24:$O$24,'C1 GEG Setting'!$C$6))*1000000/(INDEX('C2 GEG Ops Budget'!$D$8:$O$8,'C1 GEG Setting'!$C$6))/(INDEX('C2 GEG Ops Budget'!$D$25:$O$25,'C1 GEG Setting'!$C$6)),0)</f>
        <v/>
      </c>
      <c r="H11" s="47">
        <f>IFERROR(D11-G11,0)</f>
        <v/>
      </c>
      <c r="I11" s="24">
        <f>IFERROR(H11/ABS(G11),"")</f>
        <v/>
      </c>
      <c r="J11" s="39">
        <f>IFERROR((SUMIF('C5 GEG LR Aktual'!$D$5:$O$5,"&lt;="&amp;'C1 GEG Setting'!$C$6,'C5 GEG LR Aktual'!$D$21:$O$21)+SUMIF('C5 GEG LR Aktual'!$D$5:$O$5,"&lt;="&amp;'C1 GEG Setting'!$C$6,'C5 GEG LR Aktual'!$D$22:$O$22)+SUMIF('C5 GEG LR Aktual'!$D$5:$O$5,"&lt;="&amp;'C1 GEG Setting'!$C$6,'C5 GEG LR Aktual'!$D$23:$O$23)+SUMIF('C5 GEG LR Aktual'!$D$5:$O$5,"&lt;="&amp;'C1 GEG Setting'!$C$6,'C5 GEG LR Aktual'!$D$24:$O$24))*1000000/(SUMIF('C3 GEG Ops Aktual'!$D$5:$O$5,"&lt;="&amp;'C1 GEG Setting'!$C$6,'C3 GEG Ops Aktual'!$D$8:$O$8))/(IFERROR(AVERAGEIFS('C3 GEG Ops Aktual'!$D$25:$O$25,'C3 GEG Ops Aktual'!$D$5:$O$5,"&lt;="&amp;'C1 GEG Setting'!$C$6),0)),0)</f>
        <v/>
      </c>
      <c r="K11" s="39">
        <f>IFERROR((SUMIF('C4 GEG LR Budget'!$D$5:$O$5,"&lt;="&amp;'C1 GEG Setting'!$C$6,'C4 GEG LR Budget'!$D$21:$O$21)+SUMIF('C4 GEG LR Budget'!$D$5:$O$5,"&lt;="&amp;'C1 GEG Setting'!$C$6,'C4 GEG LR Budget'!$D$22:$O$22)+SUMIF('C4 GEG LR Budget'!$D$5:$O$5,"&lt;="&amp;'C1 GEG Setting'!$C$6,'C4 GEG LR Budget'!$D$23:$O$23)+SUMIF('C4 GEG LR Budget'!$D$5:$O$5,"&lt;="&amp;'C1 GEG Setting'!$C$6,'C4 GEG LR Budget'!$D$24:$O$24))*1000000/(SUMIF('C2 GEG Ops Budget'!$D$5:$O$5,"&lt;="&amp;'C1 GEG Setting'!$C$6,'C2 GEG Ops Budget'!$D$8:$O$8))/(IFERROR(AVERAGEIFS('C2 GEG Ops Budget'!$D$25:$O$25,'C2 GEG Ops Budget'!$D$5:$O$5,"&lt;="&amp;'C1 GEG Setting'!$C$6),0)),0)</f>
        <v/>
      </c>
      <c r="L11" s="47">
        <f>IFERROR(J11-K11,0)</f>
        <v/>
      </c>
      <c r="M11" s="24">
        <f>IFERROR(L11/ABS(K11),"")</f>
        <v/>
      </c>
      <c r="N11" s="76" t="n"/>
    </row>
    <row r="12">
      <c r="A12" s="48" t="inlineStr">
        <is>
          <t>ALL-IN MINING COST PER BCM (total biaya penambangan ÷ bcm)</t>
        </is>
      </c>
      <c r="B12" s="49" t="inlineStr">
        <is>
          <t>USD/bcm</t>
        </is>
      </c>
      <c r="C12" s="52">
        <f>IFERROR((IF('C1 GEG Setting'!$C$6=1,0,INDEX('C5 GEG LR Aktual'!$D$25:$O$25,'C1 GEG Setting'!$C$6-1)))*1000000/(IF('C1 GEG Setting'!$C$6=1,0,INDEX('C3 GEG Ops Aktual'!$D$8:$O$8,'C1 GEG Setting'!$C$6-1)))/(IF('C1 GEG Setting'!$C$6=1,0,INDEX('C3 GEG Ops Aktual'!$D$25:$O$25,'C1 GEG Setting'!$C$6-1))),0)</f>
        <v/>
      </c>
      <c r="D12" s="52">
        <f>IFERROR((INDEX('C5 GEG LR Aktual'!$D$25:$O$25,'C1 GEG Setting'!$C$6))*1000000/(INDEX('C3 GEG Ops Aktual'!$D$8:$O$8,'C1 GEG Setting'!$C$6))/(INDEX('C3 GEG Ops Aktual'!$D$25:$O$25,'C1 GEG Setting'!$C$6)),0)</f>
        <v/>
      </c>
      <c r="E12" s="53">
        <f>IFERROR(D12-C12,0)</f>
        <v/>
      </c>
      <c r="F12" s="54">
        <f>IFERROR(E12/ABS(C12),"")</f>
        <v/>
      </c>
      <c r="G12" s="52">
        <f>IFERROR((INDEX('C4 GEG LR Budget'!$D$25:$O$25,'C1 GEG Setting'!$C$6))*1000000/(INDEX('C2 GEG Ops Budget'!$D$8:$O$8,'C1 GEG Setting'!$C$6))/(INDEX('C2 GEG Ops Budget'!$D$25:$O$25,'C1 GEG Setting'!$C$6)),0)</f>
        <v/>
      </c>
      <c r="H12" s="53">
        <f>IFERROR(D12-G12,0)</f>
        <v/>
      </c>
      <c r="I12" s="54">
        <f>IFERROR(H12/ABS(G12),"")</f>
        <v/>
      </c>
      <c r="J12" s="52">
        <f>IFERROR((SUMIF('C5 GEG LR Aktual'!$D$5:$O$5,"&lt;="&amp;'C1 GEG Setting'!$C$6,'C5 GEG LR Aktual'!$D$25:$O$25))*1000000/(SUMIF('C3 GEG Ops Aktual'!$D$5:$O$5,"&lt;="&amp;'C1 GEG Setting'!$C$6,'C3 GEG Ops Aktual'!$D$8:$O$8))/(IFERROR(AVERAGEIFS('C3 GEG Ops Aktual'!$D$25:$O$25,'C3 GEG Ops Aktual'!$D$5:$O$5,"&lt;="&amp;'C1 GEG Setting'!$C$6),0)),0)</f>
        <v/>
      </c>
      <c r="K12" s="52">
        <f>IFERROR((SUMIF('C4 GEG LR Budget'!$D$5:$O$5,"&lt;="&amp;'C1 GEG Setting'!$C$6,'C4 GEG LR Budget'!$D$25:$O$25))*1000000/(SUMIF('C2 GEG Ops Budget'!$D$5:$O$5,"&lt;="&amp;'C1 GEG Setting'!$C$6,'C2 GEG Ops Budget'!$D$8:$O$8))/(IFERROR(AVERAGEIFS('C2 GEG Ops Budget'!$D$25:$O$25,'C2 GEG Ops Budget'!$D$5:$O$5,"&lt;="&amp;'C1 GEG Setting'!$C$6),0)),0)</f>
        <v/>
      </c>
      <c r="L12" s="53">
        <f>IFERROR(J12-K12,0)</f>
        <v/>
      </c>
      <c r="M12" s="54">
        <f>IFERROR(L12/ABS(K12),"")</f>
        <v/>
      </c>
      <c r="N12" s="108" t="n"/>
    </row>
    <row r="13"/>
    <row r="14">
      <c r="A14" s="4" t="inlineStr">
        <is>
          <t>A2. COST PER BCM dalam Rupiah (Rp/bcm)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32" customHeight="1">
      <c r="A15" s="16" t="inlineStr">
        <is>
          <t>Komponen</t>
        </is>
      </c>
      <c r="B15" s="16" t="inlineStr">
        <is>
          <t>Satuan</t>
        </is>
      </c>
      <c r="C15" s="16" t="inlineStr">
        <is>
          <t>Bulan lalu
Aktual</t>
        </is>
      </c>
      <c r="D15" s="16" t="inlineStr">
        <is>
          <t>Bulan ini
Aktual</t>
        </is>
      </c>
      <c r="E15" s="16" t="inlineStr">
        <is>
          <t>Var MoM</t>
        </is>
      </c>
      <c r="F15" s="16" t="inlineStr">
        <is>
          <t>Var MoM %</t>
        </is>
      </c>
      <c r="G15" s="16" t="inlineStr">
        <is>
          <t>Bulan ini
Budget</t>
        </is>
      </c>
      <c r="H15" s="16" t="inlineStr">
        <is>
          <t>Var vs Budget</t>
        </is>
      </c>
      <c r="I15" s="16" t="inlineStr">
        <is>
          <t>Var %</t>
        </is>
      </c>
      <c r="J15" s="16" t="inlineStr">
        <is>
          <t>YTD
Aktual</t>
        </is>
      </c>
      <c r="K15" s="16" t="inlineStr">
        <is>
          <t>YTD
Budget</t>
        </is>
      </c>
      <c r="L15" s="16" t="inlineStr">
        <is>
          <t>Var YTD</t>
        </is>
      </c>
      <c r="M15" s="16" t="inlineStr">
        <is>
          <t>Var YTD %</t>
        </is>
      </c>
      <c r="N15" s="16" t="inlineStr">
        <is>
          <t>Catatan / penjelasan varians (diisi FP&amp;A)</t>
        </is>
      </c>
    </row>
    <row r="16">
      <c r="A16" s="48" t="inlineStr">
        <is>
          <t>Cost per BCM – pengupasan OB</t>
        </is>
      </c>
      <c r="B16" s="49" t="inlineStr">
        <is>
          <t>Rp/bcm</t>
        </is>
      </c>
      <c r="C16" s="50">
        <f>IFERROR((IF('C1 GEG Setting'!$C$6=1,0,INDEX('C5 GEG LR Aktual'!$D$17:$O$17,'C1 GEG Setting'!$C$6-1))+IF('C1 GEG Setting'!$C$6=1,0,INDEX('C5 GEG LR Aktual'!$D$18:$O$18,'C1 GEG Setting'!$C$6-1))+IF('C1 GEG Setting'!$C$6=1,0,INDEX('C5 GEG LR Aktual'!$D$19:$O$19,'C1 GEG Setting'!$C$6-1)))*1000000/(IF('C1 GEG Setting'!$C$6=1,0,INDEX('C3 GEG Ops Aktual'!$D$8:$O$8,'C1 GEG Setting'!$C$6-1))),0)</f>
        <v/>
      </c>
      <c r="D16" s="50">
        <f>IFERROR((INDEX('C5 GEG LR Aktual'!$D$17:$O$17,'C1 GEG Setting'!$C$6)+INDEX('C5 GEG LR Aktual'!$D$18:$O$18,'C1 GEG Setting'!$C$6)+INDEX('C5 GEG LR Aktual'!$D$19:$O$19,'C1 GEG Setting'!$C$6))*1000000/(INDEX('C3 GEG Ops Aktual'!$D$8:$O$8,'C1 GEG Setting'!$C$6)),0)</f>
        <v/>
      </c>
      <c r="E16" s="107">
        <f>IFERROR(D16-C16,0)</f>
        <v/>
      </c>
      <c r="F16" s="54">
        <f>IFERROR(E16/ABS(C16),"")</f>
        <v/>
      </c>
      <c r="G16" s="50">
        <f>IFERROR((INDEX('C4 GEG LR Budget'!$D$17:$O$17,'C1 GEG Setting'!$C$6)+INDEX('C4 GEG LR Budget'!$D$18:$O$18,'C1 GEG Setting'!$C$6)+INDEX('C4 GEG LR Budget'!$D$19:$O$19,'C1 GEG Setting'!$C$6))*1000000/(INDEX('C2 GEG Ops Budget'!$D$8:$O$8,'C1 GEG Setting'!$C$6)),0)</f>
        <v/>
      </c>
      <c r="H16" s="107">
        <f>IFERROR(D16-G16,0)</f>
        <v/>
      </c>
      <c r="I16" s="54">
        <f>IFERROR(H16/ABS(G16),"")</f>
        <v/>
      </c>
      <c r="J16" s="50">
        <f>IFERROR((SUMIF('C5 GEG LR Aktual'!$D$5:$O$5,"&lt;="&amp;'C1 GEG Setting'!$C$6,'C5 GEG LR Aktual'!$D$17:$O$17)+SUMIF('C5 GEG LR Aktual'!$D$5:$O$5,"&lt;="&amp;'C1 GEG Setting'!$C$6,'C5 GEG LR Aktual'!$D$18:$O$18)+SUMIF('C5 GEG LR Aktual'!$D$5:$O$5,"&lt;="&amp;'C1 GEG Setting'!$C$6,'C5 GEG LR Aktual'!$D$19:$O$19))*1000000/(SUMIF('C3 GEG Ops Aktual'!$D$5:$O$5,"&lt;="&amp;'C1 GEG Setting'!$C$6,'C3 GEG Ops Aktual'!$D$8:$O$8)),0)</f>
        <v/>
      </c>
      <c r="K16" s="50">
        <f>IFERROR((SUMIF('C4 GEG LR Budget'!$D$5:$O$5,"&lt;="&amp;'C1 GEG Setting'!$C$6,'C4 GEG LR Budget'!$D$17:$O$17)+SUMIF('C4 GEG LR Budget'!$D$5:$O$5,"&lt;="&amp;'C1 GEG Setting'!$C$6,'C4 GEG LR Budget'!$D$18:$O$18)+SUMIF('C4 GEG LR Budget'!$D$5:$O$5,"&lt;="&amp;'C1 GEG Setting'!$C$6,'C4 GEG LR Budget'!$D$19:$O$19))*1000000/(SUMIF('C2 GEG Ops Budget'!$D$5:$O$5,"&lt;="&amp;'C1 GEG Setting'!$C$6,'C2 GEG Ops Budget'!$D$8:$O$8)),0)</f>
        <v/>
      </c>
      <c r="L16" s="107">
        <f>IFERROR(J16-K16,0)</f>
        <v/>
      </c>
      <c r="M16" s="54">
        <f>IFERROR(L16/ABS(K16),"")</f>
        <v/>
      </c>
      <c r="N16" s="108" t="n"/>
    </row>
    <row r="17">
      <c r="A17" s="48" t="inlineStr">
        <is>
          <t>All-in mining cost per BCM</t>
        </is>
      </c>
      <c r="B17" s="49" t="inlineStr">
        <is>
          <t>Rp/bcm</t>
        </is>
      </c>
      <c r="C17" s="50">
        <f>IFERROR((IF('C1 GEG Setting'!$C$6=1,0,INDEX('C5 GEG LR Aktual'!$D$25:$O$25,'C1 GEG Setting'!$C$6-1)))*1000000/(IF('C1 GEG Setting'!$C$6=1,0,INDEX('C3 GEG Ops Aktual'!$D$8:$O$8,'C1 GEG Setting'!$C$6-1))),0)</f>
        <v/>
      </c>
      <c r="D17" s="50">
        <f>IFERROR((INDEX('C5 GEG LR Aktual'!$D$25:$O$25,'C1 GEG Setting'!$C$6))*1000000/(INDEX('C3 GEG Ops Aktual'!$D$8:$O$8,'C1 GEG Setting'!$C$6)),0)</f>
        <v/>
      </c>
      <c r="E17" s="107">
        <f>IFERROR(D17-C17,0)</f>
        <v/>
      </c>
      <c r="F17" s="54">
        <f>IFERROR(E17/ABS(C17),"")</f>
        <v/>
      </c>
      <c r="G17" s="50">
        <f>IFERROR((INDEX('C4 GEG LR Budget'!$D$25:$O$25,'C1 GEG Setting'!$C$6))*1000000/(INDEX('C2 GEG Ops Budget'!$D$8:$O$8,'C1 GEG Setting'!$C$6)),0)</f>
        <v/>
      </c>
      <c r="H17" s="107">
        <f>IFERROR(D17-G17,0)</f>
        <v/>
      </c>
      <c r="I17" s="54">
        <f>IFERROR(H17/ABS(G17),"")</f>
        <v/>
      </c>
      <c r="J17" s="50">
        <f>IFERROR((SUMIF('C5 GEG LR Aktual'!$D$5:$O$5,"&lt;="&amp;'C1 GEG Setting'!$C$6,'C5 GEG LR Aktual'!$D$25:$O$25))*1000000/(SUMIF('C3 GEG Ops Aktual'!$D$5:$O$5,"&lt;="&amp;'C1 GEG Setting'!$C$6,'C3 GEG Ops Aktual'!$D$8:$O$8)),0)</f>
        <v/>
      </c>
      <c r="K17" s="50">
        <f>IFERROR((SUMIF('C4 GEG LR Budget'!$D$5:$O$5,"&lt;="&amp;'C1 GEG Setting'!$C$6,'C4 GEG LR Budget'!$D$25:$O$25))*1000000/(SUMIF('C2 GEG Ops Budget'!$D$5:$O$5,"&lt;="&amp;'C1 GEG Setting'!$C$6,'C2 GEG Ops Budget'!$D$8:$O$8)),0)</f>
        <v/>
      </c>
      <c r="L17" s="107">
        <f>IFERROR(J17-K17,0)</f>
        <v/>
      </c>
      <c r="M17" s="54">
        <f>IFERROR(L17/ABS(K17),"")</f>
        <v/>
      </c>
      <c r="N17" s="108" t="n"/>
    </row>
    <row r="18"/>
    <row r="19">
      <c r="A19" s="4" t="inlineStr">
        <is>
          <t>B. COST PER MT BATUBARA TERJUAL (USD/MT)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32" customHeight="1">
      <c r="A20" s="16" t="inlineStr">
        <is>
          <t>Komponen</t>
        </is>
      </c>
      <c r="B20" s="16" t="inlineStr">
        <is>
          <t>Satuan</t>
        </is>
      </c>
      <c r="C20" s="16" t="inlineStr">
        <is>
          <t>Bulan lalu
Aktual</t>
        </is>
      </c>
      <c r="D20" s="16" t="inlineStr">
        <is>
          <t>Bulan ini
Aktual</t>
        </is>
      </c>
      <c r="E20" s="16" t="inlineStr">
        <is>
          <t>Var MoM</t>
        </is>
      </c>
      <c r="F20" s="16" t="inlineStr">
        <is>
          <t>Var MoM %</t>
        </is>
      </c>
      <c r="G20" s="16" t="inlineStr">
        <is>
          <t>Bulan ini
Budget</t>
        </is>
      </c>
      <c r="H20" s="16" t="inlineStr">
        <is>
          <t>Var vs Budget</t>
        </is>
      </c>
      <c r="I20" s="16" t="inlineStr">
        <is>
          <t>Var %</t>
        </is>
      </c>
      <c r="J20" s="16" t="inlineStr">
        <is>
          <t>YTD
Aktual</t>
        </is>
      </c>
      <c r="K20" s="16" t="inlineStr">
        <is>
          <t>YTD
Budget</t>
        </is>
      </c>
      <c r="L20" s="16" t="inlineStr">
        <is>
          <t>Var YTD</t>
        </is>
      </c>
      <c r="M20" s="16" t="inlineStr">
        <is>
          <t>Var YTD %</t>
        </is>
      </c>
      <c r="N20" s="16" t="inlineStr">
        <is>
          <t>Catatan / penjelasan varians (diisi FP&amp;A)</t>
        </is>
      </c>
    </row>
    <row r="21">
      <c r="A21" s="10" t="inlineStr">
        <is>
          <t xml:space="preserve">   Volume penjualan (MT)</t>
        </is>
      </c>
      <c r="B21" s="3" t="inlineStr">
        <is>
          <t>MT</t>
        </is>
      </c>
      <c r="C21" s="28">
        <f>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</f>
        <v/>
      </c>
      <c r="D21" s="28">
        <f>(INDEX('C3 GEG Ops Aktual'!$D$16:$O$16,'C1 GEG Setting'!$C$6)+INDEX('C3 GEG Ops Aktual'!$D$17:$O$17,'C1 GEG Setting'!$C$6)+INDEX('C3 GEG Ops Aktual'!$D$18:$O$18,'C1 GEG Setting'!$C$6))</f>
        <v/>
      </c>
      <c r="E21" s="19">
        <f>IFERROR(D21-C21,0)</f>
        <v/>
      </c>
      <c r="F21" s="24">
        <f>IFERROR(E21/ABS(C21),"")</f>
        <v/>
      </c>
      <c r="G21" s="28">
        <f>(INDEX('C2 GEG Ops Budget'!$D$16:$O$16,'C1 GEG Setting'!$C$6)+INDEX('C2 GEG Ops Budget'!$D$17:$O$17,'C1 GEG Setting'!$C$6)+INDEX('C2 GEG Ops Budget'!$D$18:$O$18,'C1 GEG Setting'!$C$6))</f>
        <v/>
      </c>
      <c r="H21" s="19">
        <f>IFERROR(D21-G21,0)</f>
        <v/>
      </c>
      <c r="I21" s="24">
        <f>IFERROR(H21/ABS(G21),"")</f>
        <v/>
      </c>
      <c r="J21" s="28">
        <f>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</f>
        <v/>
      </c>
      <c r="K21" s="28">
        <f>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</f>
        <v/>
      </c>
      <c r="L21" s="19">
        <f>IFERROR(J21-K21,0)</f>
        <v/>
      </c>
      <c r="M21" s="24">
        <f>IFERROR(L21/ABS(K21),"")</f>
        <v/>
      </c>
      <c r="N21" s="76" t="n"/>
    </row>
    <row r="22">
      <c r="A22" s="10" t="inlineStr">
        <is>
          <t xml:space="preserve">   Pengupasan OB (kontraktor + BBM + peledakan)</t>
        </is>
      </c>
      <c r="B22" s="3" t="inlineStr">
        <is>
          <t>USD/MT</t>
        </is>
      </c>
      <c r="C22" s="39">
        <f>IFERROR((IF('C1 GEG Setting'!$C$6=1,0,INDEX('C5 GEG LR Aktual'!$D$17:$O$17,'C1 GEG Setting'!$C$6-1))+IF('C1 GEG Setting'!$C$6=1,0,INDEX('C5 GEG LR Aktual'!$D$18:$O$18,'C1 GEG Setting'!$C$6-1))+IF('C1 GEG Setting'!$C$6=1,0,INDEX('C5 GEG LR Aktual'!$D$19:$O$19,'C1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22" s="39">
        <f>IFERROR((INDEX('C5 GEG LR Aktual'!$D$17:$O$17,'C1 GEG Setting'!$C$6)+INDEX('C5 GEG LR Aktual'!$D$18:$O$18,'C1 GEG Setting'!$C$6)+INDEX('C5 GEG LR Aktual'!$D$19:$O$19,'C1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22" s="47">
        <f>IFERROR(D22-C22,0)</f>
        <v/>
      </c>
      <c r="F22" s="24">
        <f>IFERROR(E22/ABS(C22),"")</f>
        <v/>
      </c>
      <c r="G22" s="39">
        <f>IFERROR((INDEX('C4 GEG LR Budget'!$D$17:$O$17,'C1 GEG Setting'!$C$6)+INDEX('C4 GEG LR Budget'!$D$18:$O$18,'C1 GEG Setting'!$C$6)+INDEX('C4 GEG LR Budget'!$D$19:$O$19,'C1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22" s="47">
        <f>IFERROR(D22-G22,0)</f>
        <v/>
      </c>
      <c r="I22" s="24">
        <f>IFERROR(H22/ABS(G22),"")</f>
        <v/>
      </c>
      <c r="J22" s="39">
        <f>IFERROR((SUMIF('C5 GEG LR Aktual'!$D$5:$O$5,"&lt;="&amp;'C1 GEG Setting'!$C$6,'C5 GEG LR Aktual'!$D$17:$O$17)+SUMIF('C5 GEG LR Aktual'!$D$5:$O$5,"&lt;="&amp;'C1 GEG Setting'!$C$6,'C5 GEG LR Aktual'!$D$18:$O$18)+SUMIF('C5 GEG LR Aktual'!$D$5:$O$5,"&lt;="&amp;'C1 GEG Setting'!$C$6,'C5 GEG LR Aktual'!$D$19:$O$19))*1000000/((SUMIF('C3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22" s="39">
        <f>IFERROR((SUMIF('C4 GEG LR Budget'!$D$5:$O$5,"&lt;="&amp;'C1 GEG Setting'!$C$6,'C4 GEG LR Budget'!$D$17:$O$17)+SUMIF('C4 GEG LR Budget'!$D$5:$O$5,"&lt;="&amp;'C1 GEG Setting'!$C$6,'C4 GEG LR Budget'!$D$18:$O$18)+SUMIF('C4 GEG LR Budget'!$D$5:$O$5,"&lt;="&amp;'C1 GEG Setting'!$C$6,'C4 GEG LR Budget'!$D$19:$O$19))*1000000/((SUMIF('C2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22" s="47">
        <f>IFERROR(J22-K22,0)</f>
        <v/>
      </c>
      <c r="M22" s="24">
        <f>IFERROR(L22/ABS(K22),"")</f>
        <v/>
      </c>
      <c r="N22" s="76" t="n"/>
    </row>
    <row r="23">
      <c r="A23" s="10" t="inlineStr">
        <is>
          <t xml:space="preserve">   Coal getting</t>
        </is>
      </c>
      <c r="B23" s="3" t="inlineStr">
        <is>
          <t>USD/MT</t>
        </is>
      </c>
      <c r="C23" s="39">
        <f>IFERROR((IF('C1 GEG Setting'!$C$6=1,0,INDEX('C5 GEG LR Aktual'!$D$20:$O$20,'C1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23" s="39">
        <f>IFERROR((INDEX('C5 GEG LR Aktual'!$D$20:$O$20,'C1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23" s="47">
        <f>IFERROR(D23-C23,0)</f>
        <v/>
      </c>
      <c r="F23" s="24">
        <f>IFERROR(E23/ABS(C23),"")</f>
        <v/>
      </c>
      <c r="G23" s="39">
        <f>IFERROR((INDEX('C4 GEG LR Budget'!$D$20:$O$20,'C1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23" s="47">
        <f>IFERROR(D23-G23,0)</f>
        <v/>
      </c>
      <c r="I23" s="24">
        <f>IFERROR(H23/ABS(G23),"")</f>
        <v/>
      </c>
      <c r="J23" s="39">
        <f>IFERROR((SUMIF('C5 GEG LR Aktual'!$D$5:$O$5,"&lt;="&amp;'C1 GEG Setting'!$C$6,'C5 GEG LR Aktual'!$D$20:$O$20))*1000000/((SUMIF('C3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23" s="39">
        <f>IFERROR((SUMIF('C4 GEG LR Budget'!$D$5:$O$5,"&lt;="&amp;'C1 GEG Setting'!$C$6,'C4 GEG LR Budget'!$D$20:$O$20))*1000000/((SUMIF('C2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23" s="47">
        <f>IFERROR(J23-K23,0)</f>
        <v/>
      </c>
      <c r="M23" s="24">
        <f>IFERROR(L23/ABS(K23),"")</f>
        <v/>
      </c>
      <c r="N23" s="76" t="n"/>
    </row>
    <row r="24">
      <c r="A24" s="10" t="inlineStr">
        <is>
          <t xml:space="preserve">   Biaya tambang tetap</t>
        </is>
      </c>
      <c r="B24" s="3" t="inlineStr">
        <is>
          <t>USD/MT</t>
        </is>
      </c>
      <c r="C24" s="39">
        <f>IFERROR((IF('C1 GEG Setting'!$C$6=1,0,INDEX('C5 GEG LR Aktual'!$D$21:$O$21,'C1 GEG Setting'!$C$6-1))+IF('C1 GEG Setting'!$C$6=1,0,INDEX('C5 GEG LR Aktual'!$D$22:$O$22,'C1 GEG Setting'!$C$6-1))+IF('C1 GEG Setting'!$C$6=1,0,INDEX('C5 GEG LR Aktual'!$D$23:$O$23,'C1 GEG Setting'!$C$6-1))+IF('C1 GEG Setting'!$C$6=1,0,INDEX('C5 GEG LR Aktual'!$D$24:$O$24,'C1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24" s="39">
        <f>IFERROR((INDEX('C5 GEG LR Aktual'!$D$21:$O$21,'C1 GEG Setting'!$C$6)+INDEX('C5 GEG LR Aktual'!$D$22:$O$22,'C1 GEG Setting'!$C$6)+INDEX('C5 GEG LR Aktual'!$D$23:$O$23,'C1 GEG Setting'!$C$6)+INDEX('C5 GEG LR Aktual'!$D$24:$O$24,'C1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24" s="47">
        <f>IFERROR(D24-C24,0)</f>
        <v/>
      </c>
      <c r="F24" s="24">
        <f>IFERROR(E24/ABS(C24),"")</f>
        <v/>
      </c>
      <c r="G24" s="39">
        <f>IFERROR((INDEX('C4 GEG LR Budget'!$D$21:$O$21,'C1 GEG Setting'!$C$6)+INDEX('C4 GEG LR Budget'!$D$22:$O$22,'C1 GEG Setting'!$C$6)+INDEX('C4 GEG LR Budget'!$D$23:$O$23,'C1 GEG Setting'!$C$6)+INDEX('C4 GEG LR Budget'!$D$24:$O$24,'C1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24" s="47">
        <f>IFERROR(D24-G24,0)</f>
        <v/>
      </c>
      <c r="I24" s="24">
        <f>IFERROR(H24/ABS(G24),"")</f>
        <v/>
      </c>
      <c r="J24" s="39">
        <f>IFERROR((SUMIF('C5 GEG LR Aktual'!$D$5:$O$5,"&lt;="&amp;'C1 GEG Setting'!$C$6,'C5 GEG LR Aktual'!$D$21:$O$21)+SUMIF('C5 GEG LR Aktual'!$D$5:$O$5,"&lt;="&amp;'C1 GEG Setting'!$C$6,'C5 GEG LR Aktual'!$D$22:$O$22)+SUMIF('C5 GEG LR Aktual'!$D$5:$O$5,"&lt;="&amp;'C1 GEG Setting'!$C$6,'C5 GEG LR Aktual'!$D$23:$O$23)+SUMIF('C5 GEG LR Aktual'!$D$5:$O$5,"&lt;="&amp;'C1 GEG Setting'!$C$6,'C5 GEG LR Aktual'!$D$24:$O$24))*1000000/((SUMIF('C3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24" s="39">
        <f>IFERROR((SUMIF('C4 GEG LR Budget'!$D$5:$O$5,"&lt;="&amp;'C1 GEG Setting'!$C$6,'C4 GEG LR Budget'!$D$21:$O$21)+SUMIF('C4 GEG LR Budget'!$D$5:$O$5,"&lt;="&amp;'C1 GEG Setting'!$C$6,'C4 GEG LR Budget'!$D$22:$O$22)+SUMIF('C4 GEG LR Budget'!$D$5:$O$5,"&lt;="&amp;'C1 GEG Setting'!$C$6,'C4 GEG LR Budget'!$D$23:$O$23)+SUMIF('C4 GEG LR Budget'!$D$5:$O$5,"&lt;="&amp;'C1 GEG Setting'!$C$6,'C4 GEG LR Budget'!$D$24:$O$24))*1000000/((SUMIF('C2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24" s="47">
        <f>IFERROR(J24-K24,0)</f>
        <v/>
      </c>
      <c r="M24" s="24">
        <f>IFERROR(L24/ABS(K24),"")</f>
        <v/>
      </c>
      <c r="N24" s="76" t="n"/>
    </row>
    <row r="25">
      <c r="A25" s="10" t="inlineStr">
        <is>
          <t xml:space="preserve">   Crushing &amp; pengolahan</t>
        </is>
      </c>
      <c r="B25" s="3" t="inlineStr">
        <is>
          <t>USD/MT</t>
        </is>
      </c>
      <c r="C25" s="39">
        <f>IFERROR((IF('C1 GEG Setting'!$C$6=1,0,INDEX('C5 GEG LR Aktual'!$D$27:$O$27,'C1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25" s="39">
        <f>IFERROR((INDEX('C5 GEG LR Aktual'!$D$27:$O$27,'C1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25" s="47">
        <f>IFERROR(D25-C25,0)</f>
        <v/>
      </c>
      <c r="F25" s="24">
        <f>IFERROR(E25/ABS(C25),"")</f>
        <v/>
      </c>
      <c r="G25" s="39">
        <f>IFERROR((INDEX('C4 GEG LR Budget'!$D$27:$O$27,'C1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25" s="47">
        <f>IFERROR(D25-G25,0)</f>
        <v/>
      </c>
      <c r="I25" s="24">
        <f>IFERROR(H25/ABS(G25),"")</f>
        <v/>
      </c>
      <c r="J25" s="39">
        <f>IFERROR((SUMIF('C5 GEG LR Aktual'!$D$5:$O$5,"&lt;="&amp;'C1 GEG Setting'!$C$6,'C5 GEG LR Aktual'!$D$27:$O$27))*1000000/((SUMIF('C3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25" s="39">
        <f>IFERROR((SUMIF('C4 GEG LR Budget'!$D$5:$O$5,"&lt;="&amp;'C1 GEG Setting'!$C$6,'C4 GEG LR Budget'!$D$27:$O$27))*1000000/((SUMIF('C2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25" s="47">
        <f>IFERROR(J25-K25,0)</f>
        <v/>
      </c>
      <c r="M25" s="24">
        <f>IFERROR(L25/ABS(K25),"")</f>
        <v/>
      </c>
      <c r="N25" s="76" t="n"/>
    </row>
    <row r="26">
      <c r="A26" s="10" t="inlineStr">
        <is>
          <t xml:space="preserve">   Hauling</t>
        </is>
      </c>
      <c r="B26" s="3" t="inlineStr">
        <is>
          <t>USD/MT</t>
        </is>
      </c>
      <c r="C26" s="39">
        <f>IFERROR((IF('C1 GEG Setting'!$C$6=1,0,INDEX('C5 GEG LR Aktual'!$D$28:$O$28,'C1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26" s="39">
        <f>IFERROR((INDEX('C5 GEG LR Aktual'!$D$28:$O$28,'C1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26" s="47">
        <f>IFERROR(D26-C26,0)</f>
        <v/>
      </c>
      <c r="F26" s="24">
        <f>IFERROR(E26/ABS(C26),"")</f>
        <v/>
      </c>
      <c r="G26" s="39">
        <f>IFERROR((INDEX('C4 GEG LR Budget'!$D$28:$O$28,'C1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26" s="47">
        <f>IFERROR(D26-G26,0)</f>
        <v/>
      </c>
      <c r="I26" s="24">
        <f>IFERROR(H26/ABS(G26),"")</f>
        <v/>
      </c>
      <c r="J26" s="39">
        <f>IFERROR((SUMIF('C5 GEG LR Aktual'!$D$5:$O$5,"&lt;="&amp;'C1 GEG Setting'!$C$6,'C5 GEG LR Aktual'!$D$28:$O$28))*1000000/((SUMIF('C3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26" s="39">
        <f>IFERROR((SUMIF('C4 GEG LR Budget'!$D$5:$O$5,"&lt;="&amp;'C1 GEG Setting'!$C$6,'C4 GEG LR Budget'!$D$28:$O$28))*1000000/((SUMIF('C2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26" s="47">
        <f>IFERROR(J26-K26,0)</f>
        <v/>
      </c>
      <c r="M26" s="24">
        <f>IFERROR(L26/ABS(K26),"")</f>
        <v/>
      </c>
      <c r="N26" s="76" t="n"/>
    </row>
    <row r="27">
      <c r="A27" s="10" t="inlineStr">
        <is>
          <t xml:space="preserve">   Pelabuhan &amp; stockpile</t>
        </is>
      </c>
      <c r="B27" s="3" t="inlineStr">
        <is>
          <t>USD/MT</t>
        </is>
      </c>
      <c r="C27" s="39">
        <f>IFERROR((IF('C1 GEG Setting'!$C$6=1,0,INDEX('C5 GEG LR Aktual'!$D$29:$O$29,'C1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27" s="39">
        <f>IFERROR((INDEX('C5 GEG LR Aktual'!$D$29:$O$29,'C1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27" s="47">
        <f>IFERROR(D27-C27,0)</f>
        <v/>
      </c>
      <c r="F27" s="24">
        <f>IFERROR(E27/ABS(C27),"")</f>
        <v/>
      </c>
      <c r="G27" s="39">
        <f>IFERROR((INDEX('C4 GEG LR Budget'!$D$29:$O$29,'C1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27" s="47">
        <f>IFERROR(D27-G27,0)</f>
        <v/>
      </c>
      <c r="I27" s="24">
        <f>IFERROR(H27/ABS(G27),"")</f>
        <v/>
      </c>
      <c r="J27" s="39">
        <f>IFERROR((SUMIF('C5 GEG LR Aktual'!$D$5:$O$5,"&lt;="&amp;'C1 GEG Setting'!$C$6,'C5 GEG LR Aktual'!$D$29:$O$29))*1000000/((SUMIF('C3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27" s="39">
        <f>IFERROR((SUMIF('C4 GEG LR Budget'!$D$5:$O$5,"&lt;="&amp;'C1 GEG Setting'!$C$6,'C4 GEG LR Budget'!$D$29:$O$29))*1000000/((SUMIF('C2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27" s="47">
        <f>IFERROR(J27-K27,0)</f>
        <v/>
      </c>
      <c r="M27" s="24">
        <f>IFERROR(L27/ABS(K27),"")</f>
        <v/>
      </c>
      <c r="N27" s="76" t="n"/>
    </row>
    <row r="28">
      <c r="A28" s="10" t="inlineStr">
        <is>
          <t xml:space="preserve">   Tongkang &amp; transshipment</t>
        </is>
      </c>
      <c r="B28" s="3" t="inlineStr">
        <is>
          <t>USD/MT</t>
        </is>
      </c>
      <c r="C28" s="39">
        <f>IFERROR((IF('C1 GEG Setting'!$C$6=1,0,INDEX('C5 GEG LR Aktual'!$D$30:$O$30,'C1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28" s="39">
        <f>IFERROR((INDEX('C5 GEG LR Aktual'!$D$30:$O$30,'C1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28" s="47">
        <f>IFERROR(D28-C28,0)</f>
        <v/>
      </c>
      <c r="F28" s="24">
        <f>IFERROR(E28/ABS(C28),"")</f>
        <v/>
      </c>
      <c r="G28" s="39">
        <f>IFERROR((INDEX('C4 GEG LR Budget'!$D$30:$O$30,'C1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28" s="47">
        <f>IFERROR(D28-G28,0)</f>
        <v/>
      </c>
      <c r="I28" s="24">
        <f>IFERROR(H28/ABS(G28),"")</f>
        <v/>
      </c>
      <c r="J28" s="39">
        <f>IFERROR((SUMIF('C5 GEG LR Aktual'!$D$5:$O$5,"&lt;="&amp;'C1 GEG Setting'!$C$6,'C5 GEG LR Aktual'!$D$30:$O$30))*1000000/((SUMIF('C3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28" s="39">
        <f>IFERROR((SUMIF('C4 GEG LR Budget'!$D$5:$O$5,"&lt;="&amp;'C1 GEG Setting'!$C$6,'C4 GEG LR Budget'!$D$30:$O$30))*1000000/((SUMIF('C2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28" s="47">
        <f>IFERROR(J28-K28,0)</f>
        <v/>
      </c>
      <c r="M28" s="24">
        <f>IFERROR(L28/ABS(K28),"")</f>
        <v/>
      </c>
      <c r="N28" s="76" t="n"/>
    </row>
    <row r="29">
      <c r="A29" s="10" t="inlineStr">
        <is>
          <t xml:space="preserve">   Overhead site</t>
        </is>
      </c>
      <c r="B29" s="3" t="inlineStr">
        <is>
          <t>USD/MT</t>
        </is>
      </c>
      <c r="C29" s="39">
        <f>IFERROR((IF('C1 GEG Setting'!$C$6=1,0,INDEX('C5 GEG LR Aktual'!$D$41:$O$41,'C1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29" s="39">
        <f>IFERROR((INDEX('C5 GEG LR Aktual'!$D$41:$O$41,'C1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29" s="47">
        <f>IFERROR(D29-C29,0)</f>
        <v/>
      </c>
      <c r="F29" s="24">
        <f>IFERROR(E29/ABS(C29),"")</f>
        <v/>
      </c>
      <c r="G29" s="39">
        <f>IFERROR((INDEX('C4 GEG LR Budget'!$D$41:$O$41,'C1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29" s="47">
        <f>IFERROR(D29-G29,0)</f>
        <v/>
      </c>
      <c r="I29" s="24">
        <f>IFERROR(H29/ABS(G29),"")</f>
        <v/>
      </c>
      <c r="J29" s="39">
        <f>IFERROR((SUMIF('C5 GEG LR Aktual'!$D$5:$O$5,"&lt;="&amp;'C1 GEG Setting'!$C$6,'C5 GEG LR Aktual'!$D$41:$O$41))*1000000/((SUMIF('C3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29" s="39">
        <f>IFERROR((SUMIF('C4 GEG LR Budget'!$D$5:$O$5,"&lt;="&amp;'C1 GEG Setting'!$C$6,'C4 GEG LR Budget'!$D$41:$O$41))*1000000/((SUMIF('C2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29" s="47">
        <f>IFERROR(J29-K29,0)</f>
        <v/>
      </c>
      <c r="M29" s="24">
        <f>IFERROR(L29/ABS(K29),"")</f>
        <v/>
      </c>
      <c r="N29" s="76" t="n"/>
    </row>
    <row r="30">
      <c r="A30" s="48" t="inlineStr">
        <is>
          <t>CASH COST FOB excl. royalti per MT</t>
        </is>
      </c>
      <c r="B30" s="49" t="inlineStr">
        <is>
          <t>USD/MT</t>
        </is>
      </c>
      <c r="C30" s="52">
        <f>IFERROR((IF('C1 GEG Setting'!$C$6=1,0,INDEX('C5 GEG LR Aktual'!$D$25:$O$25,'C1 GEG Setting'!$C$6-1))+IF('C1 GEG Setting'!$C$6=1,0,INDEX('C5 GEG LR Aktual'!$D$31:$O$31,'C1 GEG Setting'!$C$6-1))+IF('C1 GEG Setting'!$C$6=1,0,INDEX('C5 GEG LR Aktual'!$D$41:$O$41,'C1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30" s="52">
        <f>IFERROR((INDEX('C5 GEG LR Aktual'!$D$25:$O$25,'C1 GEG Setting'!$C$6)+INDEX('C5 GEG LR Aktual'!$D$31:$O$31,'C1 GEG Setting'!$C$6)+INDEX('C5 GEG LR Aktual'!$D$41:$O$41,'C1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30" s="53">
        <f>IFERROR(D30-C30,0)</f>
        <v/>
      </c>
      <c r="F30" s="54">
        <f>IFERROR(E30/ABS(C30),"")</f>
        <v/>
      </c>
      <c r="G30" s="52">
        <f>IFERROR((INDEX('C4 GEG LR Budget'!$D$25:$O$25,'C1 GEG Setting'!$C$6)+INDEX('C4 GEG LR Budget'!$D$31:$O$31,'C1 GEG Setting'!$C$6)+INDEX('C4 GEG LR Budget'!$D$41:$O$41,'C1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30" s="53">
        <f>IFERROR(D30-G30,0)</f>
        <v/>
      </c>
      <c r="I30" s="54">
        <f>IFERROR(H30/ABS(G30),"")</f>
        <v/>
      </c>
      <c r="J30" s="52">
        <f>IFERROR((SUMIF('C5 GEG LR Aktual'!$D$5:$O$5,"&lt;="&amp;'C1 GEG Setting'!$C$6,'C5 GEG LR Aktual'!$D$25:$O$25)+SUMIF('C5 GEG LR Aktual'!$D$5:$O$5,"&lt;="&amp;'C1 GEG Setting'!$C$6,'C5 GEG LR Aktual'!$D$31:$O$31)+SUMIF('C5 GEG LR Aktual'!$D$5:$O$5,"&lt;="&amp;'C1 GEG Setting'!$C$6,'C5 GEG LR Aktual'!$D$41:$O$41))*1000000/((SUMIF('C3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30" s="52">
        <f>IFERROR((SUMIF('C4 GEG LR Budget'!$D$5:$O$5,"&lt;="&amp;'C1 GEG Setting'!$C$6,'C4 GEG LR Budget'!$D$25:$O$25)+SUMIF('C4 GEG LR Budget'!$D$5:$O$5,"&lt;="&amp;'C1 GEG Setting'!$C$6,'C4 GEG LR Budget'!$D$31:$O$31)+SUMIF('C4 GEG LR Budget'!$D$5:$O$5,"&lt;="&amp;'C1 GEG Setting'!$C$6,'C4 GEG LR Budget'!$D$41:$O$41))*1000000/((SUMIF('C2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30" s="53">
        <f>IFERROR(J30-K30,0)</f>
        <v/>
      </c>
      <c r="M30" s="54">
        <f>IFERROR(L30/ABS(K30),"")</f>
        <v/>
      </c>
      <c r="N30" s="108" t="n"/>
    </row>
    <row r="31">
      <c r="A31" s="10" t="inlineStr">
        <is>
          <t xml:space="preserve">   Royalti / PNBP</t>
        </is>
      </c>
      <c r="B31" s="3" t="inlineStr">
        <is>
          <t>USD/MT</t>
        </is>
      </c>
      <c r="C31" s="39">
        <f>IFERROR((IF('C1 GEG Setting'!$C$6=1,0,INDEX('C5 GEG LR Aktual'!$D$33:$O$33,'C1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31" s="39">
        <f>IFERROR((INDEX('C5 GEG LR Aktual'!$D$33:$O$33,'C1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31" s="47">
        <f>IFERROR(D31-C31,0)</f>
        <v/>
      </c>
      <c r="F31" s="24">
        <f>IFERROR(E31/ABS(C31),"")</f>
        <v/>
      </c>
      <c r="G31" s="39">
        <f>IFERROR((INDEX('C4 GEG LR Budget'!$D$33:$O$33,'C1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31" s="47">
        <f>IFERROR(D31-G31,0)</f>
        <v/>
      </c>
      <c r="I31" s="24">
        <f>IFERROR(H31/ABS(G31),"")</f>
        <v/>
      </c>
      <c r="J31" s="39">
        <f>IFERROR((SUMIF('C5 GEG LR Aktual'!$D$5:$O$5,"&lt;="&amp;'C1 GEG Setting'!$C$6,'C5 GEG LR Aktual'!$D$33:$O$33))*1000000/((SUMIF('C3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31" s="39">
        <f>IFERROR((SUMIF('C4 GEG LR Budget'!$D$5:$O$5,"&lt;="&amp;'C1 GEG Setting'!$C$6,'C4 GEG LR Budget'!$D$33:$O$33))*1000000/((SUMIF('C2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31" s="47">
        <f>IFERROR(J31-K31,0)</f>
        <v/>
      </c>
      <c r="M31" s="24">
        <f>IFERROR(L31/ABS(K31),"")</f>
        <v/>
      </c>
      <c r="N31" s="76" t="n"/>
    </row>
    <row r="32">
      <c r="A32" s="48" t="inlineStr">
        <is>
          <t>CASH COST FOB incl. royalti per MT</t>
        </is>
      </c>
      <c r="B32" s="49" t="inlineStr">
        <is>
          <t>USD/MT</t>
        </is>
      </c>
      <c r="C32" s="52">
        <f>IFERROR((IF('C1 GEG Setting'!$C$6=1,0,INDEX('C5 GEG LR Aktual'!$D$25:$O$25,'C1 GEG Setting'!$C$6-1))+IF('C1 GEG Setting'!$C$6=1,0,INDEX('C5 GEG LR Aktual'!$D$31:$O$31,'C1 GEG Setting'!$C$6-1))+IF('C1 GEG Setting'!$C$6=1,0,INDEX('C5 GEG LR Aktual'!$D$41:$O$41,'C1 GEG Setting'!$C$6-1))+IF('C1 GEG Setting'!$C$6=1,0,INDEX('C5 GEG LR Aktual'!$D$33:$O$33,'C1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32" s="52">
        <f>IFERROR((INDEX('C5 GEG LR Aktual'!$D$25:$O$25,'C1 GEG Setting'!$C$6)+INDEX('C5 GEG LR Aktual'!$D$31:$O$31,'C1 GEG Setting'!$C$6)+INDEX('C5 GEG LR Aktual'!$D$41:$O$41,'C1 GEG Setting'!$C$6)+INDEX('C5 GEG LR Aktual'!$D$33:$O$33,'C1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32" s="53">
        <f>IFERROR(D32-C32,0)</f>
        <v/>
      </c>
      <c r="F32" s="54">
        <f>IFERROR(E32/ABS(C32),"")</f>
        <v/>
      </c>
      <c r="G32" s="52">
        <f>IFERROR((INDEX('C4 GEG LR Budget'!$D$25:$O$25,'C1 GEG Setting'!$C$6)+INDEX('C4 GEG LR Budget'!$D$31:$O$31,'C1 GEG Setting'!$C$6)+INDEX('C4 GEG LR Budget'!$D$41:$O$41,'C1 GEG Setting'!$C$6)+INDEX('C4 GEG LR Budget'!$D$33:$O$33,'C1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32" s="53">
        <f>IFERROR(D32-G32,0)</f>
        <v/>
      </c>
      <c r="I32" s="54">
        <f>IFERROR(H32/ABS(G32),"")</f>
        <v/>
      </c>
      <c r="J32" s="52">
        <f>IFERROR((SUMIF('C5 GEG LR Aktual'!$D$5:$O$5,"&lt;="&amp;'C1 GEG Setting'!$C$6,'C5 GEG LR Aktual'!$D$25:$O$25)+SUMIF('C5 GEG LR Aktual'!$D$5:$O$5,"&lt;="&amp;'C1 GEG Setting'!$C$6,'C5 GEG LR Aktual'!$D$31:$O$31)+SUMIF('C5 GEG LR Aktual'!$D$5:$O$5,"&lt;="&amp;'C1 GEG Setting'!$C$6,'C5 GEG LR Aktual'!$D$41:$O$41)+SUMIF('C5 GEG LR Aktual'!$D$5:$O$5,"&lt;="&amp;'C1 GEG Setting'!$C$6,'C5 GEG LR Aktual'!$D$33:$O$33))*1000000/((SUMIF('C3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32" s="52">
        <f>IFERROR((SUMIF('C4 GEG LR Budget'!$D$5:$O$5,"&lt;="&amp;'C1 GEG Setting'!$C$6,'C4 GEG LR Budget'!$D$25:$O$25)+SUMIF('C4 GEG LR Budget'!$D$5:$O$5,"&lt;="&amp;'C1 GEG Setting'!$C$6,'C4 GEG LR Budget'!$D$31:$O$31)+SUMIF('C4 GEG LR Budget'!$D$5:$O$5,"&lt;="&amp;'C1 GEG Setting'!$C$6,'C4 GEG LR Budget'!$D$41:$O$41)+SUMIF('C4 GEG LR Budget'!$D$5:$O$5,"&lt;="&amp;'C1 GEG Setting'!$C$6,'C4 GEG LR Budget'!$D$33:$O$33))*1000000/((SUMIF('C2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32" s="53">
        <f>IFERROR(J32-K32,0)</f>
        <v/>
      </c>
      <c r="M32" s="54">
        <f>IFERROR(L32/ABS(K32),"")</f>
        <v/>
      </c>
      <c r="N32" s="108" t="n"/>
    </row>
    <row r="33">
      <c r="A33" s="10" t="inlineStr">
        <is>
          <t xml:space="preserve">   Beban penjualan</t>
        </is>
      </c>
      <c r="B33" s="3" t="inlineStr">
        <is>
          <t>USD/MT</t>
        </is>
      </c>
      <c r="C33" s="39">
        <f>IFERROR((IF('C1 GEG Setting'!$C$6=1,0,INDEX('C5 GEG LR Aktual'!$D$60:$O$60,'C1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33" s="39">
        <f>IFERROR((INDEX('C5 GEG LR Aktual'!$D$60:$O$60,'C1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33" s="47">
        <f>IFERROR(D33-C33,0)</f>
        <v/>
      </c>
      <c r="F33" s="24">
        <f>IFERROR(E33/ABS(C33),"")</f>
        <v/>
      </c>
      <c r="G33" s="39">
        <f>IFERROR((INDEX('C4 GEG LR Budget'!$D$60:$O$60,'C1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33" s="47">
        <f>IFERROR(D33-G33,0)</f>
        <v/>
      </c>
      <c r="I33" s="24">
        <f>IFERROR(H33/ABS(G33),"")</f>
        <v/>
      </c>
      <c r="J33" s="39">
        <f>IFERROR((SUMIF('C5 GEG LR Aktual'!$D$5:$O$5,"&lt;="&amp;'C1 GEG Setting'!$C$6,'C5 GEG LR Aktual'!$D$60:$O$60))*1000000/((SUMIF('C3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33" s="39">
        <f>IFERROR((SUMIF('C4 GEG LR Budget'!$D$5:$O$5,"&lt;="&amp;'C1 GEG Setting'!$C$6,'C4 GEG LR Budget'!$D$60:$O$60))*1000000/((SUMIF('C2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33" s="47">
        <f>IFERROR(J33-K33,0)</f>
        <v/>
      </c>
      <c r="M33" s="24">
        <f>IFERROR(L33/ABS(K33),"")</f>
        <v/>
      </c>
      <c r="N33" s="76" t="n"/>
    </row>
    <row r="34">
      <c r="A34" s="10" t="inlineStr">
        <is>
          <t xml:space="preserve">   G&amp;A excl. penyusutan</t>
        </is>
      </c>
      <c r="B34" s="3" t="inlineStr">
        <is>
          <t>USD/MT</t>
        </is>
      </c>
      <c r="C34" s="39">
        <f>IFERROR((IF('C1 GEG Setting'!$C$6=1,0,INDEX('C5 GEG LR Aktual'!$D$71:$O$71,'C1 GEG Setting'!$C$6-1))-IF('C1 GEG Setting'!$C$6=1,0,INDEX('C5 GEG LR Aktual'!$D$69:$O$69,'C1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34" s="39">
        <f>IFERROR((INDEX('C5 GEG LR Aktual'!$D$71:$O$71,'C1 GEG Setting'!$C$6)-INDEX('C5 GEG LR Aktual'!$D$69:$O$69,'C1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34" s="47">
        <f>IFERROR(D34-C34,0)</f>
        <v/>
      </c>
      <c r="F34" s="24">
        <f>IFERROR(E34/ABS(C34),"")</f>
        <v/>
      </c>
      <c r="G34" s="39">
        <f>IFERROR((INDEX('C4 GEG LR Budget'!$D$71:$O$71,'C1 GEG Setting'!$C$6)-INDEX('C4 GEG LR Budget'!$D$69:$O$69,'C1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34" s="47">
        <f>IFERROR(D34-G34,0)</f>
        <v/>
      </c>
      <c r="I34" s="24">
        <f>IFERROR(H34/ABS(G34),"")</f>
        <v/>
      </c>
      <c r="J34" s="39">
        <f>IFERROR((SUMIF('C5 GEG LR Aktual'!$D$5:$O$5,"&lt;="&amp;'C1 GEG Setting'!$C$6,'C5 GEG LR Aktual'!$D$71:$O$71)-SUMIF('C5 GEG LR Aktual'!$D$5:$O$5,"&lt;="&amp;'C1 GEG Setting'!$C$6,'C5 GEG LR Aktual'!$D$69:$O$69))*1000000/((SUMIF('C3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34" s="39">
        <f>IFERROR((SUMIF('C4 GEG LR Budget'!$D$5:$O$5,"&lt;="&amp;'C1 GEG Setting'!$C$6,'C4 GEG LR Budget'!$D$71:$O$71)-SUMIF('C4 GEG LR Budget'!$D$5:$O$5,"&lt;="&amp;'C1 GEG Setting'!$C$6,'C4 GEG LR Budget'!$D$69:$O$69))*1000000/((SUMIF('C2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34" s="47">
        <f>IFERROR(J34-K34,0)</f>
        <v/>
      </c>
      <c r="M34" s="24">
        <f>IFERROR(L34/ABS(K34),"")</f>
        <v/>
      </c>
      <c r="N34" s="76" t="n"/>
    </row>
    <row r="35">
      <c r="A35" s="48" t="inlineStr">
        <is>
          <t>TOTAL CASH COST per MT</t>
        </is>
      </c>
      <c r="B35" s="49" t="inlineStr">
        <is>
          <t>USD/MT</t>
        </is>
      </c>
      <c r="C35" s="52">
        <f>IFERROR((IF('C1 GEG Setting'!$C$6=1,0,INDEX('C5 GEG LR Aktual'!$D$25:$O$25,'C1 GEG Setting'!$C$6-1))+IF('C1 GEG Setting'!$C$6=1,0,INDEX('C5 GEG LR Aktual'!$D$31:$O$31,'C1 GEG Setting'!$C$6-1))+IF('C1 GEG Setting'!$C$6=1,0,INDEX('C5 GEG LR Aktual'!$D$41:$O$41,'C1 GEG Setting'!$C$6-1))+IF('C1 GEG Setting'!$C$6=1,0,INDEX('C5 GEG LR Aktual'!$D$33:$O$33,'C1 GEG Setting'!$C$6-1))+IF('C1 GEG Setting'!$C$6=1,0,INDEX('C5 GEG LR Aktual'!$D$60:$O$60,'C1 GEG Setting'!$C$6-1))+IF('C1 GEG Setting'!$C$6=1,0,INDEX('C5 GEG LR Aktual'!$D$71:$O$71,'C1 GEG Setting'!$C$6-1))-IF('C1 GEG Setting'!$C$6=1,0,INDEX('C5 GEG LR Aktual'!$D$69:$O$69,'C1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35" s="52">
        <f>IFERROR((INDEX('C5 GEG LR Aktual'!$D$25:$O$25,'C1 GEG Setting'!$C$6)+INDEX('C5 GEG LR Aktual'!$D$31:$O$31,'C1 GEG Setting'!$C$6)+INDEX('C5 GEG LR Aktual'!$D$41:$O$41,'C1 GEG Setting'!$C$6)+INDEX('C5 GEG LR Aktual'!$D$33:$O$33,'C1 GEG Setting'!$C$6)+INDEX('C5 GEG LR Aktual'!$D$60:$O$60,'C1 GEG Setting'!$C$6)+INDEX('C5 GEG LR Aktual'!$D$71:$O$71,'C1 GEG Setting'!$C$6)-INDEX('C5 GEG LR Aktual'!$D$69:$O$69,'C1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35" s="53">
        <f>IFERROR(D35-C35,0)</f>
        <v/>
      </c>
      <c r="F35" s="54">
        <f>IFERROR(E35/ABS(C35),"")</f>
        <v/>
      </c>
      <c r="G35" s="52">
        <f>IFERROR((INDEX('C4 GEG LR Budget'!$D$25:$O$25,'C1 GEG Setting'!$C$6)+INDEX('C4 GEG LR Budget'!$D$31:$O$31,'C1 GEG Setting'!$C$6)+INDEX('C4 GEG LR Budget'!$D$41:$O$41,'C1 GEG Setting'!$C$6)+INDEX('C4 GEG LR Budget'!$D$33:$O$33,'C1 GEG Setting'!$C$6)+INDEX('C4 GEG LR Budget'!$D$60:$O$60,'C1 GEG Setting'!$C$6)+INDEX('C4 GEG LR Budget'!$D$71:$O$71,'C1 GEG Setting'!$C$6)-INDEX('C4 GEG LR Budget'!$D$69:$O$69,'C1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35" s="53">
        <f>IFERROR(D35-G35,0)</f>
        <v/>
      </c>
      <c r="I35" s="54">
        <f>IFERROR(H35/ABS(G35),"")</f>
        <v/>
      </c>
      <c r="J35" s="52">
        <f>IFERROR((SUMIF('C5 GEG LR Aktual'!$D$5:$O$5,"&lt;="&amp;'C1 GEG Setting'!$C$6,'C5 GEG LR Aktual'!$D$25:$O$25)+SUMIF('C5 GEG LR Aktual'!$D$5:$O$5,"&lt;="&amp;'C1 GEG Setting'!$C$6,'C5 GEG LR Aktual'!$D$31:$O$31)+SUMIF('C5 GEG LR Aktual'!$D$5:$O$5,"&lt;="&amp;'C1 GEG Setting'!$C$6,'C5 GEG LR Aktual'!$D$41:$O$41)+SUMIF('C5 GEG LR Aktual'!$D$5:$O$5,"&lt;="&amp;'C1 GEG Setting'!$C$6,'C5 GEG LR Aktual'!$D$33:$O$33)+SUMIF('C5 GEG LR Aktual'!$D$5:$O$5,"&lt;="&amp;'C1 GEG Setting'!$C$6,'C5 GEG LR Aktual'!$D$60:$O$60)+SUMIF('C5 GEG LR Aktual'!$D$5:$O$5,"&lt;="&amp;'C1 GEG Setting'!$C$6,'C5 GEG LR Aktual'!$D$71:$O$71)-SUMIF('C5 GEG LR Aktual'!$D$5:$O$5,"&lt;="&amp;'C1 GEG Setting'!$C$6,'C5 GEG LR Aktual'!$D$69:$O$69))*1000000/((SUMIF('C3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35" s="52">
        <f>IFERROR((SUMIF('C4 GEG LR Budget'!$D$5:$O$5,"&lt;="&amp;'C1 GEG Setting'!$C$6,'C4 GEG LR Budget'!$D$25:$O$25)+SUMIF('C4 GEG LR Budget'!$D$5:$O$5,"&lt;="&amp;'C1 GEG Setting'!$C$6,'C4 GEG LR Budget'!$D$31:$O$31)+SUMIF('C4 GEG LR Budget'!$D$5:$O$5,"&lt;="&amp;'C1 GEG Setting'!$C$6,'C4 GEG LR Budget'!$D$41:$O$41)+SUMIF('C4 GEG LR Budget'!$D$5:$O$5,"&lt;="&amp;'C1 GEG Setting'!$C$6,'C4 GEG LR Budget'!$D$33:$O$33)+SUMIF('C4 GEG LR Budget'!$D$5:$O$5,"&lt;="&amp;'C1 GEG Setting'!$C$6,'C4 GEG LR Budget'!$D$60:$O$60)+SUMIF('C4 GEG LR Budget'!$D$5:$O$5,"&lt;="&amp;'C1 GEG Setting'!$C$6,'C4 GEG LR Budget'!$D$71:$O$71)-SUMIF('C4 GEG LR Budget'!$D$5:$O$5,"&lt;="&amp;'C1 GEG Setting'!$C$6,'C4 GEG LR Budget'!$D$69:$O$69))*1000000/((SUMIF('C2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35" s="53">
        <f>IFERROR(J35-K35,0)</f>
        <v/>
      </c>
      <c r="M35" s="54">
        <f>IFERROR(L35/ABS(K35),"")</f>
        <v/>
      </c>
      <c r="N35" s="108" t="n"/>
    </row>
    <row r="36">
      <c r="A36" s="10" t="inlineStr">
        <is>
          <t xml:space="preserve">   Penyusutan &amp; amortisasi</t>
        </is>
      </c>
      <c r="B36" s="3" t="inlineStr">
        <is>
          <t>USD/MT</t>
        </is>
      </c>
      <c r="C36" s="39">
        <f>IFERROR((IF('C1 GEG Setting'!$C$6=1,0,INDEX('C5 GEG LR Aktual'!$D$46:$O$46,'C1 GEG Setting'!$C$6-1))+IF('C1 GEG Setting'!$C$6=1,0,INDEX('C5 GEG LR Aktual'!$D$69:$O$69,'C1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36" s="39">
        <f>IFERROR((INDEX('C5 GEG LR Aktual'!$D$46:$O$46,'C1 GEG Setting'!$C$6)+INDEX('C5 GEG LR Aktual'!$D$69:$O$69,'C1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36" s="47">
        <f>IFERROR(D36-C36,0)</f>
        <v/>
      </c>
      <c r="F36" s="24">
        <f>IFERROR(E36/ABS(C36),"")</f>
        <v/>
      </c>
      <c r="G36" s="39">
        <f>IFERROR((INDEX('C4 GEG LR Budget'!$D$46:$O$46,'C1 GEG Setting'!$C$6)+INDEX('C4 GEG LR Budget'!$D$69:$O$69,'C1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36" s="47">
        <f>IFERROR(D36-G36,0)</f>
        <v/>
      </c>
      <c r="I36" s="24">
        <f>IFERROR(H36/ABS(G36),"")</f>
        <v/>
      </c>
      <c r="J36" s="39">
        <f>IFERROR((SUMIF('C5 GEG LR Aktual'!$D$5:$O$5,"&lt;="&amp;'C1 GEG Setting'!$C$6,'C5 GEG LR Aktual'!$D$46:$O$46)+SUMIF('C5 GEG LR Aktual'!$D$5:$O$5,"&lt;="&amp;'C1 GEG Setting'!$C$6,'C5 GEG LR Aktual'!$D$69:$O$69))*1000000/((SUMIF('C3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36" s="39">
        <f>IFERROR((SUMIF('C4 GEG LR Budget'!$D$5:$O$5,"&lt;="&amp;'C1 GEG Setting'!$C$6,'C4 GEG LR Budget'!$D$46:$O$46)+SUMIF('C4 GEG LR Budget'!$D$5:$O$5,"&lt;="&amp;'C1 GEG Setting'!$C$6,'C4 GEG LR Budget'!$D$69:$O$69))*1000000/((SUMIF('C2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36" s="47">
        <f>IFERROR(J36-K36,0)</f>
        <v/>
      </c>
      <c r="M36" s="24">
        <f>IFERROR(L36/ABS(K36),"")</f>
        <v/>
      </c>
      <c r="N36" s="76" t="n"/>
    </row>
    <row r="37">
      <c r="A37" s="48" t="inlineStr">
        <is>
          <t>TOTAL COST (full cost) per MT</t>
        </is>
      </c>
      <c r="B37" s="49" t="inlineStr">
        <is>
          <t>USD/MT</t>
        </is>
      </c>
      <c r="C37" s="52">
        <f>IFERROR((IF('C1 GEG Setting'!$C$6=1,0,INDEX('C5 GEG LR Aktual'!$D$25:$O$25,'C1 GEG Setting'!$C$6-1))+IF('C1 GEG Setting'!$C$6=1,0,INDEX('C5 GEG LR Aktual'!$D$31:$O$31,'C1 GEG Setting'!$C$6-1))+IF('C1 GEG Setting'!$C$6=1,0,INDEX('C5 GEG LR Aktual'!$D$41:$O$41,'C1 GEG Setting'!$C$6-1))+IF('C1 GEG Setting'!$C$6=1,0,INDEX('C5 GEG LR Aktual'!$D$33:$O$33,'C1 GEG Setting'!$C$6-1))+IF('C1 GEG Setting'!$C$6=1,0,INDEX('C5 GEG LR Aktual'!$D$60:$O$60,'C1 GEG Setting'!$C$6-1))+IF('C1 GEG Setting'!$C$6=1,0,INDEX('C5 GEG LR Aktual'!$D$71:$O$71,'C1 GEG Setting'!$C$6-1))-IF('C1 GEG Setting'!$C$6=1,0,INDEX('C5 GEG LR Aktual'!$D$69:$O$69,'C1 GEG Setting'!$C$6-1))+IF('C1 GEG Setting'!$C$6=1,0,INDEX('C5 GEG LR Aktual'!$D$46:$O$46,'C1 GEG Setting'!$C$6-1))+IF('C1 GEG Setting'!$C$6=1,0,INDEX('C5 GEG LR Aktual'!$D$69:$O$69,'C1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37" s="52">
        <f>IFERROR((INDEX('C5 GEG LR Aktual'!$D$25:$O$25,'C1 GEG Setting'!$C$6)+INDEX('C5 GEG LR Aktual'!$D$31:$O$31,'C1 GEG Setting'!$C$6)+INDEX('C5 GEG LR Aktual'!$D$41:$O$41,'C1 GEG Setting'!$C$6)+INDEX('C5 GEG LR Aktual'!$D$33:$O$33,'C1 GEG Setting'!$C$6)+INDEX('C5 GEG LR Aktual'!$D$60:$O$60,'C1 GEG Setting'!$C$6)+INDEX('C5 GEG LR Aktual'!$D$71:$O$71,'C1 GEG Setting'!$C$6)-INDEX('C5 GEG LR Aktual'!$D$69:$O$69,'C1 GEG Setting'!$C$6)+INDEX('C5 GEG LR Aktual'!$D$46:$O$46,'C1 GEG Setting'!$C$6)+INDEX('C5 GEG LR Aktual'!$D$69:$O$69,'C1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37" s="53">
        <f>IFERROR(D37-C37,0)</f>
        <v/>
      </c>
      <c r="F37" s="54">
        <f>IFERROR(E37/ABS(C37),"")</f>
        <v/>
      </c>
      <c r="G37" s="52">
        <f>IFERROR((INDEX('C4 GEG LR Budget'!$D$25:$O$25,'C1 GEG Setting'!$C$6)+INDEX('C4 GEG LR Budget'!$D$31:$O$31,'C1 GEG Setting'!$C$6)+INDEX('C4 GEG LR Budget'!$D$41:$O$41,'C1 GEG Setting'!$C$6)+INDEX('C4 GEG LR Budget'!$D$33:$O$33,'C1 GEG Setting'!$C$6)+INDEX('C4 GEG LR Budget'!$D$60:$O$60,'C1 GEG Setting'!$C$6)+INDEX('C4 GEG LR Budget'!$D$71:$O$71,'C1 GEG Setting'!$C$6)-INDEX('C4 GEG LR Budget'!$D$69:$O$69,'C1 GEG Setting'!$C$6)+INDEX('C4 GEG LR Budget'!$D$46:$O$46,'C1 GEG Setting'!$C$6)+INDEX('C4 GEG LR Budget'!$D$69:$O$69,'C1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37" s="53">
        <f>IFERROR(D37-G37,0)</f>
        <v/>
      </c>
      <c r="I37" s="54">
        <f>IFERROR(H37/ABS(G37),"")</f>
        <v/>
      </c>
      <c r="J37" s="52">
        <f>IFERROR((SUMIF('C5 GEG LR Aktual'!$D$5:$O$5,"&lt;="&amp;'C1 GEG Setting'!$C$6,'C5 GEG LR Aktual'!$D$25:$O$25)+SUMIF('C5 GEG LR Aktual'!$D$5:$O$5,"&lt;="&amp;'C1 GEG Setting'!$C$6,'C5 GEG LR Aktual'!$D$31:$O$31)+SUMIF('C5 GEG LR Aktual'!$D$5:$O$5,"&lt;="&amp;'C1 GEG Setting'!$C$6,'C5 GEG LR Aktual'!$D$41:$O$41)+SUMIF('C5 GEG LR Aktual'!$D$5:$O$5,"&lt;="&amp;'C1 GEG Setting'!$C$6,'C5 GEG LR Aktual'!$D$33:$O$33)+SUMIF('C5 GEG LR Aktual'!$D$5:$O$5,"&lt;="&amp;'C1 GEG Setting'!$C$6,'C5 GEG LR Aktual'!$D$60:$O$60)+SUMIF('C5 GEG LR Aktual'!$D$5:$O$5,"&lt;="&amp;'C1 GEG Setting'!$C$6,'C5 GEG LR Aktual'!$D$71:$O$71)-SUMIF('C5 GEG LR Aktual'!$D$5:$O$5,"&lt;="&amp;'C1 GEG Setting'!$C$6,'C5 GEG LR Aktual'!$D$69:$O$69)+SUMIF('C5 GEG LR Aktual'!$D$5:$O$5,"&lt;="&amp;'C1 GEG Setting'!$C$6,'C5 GEG LR Aktual'!$D$46:$O$46)+SUMIF('C5 GEG LR Aktual'!$D$5:$O$5,"&lt;="&amp;'C1 GEG Setting'!$C$6,'C5 GEG LR Aktual'!$D$69:$O$69))*1000000/((SUMIF('C3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37" s="52">
        <f>IFERROR((SUMIF('C4 GEG LR Budget'!$D$5:$O$5,"&lt;="&amp;'C1 GEG Setting'!$C$6,'C4 GEG LR Budget'!$D$25:$O$25)+SUMIF('C4 GEG LR Budget'!$D$5:$O$5,"&lt;="&amp;'C1 GEG Setting'!$C$6,'C4 GEG LR Budget'!$D$31:$O$31)+SUMIF('C4 GEG LR Budget'!$D$5:$O$5,"&lt;="&amp;'C1 GEG Setting'!$C$6,'C4 GEG LR Budget'!$D$41:$O$41)+SUMIF('C4 GEG LR Budget'!$D$5:$O$5,"&lt;="&amp;'C1 GEG Setting'!$C$6,'C4 GEG LR Budget'!$D$33:$O$33)+SUMIF('C4 GEG LR Budget'!$D$5:$O$5,"&lt;="&amp;'C1 GEG Setting'!$C$6,'C4 GEG LR Budget'!$D$60:$O$60)+SUMIF('C4 GEG LR Budget'!$D$5:$O$5,"&lt;="&amp;'C1 GEG Setting'!$C$6,'C4 GEG LR Budget'!$D$71:$O$71)-SUMIF('C4 GEG LR Budget'!$D$5:$O$5,"&lt;="&amp;'C1 GEG Setting'!$C$6,'C4 GEG LR Budget'!$D$69:$O$69)+SUMIF('C4 GEG LR Budget'!$D$5:$O$5,"&lt;="&amp;'C1 GEG Setting'!$C$6,'C4 GEG LR Budget'!$D$46:$O$46)+SUMIF('C4 GEG LR Budget'!$D$5:$O$5,"&lt;="&amp;'C1 GEG Setting'!$C$6,'C4 GEG LR Budget'!$D$69:$O$69))*1000000/((SUMIF('C2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37" s="53">
        <f>IFERROR(J37-K37,0)</f>
        <v/>
      </c>
      <c r="M37" s="54">
        <f>IFERROR(L37/ABS(K37),"")</f>
        <v/>
      </c>
      <c r="N37" s="108" t="n"/>
    </row>
    <row r="38">
      <c r="A38" s="10" t="inlineStr">
        <is>
          <t xml:space="preserve">   Beban bunga</t>
        </is>
      </c>
      <c r="B38" s="3" t="inlineStr">
        <is>
          <t>USD/MT</t>
        </is>
      </c>
      <c r="C38" s="39">
        <f>IFERROR((-IF('C1 GEG Setting'!$C$6=1,0,INDEX('C5 GEG LR Aktual'!$D$77:$O$77,'C1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38" s="39">
        <f>IFERROR((-INDEX('C5 GEG LR Aktual'!$D$77:$O$77,'C1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38" s="47">
        <f>IFERROR(D38-C38,0)</f>
        <v/>
      </c>
      <c r="F38" s="24">
        <f>IFERROR(E38/ABS(C38),"")</f>
        <v/>
      </c>
      <c r="G38" s="39">
        <f>IFERROR((-INDEX('C4 GEG LR Budget'!$D$77:$O$77,'C1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38" s="47">
        <f>IFERROR(D38-G38,0)</f>
        <v/>
      </c>
      <c r="I38" s="24">
        <f>IFERROR(H38/ABS(G38),"")</f>
        <v/>
      </c>
      <c r="J38" s="39">
        <f>IFERROR((-SUMIF('C5 GEG LR Aktual'!$D$5:$O$5,"&lt;="&amp;'C1 GEG Setting'!$C$6,'C5 GEG LR Aktual'!$D$77:$O$77))*1000000/((SUMIF('C3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38" s="39">
        <f>IFERROR((-SUMIF('C4 GEG LR Budget'!$D$5:$O$5,"&lt;="&amp;'C1 GEG Setting'!$C$6,'C4 GEG LR Budget'!$D$77:$O$77))*1000000/((SUMIF('C2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38" s="47">
        <f>IFERROR(J38-K38,0)</f>
        <v/>
      </c>
      <c r="M38" s="24">
        <f>IFERROR(L38/ABS(K38),"")</f>
        <v/>
      </c>
      <c r="N38" s="76" t="n"/>
    </row>
    <row r="39">
      <c r="A39" s="48" t="inlineStr">
        <is>
          <t>ALL-IN COST per MT (termasuk bunga)</t>
        </is>
      </c>
      <c r="B39" s="49" t="inlineStr">
        <is>
          <t>USD/MT</t>
        </is>
      </c>
      <c r="C39" s="52">
        <f>IFERROR((IF('C1 GEG Setting'!$C$6=1,0,INDEX('C5 GEG LR Aktual'!$D$25:$O$25,'C1 GEG Setting'!$C$6-1))+IF('C1 GEG Setting'!$C$6=1,0,INDEX('C5 GEG LR Aktual'!$D$31:$O$31,'C1 GEG Setting'!$C$6-1))+IF('C1 GEG Setting'!$C$6=1,0,INDEX('C5 GEG LR Aktual'!$D$41:$O$41,'C1 GEG Setting'!$C$6-1))+IF('C1 GEG Setting'!$C$6=1,0,INDEX('C5 GEG LR Aktual'!$D$33:$O$33,'C1 GEG Setting'!$C$6-1))+IF('C1 GEG Setting'!$C$6=1,0,INDEX('C5 GEG LR Aktual'!$D$60:$O$60,'C1 GEG Setting'!$C$6-1))+IF('C1 GEG Setting'!$C$6=1,0,INDEX('C5 GEG LR Aktual'!$D$71:$O$71,'C1 GEG Setting'!$C$6-1))-IF('C1 GEG Setting'!$C$6=1,0,INDEX('C5 GEG LR Aktual'!$D$69:$O$69,'C1 GEG Setting'!$C$6-1))+IF('C1 GEG Setting'!$C$6=1,0,INDEX('C5 GEG LR Aktual'!$D$46:$O$46,'C1 GEG Setting'!$C$6-1))+IF('C1 GEG Setting'!$C$6=1,0,INDEX('C5 GEG LR Aktual'!$D$69:$O$69,'C1 GEG Setting'!$C$6-1))-IF('C1 GEG Setting'!$C$6=1,0,INDEX('C5 GEG LR Aktual'!$D$77:$O$77,'C1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39" s="52">
        <f>IFERROR((INDEX('C5 GEG LR Aktual'!$D$25:$O$25,'C1 GEG Setting'!$C$6)+INDEX('C5 GEG LR Aktual'!$D$31:$O$31,'C1 GEG Setting'!$C$6)+INDEX('C5 GEG LR Aktual'!$D$41:$O$41,'C1 GEG Setting'!$C$6)+INDEX('C5 GEG LR Aktual'!$D$33:$O$33,'C1 GEG Setting'!$C$6)+INDEX('C5 GEG LR Aktual'!$D$60:$O$60,'C1 GEG Setting'!$C$6)+INDEX('C5 GEG LR Aktual'!$D$71:$O$71,'C1 GEG Setting'!$C$6)-INDEX('C5 GEG LR Aktual'!$D$69:$O$69,'C1 GEG Setting'!$C$6)+INDEX('C5 GEG LR Aktual'!$D$46:$O$46,'C1 GEG Setting'!$C$6)+INDEX('C5 GEG LR Aktual'!$D$69:$O$69,'C1 GEG Setting'!$C$6)-INDEX('C5 GEG LR Aktual'!$D$77:$O$77,'C1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39" s="53">
        <f>IFERROR(D39-C39,0)</f>
        <v/>
      </c>
      <c r="F39" s="54">
        <f>IFERROR(E39/ABS(C39),"")</f>
        <v/>
      </c>
      <c r="G39" s="52">
        <f>IFERROR((INDEX('C4 GEG LR Budget'!$D$25:$O$25,'C1 GEG Setting'!$C$6)+INDEX('C4 GEG LR Budget'!$D$31:$O$31,'C1 GEG Setting'!$C$6)+INDEX('C4 GEG LR Budget'!$D$41:$O$41,'C1 GEG Setting'!$C$6)+INDEX('C4 GEG LR Budget'!$D$33:$O$33,'C1 GEG Setting'!$C$6)+INDEX('C4 GEG LR Budget'!$D$60:$O$60,'C1 GEG Setting'!$C$6)+INDEX('C4 GEG LR Budget'!$D$71:$O$71,'C1 GEG Setting'!$C$6)-INDEX('C4 GEG LR Budget'!$D$69:$O$69,'C1 GEG Setting'!$C$6)+INDEX('C4 GEG LR Budget'!$D$46:$O$46,'C1 GEG Setting'!$C$6)+INDEX('C4 GEG LR Budget'!$D$69:$O$69,'C1 GEG Setting'!$C$6)-INDEX('C4 GEG LR Budget'!$D$77:$O$77,'C1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39" s="53">
        <f>IFERROR(D39-G39,0)</f>
        <v/>
      </c>
      <c r="I39" s="54">
        <f>IFERROR(H39/ABS(G39),"")</f>
        <v/>
      </c>
      <c r="J39" s="52">
        <f>IFERROR((SUMIF('C5 GEG LR Aktual'!$D$5:$O$5,"&lt;="&amp;'C1 GEG Setting'!$C$6,'C5 GEG LR Aktual'!$D$25:$O$25)+SUMIF('C5 GEG LR Aktual'!$D$5:$O$5,"&lt;="&amp;'C1 GEG Setting'!$C$6,'C5 GEG LR Aktual'!$D$31:$O$31)+SUMIF('C5 GEG LR Aktual'!$D$5:$O$5,"&lt;="&amp;'C1 GEG Setting'!$C$6,'C5 GEG LR Aktual'!$D$41:$O$41)+SUMIF('C5 GEG LR Aktual'!$D$5:$O$5,"&lt;="&amp;'C1 GEG Setting'!$C$6,'C5 GEG LR Aktual'!$D$33:$O$33)+SUMIF('C5 GEG LR Aktual'!$D$5:$O$5,"&lt;="&amp;'C1 GEG Setting'!$C$6,'C5 GEG LR Aktual'!$D$60:$O$60)+SUMIF('C5 GEG LR Aktual'!$D$5:$O$5,"&lt;="&amp;'C1 GEG Setting'!$C$6,'C5 GEG LR Aktual'!$D$71:$O$71)-SUMIF('C5 GEG LR Aktual'!$D$5:$O$5,"&lt;="&amp;'C1 GEG Setting'!$C$6,'C5 GEG LR Aktual'!$D$69:$O$69)+SUMIF('C5 GEG LR Aktual'!$D$5:$O$5,"&lt;="&amp;'C1 GEG Setting'!$C$6,'C5 GEG LR Aktual'!$D$46:$O$46)+SUMIF('C5 GEG LR Aktual'!$D$5:$O$5,"&lt;="&amp;'C1 GEG Setting'!$C$6,'C5 GEG LR Aktual'!$D$69:$O$69)-SUMIF('C5 GEG LR Aktual'!$D$5:$O$5,"&lt;="&amp;'C1 GEG Setting'!$C$6,'C5 GEG LR Aktual'!$D$77:$O$77))*1000000/((SUMIF('C3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39" s="52">
        <f>IFERROR((SUMIF('C4 GEG LR Budget'!$D$5:$O$5,"&lt;="&amp;'C1 GEG Setting'!$C$6,'C4 GEG LR Budget'!$D$25:$O$25)+SUMIF('C4 GEG LR Budget'!$D$5:$O$5,"&lt;="&amp;'C1 GEG Setting'!$C$6,'C4 GEG LR Budget'!$D$31:$O$31)+SUMIF('C4 GEG LR Budget'!$D$5:$O$5,"&lt;="&amp;'C1 GEG Setting'!$C$6,'C4 GEG LR Budget'!$D$41:$O$41)+SUMIF('C4 GEG LR Budget'!$D$5:$O$5,"&lt;="&amp;'C1 GEG Setting'!$C$6,'C4 GEG LR Budget'!$D$33:$O$33)+SUMIF('C4 GEG LR Budget'!$D$5:$O$5,"&lt;="&amp;'C1 GEG Setting'!$C$6,'C4 GEG LR Budget'!$D$60:$O$60)+SUMIF('C4 GEG LR Budget'!$D$5:$O$5,"&lt;="&amp;'C1 GEG Setting'!$C$6,'C4 GEG LR Budget'!$D$71:$O$71)-SUMIF('C4 GEG LR Budget'!$D$5:$O$5,"&lt;="&amp;'C1 GEG Setting'!$C$6,'C4 GEG LR Budget'!$D$69:$O$69)+SUMIF('C4 GEG LR Budget'!$D$5:$O$5,"&lt;="&amp;'C1 GEG Setting'!$C$6,'C4 GEG LR Budget'!$D$46:$O$46)+SUMIF('C4 GEG LR Budget'!$D$5:$O$5,"&lt;="&amp;'C1 GEG Setting'!$C$6,'C4 GEG LR Budget'!$D$69:$O$69)-SUMIF('C4 GEG LR Budget'!$D$5:$O$5,"&lt;="&amp;'C1 GEG Setting'!$C$6,'C4 GEG LR Budget'!$D$77:$O$77))*1000000/((SUMIF('C2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39" s="53">
        <f>IFERROR(J39-K39,0)</f>
        <v/>
      </c>
      <c r="M39" s="54">
        <f>IFERROR(L39/ABS(K39),"")</f>
        <v/>
      </c>
      <c r="N39" s="108" t="n"/>
    </row>
    <row r="40">
      <c r="A40" s="48" t="inlineStr">
        <is>
          <t>Harga jual rata-rata (ASP), neto penalti</t>
        </is>
      </c>
      <c r="B40" s="49" t="inlineStr">
        <is>
          <t>USD/MT</t>
        </is>
      </c>
      <c r="C40" s="52">
        <f>IFERROR((IF('C1 GEG Setting'!$C$6=1,0,INDEX('C5 GEG LR Aktual'!$D$11:$O$11,'C1 GEG Setting'!$C$6-1))+IF('C1 GEG Setting'!$C$6=1,0,INDEX('C5 GEG LR Aktual'!$D$12:$O$12,'C1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Setting'!$C$6-1))))/(IF('C1 GEG Setting'!$C$6=1,0,INDEX('C3 GEG Ops Aktual'!$D$25:$O$25,'C1 GEG Setting'!$C$6-1))),0)</f>
        <v/>
      </c>
      <c r="D40" s="52">
        <f>IFERROR((INDEX('C5 GEG LR Aktual'!$D$11:$O$11,'C1 GEG Setting'!$C$6)+INDEX('C5 GEG LR Aktual'!$D$12:$O$12,'C1 GEG Setting'!$C$6))*1000000/((INDEX('C3 GEG Ops Aktual'!$D$16:$O$16,'C1 GEG Setting'!$C$6)+INDEX('C3 GEG Ops Aktual'!$D$17:$O$17,'C1 GEG Setting'!$C$6)+INDEX('C3 GEG Ops Aktual'!$D$18:$O$18,'C1 GEG Setting'!$C$6)))/(INDEX('C3 GEG Ops Aktual'!$D$25:$O$25,'C1 GEG Setting'!$C$6)),0)</f>
        <v/>
      </c>
      <c r="E40" s="53">
        <f>IFERROR(D40-C40,0)</f>
        <v/>
      </c>
      <c r="F40" s="54">
        <f>IFERROR(E40/ABS(C40),"")</f>
        <v/>
      </c>
      <c r="G40" s="52">
        <f>IFERROR((INDEX('C4 GEG LR Budget'!$D$11:$O$11,'C1 GEG Setting'!$C$6)+INDEX('C4 GEG LR Budget'!$D$12:$O$12,'C1 GEG Setting'!$C$6))*1000000/((INDEX('C2 GEG Ops Budget'!$D$16:$O$16,'C1 GEG Setting'!$C$6)+INDEX('C2 GEG Ops Budget'!$D$17:$O$17,'C1 GEG Setting'!$C$6)+INDEX('C2 GEG Ops Budget'!$D$18:$O$18,'C1 GEG Setting'!$C$6)))/(INDEX('C2 GEG Ops Budget'!$D$25:$O$25,'C1 GEG Setting'!$C$6)),0)</f>
        <v/>
      </c>
      <c r="H40" s="53">
        <f>IFERROR(D40-G40,0)</f>
        <v/>
      </c>
      <c r="I40" s="54">
        <f>IFERROR(H40/ABS(G40),"")</f>
        <v/>
      </c>
      <c r="J40" s="52">
        <f>IFERROR((SUMIF('C5 GEG LR Aktual'!$D$5:$O$5,"&lt;="&amp;'C1 GEG Setting'!$C$6,'C5 GEG LR Aktual'!$D$11:$O$11)+SUMIF('C5 GEG LR Aktual'!$D$5:$O$5,"&lt;="&amp;'C1 GEG Setting'!$C$6,'C5 GEG LR Aktual'!$D$12:$O$12))*1000000/((SUMIF('C3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Aktual'!$D$18:$O$18)))/(IFERROR(AVERAGEIFS('C3 GEG Ops Aktual'!$D$25:$O$25,'C3 GEG Ops Aktual'!$D$5:$O$5,"&lt;="&amp;'C1 GEG Setting'!$C$6),0)),0)</f>
        <v/>
      </c>
      <c r="K40" s="52">
        <f>IFERROR((SUMIF('C4 GEG LR Budget'!$D$5:$O$5,"&lt;="&amp;'C1 GEG Setting'!$C$6,'C4 GEG LR Budget'!$D$11:$O$11)+SUMIF('C4 GEG LR Budget'!$D$5:$O$5,"&lt;="&amp;'C1 GEG Setting'!$C$6,'C4 GEG LR Budget'!$D$12:$O$12))*1000000/((SUMIF('C2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Budget'!$D$18:$O$18)))/(IFERROR(AVERAGEIFS('C2 GEG Ops Budget'!$D$25:$O$25,'C2 GEG Ops Budget'!$D$5:$O$5,"&lt;="&amp;'C1 GEG Setting'!$C$6),0)),0)</f>
        <v/>
      </c>
      <c r="L40" s="53">
        <f>IFERROR(J40-K40,0)</f>
        <v/>
      </c>
      <c r="M40" s="54">
        <f>IFERROR(L40/ABS(K40),"")</f>
        <v/>
      </c>
      <c r="N40" s="108" t="n"/>
    </row>
    <row r="41">
      <c r="A41" s="48" t="inlineStr">
        <is>
          <t>MARJIN KAS per MT (ASP – total cash cost)</t>
        </is>
      </c>
      <c r="B41" s="49" t="inlineStr">
        <is>
          <t>USD/MT</t>
        </is>
      </c>
      <c r="C41" s="73">
        <f>C40-C35</f>
        <v/>
      </c>
      <c r="D41" s="73">
        <f>D40-D35</f>
        <v/>
      </c>
      <c r="E41" s="53">
        <f>IFERROR(D41-C41,0)</f>
        <v/>
      </c>
      <c r="F41" s="54">
        <f>IFERROR(E41/ABS(C41),"")</f>
        <v/>
      </c>
      <c r="G41" s="73">
        <f>G40-G35</f>
        <v/>
      </c>
      <c r="H41" s="53">
        <f>IFERROR(D41-G41,0)</f>
        <v/>
      </c>
      <c r="I41" s="54">
        <f>IFERROR(H41/ABS(G41),"")</f>
        <v/>
      </c>
      <c r="J41" s="73">
        <f>J40-J35</f>
        <v/>
      </c>
      <c r="K41" s="73">
        <f>K40-K35</f>
        <v/>
      </c>
      <c r="L41" s="53">
        <f>IFERROR(J41-K41,0)</f>
        <v/>
      </c>
      <c r="M41" s="54">
        <f>IFERROR(L41/ABS(K41),"")</f>
        <v/>
      </c>
      <c r="N41" s="108" t="n"/>
    </row>
    <row r="42">
      <c r="A42" s="48" t="inlineStr">
        <is>
          <t>MARJIN BERSIH per MT (ASP – all-in cost)</t>
        </is>
      </c>
      <c r="B42" s="49" t="inlineStr">
        <is>
          <t>USD/MT</t>
        </is>
      </c>
      <c r="C42" s="73">
        <f>C40-C39</f>
        <v/>
      </c>
      <c r="D42" s="73">
        <f>D40-D39</f>
        <v/>
      </c>
      <c r="E42" s="53">
        <f>IFERROR(D42-C42,0)</f>
        <v/>
      </c>
      <c r="F42" s="54">
        <f>IFERROR(E42/ABS(C42),"")</f>
        <v/>
      </c>
      <c r="G42" s="73">
        <f>G40-G39</f>
        <v/>
      </c>
      <c r="H42" s="53">
        <f>IFERROR(D42-G42,0)</f>
        <v/>
      </c>
      <c r="I42" s="54">
        <f>IFERROR(H42/ABS(G42),"")</f>
        <v/>
      </c>
      <c r="J42" s="73">
        <f>J40-J39</f>
        <v/>
      </c>
      <c r="K42" s="73">
        <f>K40-K39</f>
        <v/>
      </c>
      <c r="L42" s="53">
        <f>IFERROR(J42-K42,0)</f>
        <v/>
      </c>
      <c r="M42" s="54">
        <f>IFERROR(L42/ABS(K42),"")</f>
        <v/>
      </c>
      <c r="N42" s="108" t="n"/>
    </row>
    <row r="43"/>
    <row r="44">
      <c r="A44" s="4" t="inlineStr">
        <is>
          <t>B2. COST PER MT dalam Rupiah (Rp/MT)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32" customHeight="1">
      <c r="A45" s="16" t="inlineStr">
        <is>
          <t>Komponen</t>
        </is>
      </c>
      <c r="B45" s="16" t="inlineStr">
        <is>
          <t>Satuan</t>
        </is>
      </c>
      <c r="C45" s="16" t="inlineStr">
        <is>
          <t>Bulan lalu
Aktual</t>
        </is>
      </c>
      <c r="D45" s="16" t="inlineStr">
        <is>
          <t>Bulan ini
Aktual</t>
        </is>
      </c>
      <c r="E45" s="16" t="inlineStr">
        <is>
          <t>Var MoM</t>
        </is>
      </c>
      <c r="F45" s="16" t="inlineStr">
        <is>
          <t>Var MoM %</t>
        </is>
      </c>
      <c r="G45" s="16" t="inlineStr">
        <is>
          <t>Bulan ini
Budget</t>
        </is>
      </c>
      <c r="H45" s="16" t="inlineStr">
        <is>
          <t>Var vs Budget</t>
        </is>
      </c>
      <c r="I45" s="16" t="inlineStr">
        <is>
          <t>Var %</t>
        </is>
      </c>
      <c r="J45" s="16" t="inlineStr">
        <is>
          <t>YTD
Aktual</t>
        </is>
      </c>
      <c r="K45" s="16" t="inlineStr">
        <is>
          <t>YTD
Budget</t>
        </is>
      </c>
      <c r="L45" s="16" t="inlineStr">
        <is>
          <t>Var YTD</t>
        </is>
      </c>
      <c r="M45" s="16" t="inlineStr">
        <is>
          <t>Var YTD %</t>
        </is>
      </c>
      <c r="N45" s="16" t="inlineStr">
        <is>
          <t>Catatan / penjelasan varians (diisi FP&amp;A)</t>
        </is>
      </c>
    </row>
    <row r="46">
      <c r="A46" s="48" t="inlineStr">
        <is>
          <t>Cash cost FOB excl. royalti per MT</t>
        </is>
      </c>
      <c r="B46" s="49" t="inlineStr">
        <is>
          <t>Rp/MT</t>
        </is>
      </c>
      <c r="C46" s="50">
        <f>IFERROR((IF('C1 GEG Setting'!$C$6=1,0,INDEX('C5 GEG LR Aktual'!$D$25:$O$25,'C1 GEG Setting'!$C$6-1))+IF('C1 GEG Setting'!$C$6=1,0,INDEX('C5 GEG LR Aktual'!$D$31:$O$31,'C1 GEG Setting'!$C$6-1))+IF('C1 GEG Setting'!$C$6=1,0,INDEX('C5 GEG LR Aktual'!$D$41:$O$41,'C1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Setting'!$C$6-1)))),0)</f>
        <v/>
      </c>
      <c r="D46" s="50">
        <f>IFERROR((INDEX('C5 GEG LR Aktual'!$D$25:$O$25,'C1 GEG Setting'!$C$6)+INDEX('C5 GEG LR Aktual'!$D$31:$O$31,'C1 GEG Setting'!$C$6)+INDEX('C5 GEG LR Aktual'!$D$41:$O$41,'C1 GEG Setting'!$C$6))*1000000/((INDEX('C3 GEG Ops Aktual'!$D$16:$O$16,'C1 GEG Setting'!$C$6)+INDEX('C3 GEG Ops Aktual'!$D$17:$O$17,'C1 GEG Setting'!$C$6)+INDEX('C3 GEG Ops Aktual'!$D$18:$O$18,'C1 GEG Setting'!$C$6))),0)</f>
        <v/>
      </c>
      <c r="E46" s="107">
        <f>IFERROR(D46-C46,0)</f>
        <v/>
      </c>
      <c r="F46" s="54">
        <f>IFERROR(E46/ABS(C46),"")</f>
        <v/>
      </c>
      <c r="G46" s="50">
        <f>IFERROR((INDEX('C4 GEG LR Budget'!$D$25:$O$25,'C1 GEG Setting'!$C$6)+INDEX('C4 GEG LR Budget'!$D$31:$O$31,'C1 GEG Setting'!$C$6)+INDEX('C4 GEG LR Budget'!$D$41:$O$41,'C1 GEG Setting'!$C$6))*1000000/((INDEX('C2 GEG Ops Budget'!$D$16:$O$16,'C1 GEG Setting'!$C$6)+INDEX('C2 GEG Ops Budget'!$D$17:$O$17,'C1 GEG Setting'!$C$6)+INDEX('C2 GEG Ops Budget'!$D$18:$O$18,'C1 GEG Setting'!$C$6))),0)</f>
        <v/>
      </c>
      <c r="H46" s="107">
        <f>IFERROR(D46-G46,0)</f>
        <v/>
      </c>
      <c r="I46" s="54">
        <f>IFERROR(H46/ABS(G46),"")</f>
        <v/>
      </c>
      <c r="J46" s="50">
        <f>IFERROR((SUMIF('C5 GEG LR Aktual'!$D$5:$O$5,"&lt;="&amp;'C1 GEG Setting'!$C$6,'C5 GEG LR Aktual'!$D$25:$O$25)+SUMIF('C5 GEG LR Aktual'!$D$5:$O$5,"&lt;="&amp;'C1 GEG Setting'!$C$6,'C5 GEG LR Aktual'!$D$31:$O$31)+SUMIF('C5 GEG LR Aktual'!$D$5:$O$5,"&lt;="&amp;'C1 GEG Setting'!$C$6,'C5 GEG LR Aktual'!$D$41:$O$41))*1000000/((SUMIF('C3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Aktual'!$D$18:$O$18))),0)</f>
        <v/>
      </c>
      <c r="K46" s="50">
        <f>IFERROR((SUMIF('C4 GEG LR Budget'!$D$5:$O$5,"&lt;="&amp;'C1 GEG Setting'!$C$6,'C4 GEG LR Budget'!$D$25:$O$25)+SUMIF('C4 GEG LR Budget'!$D$5:$O$5,"&lt;="&amp;'C1 GEG Setting'!$C$6,'C4 GEG LR Budget'!$D$31:$O$31)+SUMIF('C4 GEG LR Budget'!$D$5:$O$5,"&lt;="&amp;'C1 GEG Setting'!$C$6,'C4 GEG LR Budget'!$D$41:$O$41))*1000000/((SUMIF('C2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Budget'!$D$18:$O$18))),0)</f>
        <v/>
      </c>
      <c r="L46" s="107">
        <f>IFERROR(J46-K46,0)</f>
        <v/>
      </c>
      <c r="M46" s="54">
        <f>IFERROR(L46/ABS(K46),"")</f>
        <v/>
      </c>
      <c r="N46" s="108" t="n"/>
    </row>
    <row r="47">
      <c r="A47" s="48" t="inlineStr">
        <is>
          <t>Total cash cost per MT</t>
        </is>
      </c>
      <c r="B47" s="49" t="inlineStr">
        <is>
          <t>Rp/MT</t>
        </is>
      </c>
      <c r="C47" s="50">
        <f>IFERROR((IF('C1 GEG Setting'!$C$6=1,0,INDEX('C5 GEG LR Aktual'!$D$25:$O$25,'C1 GEG Setting'!$C$6-1))+IF('C1 GEG Setting'!$C$6=1,0,INDEX('C5 GEG LR Aktual'!$D$31:$O$31,'C1 GEG Setting'!$C$6-1))+IF('C1 GEG Setting'!$C$6=1,0,INDEX('C5 GEG LR Aktual'!$D$41:$O$41,'C1 GEG Setting'!$C$6-1))+IF('C1 GEG Setting'!$C$6=1,0,INDEX('C5 GEG LR Aktual'!$D$33:$O$33,'C1 GEG Setting'!$C$6-1))+IF('C1 GEG Setting'!$C$6=1,0,INDEX('C5 GEG LR Aktual'!$D$60:$O$60,'C1 GEG Setting'!$C$6-1))+IF('C1 GEG Setting'!$C$6=1,0,INDEX('C5 GEG LR Aktual'!$D$71:$O$71,'C1 GEG Setting'!$C$6-1))-IF('C1 GEG Setting'!$C$6=1,0,INDEX('C5 GEG LR Aktual'!$D$69:$O$69,'C1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Setting'!$C$6-1)))),0)</f>
        <v/>
      </c>
      <c r="D47" s="50">
        <f>IFERROR((INDEX('C5 GEG LR Aktual'!$D$25:$O$25,'C1 GEG Setting'!$C$6)+INDEX('C5 GEG LR Aktual'!$D$31:$O$31,'C1 GEG Setting'!$C$6)+INDEX('C5 GEG LR Aktual'!$D$41:$O$41,'C1 GEG Setting'!$C$6)+INDEX('C5 GEG LR Aktual'!$D$33:$O$33,'C1 GEG Setting'!$C$6)+INDEX('C5 GEG LR Aktual'!$D$60:$O$60,'C1 GEG Setting'!$C$6)+INDEX('C5 GEG LR Aktual'!$D$71:$O$71,'C1 GEG Setting'!$C$6)-INDEX('C5 GEG LR Aktual'!$D$69:$O$69,'C1 GEG Setting'!$C$6))*1000000/((INDEX('C3 GEG Ops Aktual'!$D$16:$O$16,'C1 GEG Setting'!$C$6)+INDEX('C3 GEG Ops Aktual'!$D$17:$O$17,'C1 GEG Setting'!$C$6)+INDEX('C3 GEG Ops Aktual'!$D$18:$O$18,'C1 GEG Setting'!$C$6))),0)</f>
        <v/>
      </c>
      <c r="E47" s="107">
        <f>IFERROR(D47-C47,0)</f>
        <v/>
      </c>
      <c r="F47" s="54">
        <f>IFERROR(E47/ABS(C47),"")</f>
        <v/>
      </c>
      <c r="G47" s="50">
        <f>IFERROR((INDEX('C4 GEG LR Budget'!$D$25:$O$25,'C1 GEG Setting'!$C$6)+INDEX('C4 GEG LR Budget'!$D$31:$O$31,'C1 GEG Setting'!$C$6)+INDEX('C4 GEG LR Budget'!$D$41:$O$41,'C1 GEG Setting'!$C$6)+INDEX('C4 GEG LR Budget'!$D$33:$O$33,'C1 GEG Setting'!$C$6)+INDEX('C4 GEG LR Budget'!$D$60:$O$60,'C1 GEG Setting'!$C$6)+INDEX('C4 GEG LR Budget'!$D$71:$O$71,'C1 GEG Setting'!$C$6)-INDEX('C4 GEG LR Budget'!$D$69:$O$69,'C1 GEG Setting'!$C$6))*1000000/((INDEX('C2 GEG Ops Budget'!$D$16:$O$16,'C1 GEG Setting'!$C$6)+INDEX('C2 GEG Ops Budget'!$D$17:$O$17,'C1 GEG Setting'!$C$6)+INDEX('C2 GEG Ops Budget'!$D$18:$O$18,'C1 GEG Setting'!$C$6))),0)</f>
        <v/>
      </c>
      <c r="H47" s="107">
        <f>IFERROR(D47-G47,0)</f>
        <v/>
      </c>
      <c r="I47" s="54">
        <f>IFERROR(H47/ABS(G47),"")</f>
        <v/>
      </c>
      <c r="J47" s="50">
        <f>IFERROR((SUMIF('C5 GEG LR Aktual'!$D$5:$O$5,"&lt;="&amp;'C1 GEG Setting'!$C$6,'C5 GEG LR Aktual'!$D$25:$O$25)+SUMIF('C5 GEG LR Aktual'!$D$5:$O$5,"&lt;="&amp;'C1 GEG Setting'!$C$6,'C5 GEG LR Aktual'!$D$31:$O$31)+SUMIF('C5 GEG LR Aktual'!$D$5:$O$5,"&lt;="&amp;'C1 GEG Setting'!$C$6,'C5 GEG LR Aktual'!$D$41:$O$41)+SUMIF('C5 GEG LR Aktual'!$D$5:$O$5,"&lt;="&amp;'C1 GEG Setting'!$C$6,'C5 GEG LR Aktual'!$D$33:$O$33)+SUMIF('C5 GEG LR Aktual'!$D$5:$O$5,"&lt;="&amp;'C1 GEG Setting'!$C$6,'C5 GEG LR Aktual'!$D$60:$O$60)+SUMIF('C5 GEG LR Aktual'!$D$5:$O$5,"&lt;="&amp;'C1 GEG Setting'!$C$6,'C5 GEG LR Aktual'!$D$71:$O$71)-SUMIF('C5 GEG LR Aktual'!$D$5:$O$5,"&lt;="&amp;'C1 GEG Setting'!$C$6,'C5 GEG LR Aktual'!$D$69:$O$69))*1000000/((SUMIF('C3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Aktual'!$D$18:$O$18))),0)</f>
        <v/>
      </c>
      <c r="K47" s="50">
        <f>IFERROR((SUMIF('C4 GEG LR Budget'!$D$5:$O$5,"&lt;="&amp;'C1 GEG Setting'!$C$6,'C4 GEG LR Budget'!$D$25:$O$25)+SUMIF('C4 GEG LR Budget'!$D$5:$O$5,"&lt;="&amp;'C1 GEG Setting'!$C$6,'C4 GEG LR Budget'!$D$31:$O$31)+SUMIF('C4 GEG LR Budget'!$D$5:$O$5,"&lt;="&amp;'C1 GEG Setting'!$C$6,'C4 GEG LR Budget'!$D$41:$O$41)+SUMIF('C4 GEG LR Budget'!$D$5:$O$5,"&lt;="&amp;'C1 GEG Setting'!$C$6,'C4 GEG LR Budget'!$D$33:$O$33)+SUMIF('C4 GEG LR Budget'!$D$5:$O$5,"&lt;="&amp;'C1 GEG Setting'!$C$6,'C4 GEG LR Budget'!$D$60:$O$60)+SUMIF('C4 GEG LR Budget'!$D$5:$O$5,"&lt;="&amp;'C1 GEG Setting'!$C$6,'C4 GEG LR Budget'!$D$71:$O$71)-SUMIF('C4 GEG LR Budget'!$D$5:$O$5,"&lt;="&amp;'C1 GEG Setting'!$C$6,'C4 GEG LR Budget'!$D$69:$O$69))*1000000/((SUMIF('C2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Budget'!$D$18:$O$18))),0)</f>
        <v/>
      </c>
      <c r="L47" s="107">
        <f>IFERROR(J47-K47,0)</f>
        <v/>
      </c>
      <c r="M47" s="54">
        <f>IFERROR(L47/ABS(K47),"")</f>
        <v/>
      </c>
      <c r="N47" s="108" t="n"/>
    </row>
    <row r="48">
      <c r="A48" s="48" t="inlineStr">
        <is>
          <t>All-in cost per MT</t>
        </is>
      </c>
      <c r="B48" s="49" t="inlineStr">
        <is>
          <t>Rp/MT</t>
        </is>
      </c>
      <c r="C48" s="50">
        <f>IFERROR((IF('C1 GEG Setting'!$C$6=1,0,INDEX('C5 GEG LR Aktual'!$D$25:$O$25,'C1 GEG Setting'!$C$6-1))+IF('C1 GEG Setting'!$C$6=1,0,INDEX('C5 GEG LR Aktual'!$D$31:$O$31,'C1 GEG Setting'!$C$6-1))+IF('C1 GEG Setting'!$C$6=1,0,INDEX('C5 GEG LR Aktual'!$D$41:$O$41,'C1 GEG Setting'!$C$6-1))+IF('C1 GEG Setting'!$C$6=1,0,INDEX('C5 GEG LR Aktual'!$D$33:$O$33,'C1 GEG Setting'!$C$6-1))+IF('C1 GEG Setting'!$C$6=1,0,INDEX('C5 GEG LR Aktual'!$D$60:$O$60,'C1 GEG Setting'!$C$6-1))+IF('C1 GEG Setting'!$C$6=1,0,INDEX('C5 GEG LR Aktual'!$D$71:$O$71,'C1 GEG Setting'!$C$6-1))-IF('C1 GEG Setting'!$C$6=1,0,INDEX('C5 GEG LR Aktual'!$D$69:$O$69,'C1 GEG Setting'!$C$6-1))+IF('C1 GEG Setting'!$C$6=1,0,INDEX('C5 GEG LR Aktual'!$D$46:$O$46,'C1 GEG Setting'!$C$6-1))+IF('C1 GEG Setting'!$C$6=1,0,INDEX('C5 GEG LR Aktual'!$D$69:$O$69,'C1 GEG Setting'!$C$6-1))-IF('C1 GEG Setting'!$C$6=1,0,INDEX('C5 GEG LR Aktual'!$D$77:$O$77,'C1 GEG Setting'!$C$6-1)))*1000000/((IF('C1 GEG Setting'!$C$6=1,0,INDEX('C3 GEG Ops Aktual'!$D$16:$O$16,'C1 GEG Setting'!$C$6-1))+IF('C1 GEG Setting'!$C$6=1,0,INDEX('C3 GEG Ops Aktual'!$D$17:$O$17,'C1 GEG Setting'!$C$6-1))+IF('C1 GEG Setting'!$C$6=1,0,INDEX('C3 GEG Ops Aktual'!$D$18:$O$18,'C1 GEG Setting'!$C$6-1)))),0)</f>
        <v/>
      </c>
      <c r="D48" s="50">
        <f>IFERROR((INDEX('C5 GEG LR Aktual'!$D$25:$O$25,'C1 GEG Setting'!$C$6)+INDEX('C5 GEG LR Aktual'!$D$31:$O$31,'C1 GEG Setting'!$C$6)+INDEX('C5 GEG LR Aktual'!$D$41:$O$41,'C1 GEG Setting'!$C$6)+INDEX('C5 GEG LR Aktual'!$D$33:$O$33,'C1 GEG Setting'!$C$6)+INDEX('C5 GEG LR Aktual'!$D$60:$O$60,'C1 GEG Setting'!$C$6)+INDEX('C5 GEG LR Aktual'!$D$71:$O$71,'C1 GEG Setting'!$C$6)-INDEX('C5 GEG LR Aktual'!$D$69:$O$69,'C1 GEG Setting'!$C$6)+INDEX('C5 GEG LR Aktual'!$D$46:$O$46,'C1 GEG Setting'!$C$6)+INDEX('C5 GEG LR Aktual'!$D$69:$O$69,'C1 GEG Setting'!$C$6)-INDEX('C5 GEG LR Aktual'!$D$77:$O$77,'C1 GEG Setting'!$C$6))*1000000/((INDEX('C3 GEG Ops Aktual'!$D$16:$O$16,'C1 GEG Setting'!$C$6)+INDEX('C3 GEG Ops Aktual'!$D$17:$O$17,'C1 GEG Setting'!$C$6)+INDEX('C3 GEG Ops Aktual'!$D$18:$O$18,'C1 GEG Setting'!$C$6))),0)</f>
        <v/>
      </c>
      <c r="E48" s="107">
        <f>IFERROR(D48-C48,0)</f>
        <v/>
      </c>
      <c r="F48" s="54">
        <f>IFERROR(E48/ABS(C48),"")</f>
        <v/>
      </c>
      <c r="G48" s="50">
        <f>IFERROR((INDEX('C4 GEG LR Budget'!$D$25:$O$25,'C1 GEG Setting'!$C$6)+INDEX('C4 GEG LR Budget'!$D$31:$O$31,'C1 GEG Setting'!$C$6)+INDEX('C4 GEG LR Budget'!$D$41:$O$41,'C1 GEG Setting'!$C$6)+INDEX('C4 GEG LR Budget'!$D$33:$O$33,'C1 GEG Setting'!$C$6)+INDEX('C4 GEG LR Budget'!$D$60:$O$60,'C1 GEG Setting'!$C$6)+INDEX('C4 GEG LR Budget'!$D$71:$O$71,'C1 GEG Setting'!$C$6)-INDEX('C4 GEG LR Budget'!$D$69:$O$69,'C1 GEG Setting'!$C$6)+INDEX('C4 GEG LR Budget'!$D$46:$O$46,'C1 GEG Setting'!$C$6)+INDEX('C4 GEG LR Budget'!$D$69:$O$69,'C1 GEG Setting'!$C$6)-INDEX('C4 GEG LR Budget'!$D$77:$O$77,'C1 GEG Setting'!$C$6))*1000000/((INDEX('C2 GEG Ops Budget'!$D$16:$O$16,'C1 GEG Setting'!$C$6)+INDEX('C2 GEG Ops Budget'!$D$17:$O$17,'C1 GEG Setting'!$C$6)+INDEX('C2 GEG Ops Budget'!$D$18:$O$18,'C1 GEG Setting'!$C$6))),0)</f>
        <v/>
      </c>
      <c r="H48" s="107">
        <f>IFERROR(D48-G48,0)</f>
        <v/>
      </c>
      <c r="I48" s="54">
        <f>IFERROR(H48/ABS(G48),"")</f>
        <v/>
      </c>
      <c r="J48" s="50">
        <f>IFERROR((SUMIF('C5 GEG LR Aktual'!$D$5:$O$5,"&lt;="&amp;'C1 GEG Setting'!$C$6,'C5 GEG LR Aktual'!$D$25:$O$25)+SUMIF('C5 GEG LR Aktual'!$D$5:$O$5,"&lt;="&amp;'C1 GEG Setting'!$C$6,'C5 GEG LR Aktual'!$D$31:$O$31)+SUMIF('C5 GEG LR Aktual'!$D$5:$O$5,"&lt;="&amp;'C1 GEG Setting'!$C$6,'C5 GEG LR Aktual'!$D$41:$O$41)+SUMIF('C5 GEG LR Aktual'!$D$5:$O$5,"&lt;="&amp;'C1 GEG Setting'!$C$6,'C5 GEG LR Aktual'!$D$33:$O$33)+SUMIF('C5 GEG LR Aktual'!$D$5:$O$5,"&lt;="&amp;'C1 GEG Setting'!$C$6,'C5 GEG LR Aktual'!$D$60:$O$60)+SUMIF('C5 GEG LR Aktual'!$D$5:$O$5,"&lt;="&amp;'C1 GEG Setting'!$C$6,'C5 GEG LR Aktual'!$D$71:$O$71)-SUMIF('C5 GEG LR Aktual'!$D$5:$O$5,"&lt;="&amp;'C1 GEG Setting'!$C$6,'C5 GEG LR Aktual'!$D$69:$O$69)+SUMIF('C5 GEG LR Aktual'!$D$5:$O$5,"&lt;="&amp;'C1 GEG Setting'!$C$6,'C5 GEG LR Aktual'!$D$46:$O$46)+SUMIF('C5 GEG LR Aktual'!$D$5:$O$5,"&lt;="&amp;'C1 GEG Setting'!$C$6,'C5 GEG LR Aktual'!$D$69:$O$69)-SUMIF('C5 GEG LR Aktual'!$D$5:$O$5,"&lt;="&amp;'C1 GEG Setting'!$C$6,'C5 GEG LR Aktual'!$D$77:$O$77))*1000000/((SUMIF('C3 GEG Ops Aktual'!$D$5:$O$5,"&lt;="&amp;'C1 GEG Setting'!$C$6,'C3 GEG Ops Aktual'!$D$16:$O$16)+SUMIF('C3 GEG Ops Aktual'!$D$5:$O$5,"&lt;="&amp;'C1 GEG Setting'!$C$6,'C3 GEG Ops Aktual'!$D$17:$O$17)+SUMIF('C3 GEG Ops Aktual'!$D$5:$O$5,"&lt;="&amp;'C1 GEG Setting'!$C$6,'C3 GEG Ops Aktual'!$D$18:$O$18))),0)</f>
        <v/>
      </c>
      <c r="K48" s="50">
        <f>IFERROR((SUMIF('C4 GEG LR Budget'!$D$5:$O$5,"&lt;="&amp;'C1 GEG Setting'!$C$6,'C4 GEG LR Budget'!$D$25:$O$25)+SUMIF('C4 GEG LR Budget'!$D$5:$O$5,"&lt;="&amp;'C1 GEG Setting'!$C$6,'C4 GEG LR Budget'!$D$31:$O$31)+SUMIF('C4 GEG LR Budget'!$D$5:$O$5,"&lt;="&amp;'C1 GEG Setting'!$C$6,'C4 GEG LR Budget'!$D$41:$O$41)+SUMIF('C4 GEG LR Budget'!$D$5:$O$5,"&lt;="&amp;'C1 GEG Setting'!$C$6,'C4 GEG LR Budget'!$D$33:$O$33)+SUMIF('C4 GEG LR Budget'!$D$5:$O$5,"&lt;="&amp;'C1 GEG Setting'!$C$6,'C4 GEG LR Budget'!$D$60:$O$60)+SUMIF('C4 GEG LR Budget'!$D$5:$O$5,"&lt;="&amp;'C1 GEG Setting'!$C$6,'C4 GEG LR Budget'!$D$71:$O$71)-SUMIF('C4 GEG LR Budget'!$D$5:$O$5,"&lt;="&amp;'C1 GEG Setting'!$C$6,'C4 GEG LR Budget'!$D$69:$O$69)+SUMIF('C4 GEG LR Budget'!$D$5:$O$5,"&lt;="&amp;'C1 GEG Setting'!$C$6,'C4 GEG LR Budget'!$D$46:$O$46)+SUMIF('C4 GEG LR Budget'!$D$5:$O$5,"&lt;="&amp;'C1 GEG Setting'!$C$6,'C4 GEG LR Budget'!$D$69:$O$69)-SUMIF('C4 GEG LR Budget'!$D$5:$O$5,"&lt;="&amp;'C1 GEG Setting'!$C$6,'C4 GEG LR Budget'!$D$77:$O$77))*1000000/((SUMIF('C2 GEG Ops Budget'!$D$5:$O$5,"&lt;="&amp;'C1 GEG Setting'!$C$6,'C2 GEG Ops Budget'!$D$16:$O$16)+SUMIF('C2 GEG Ops Budget'!$D$5:$O$5,"&lt;="&amp;'C1 GEG Setting'!$C$6,'C2 GEG Ops Budget'!$D$17:$O$17)+SUMIF('C2 GEG Ops Budget'!$D$5:$O$5,"&lt;="&amp;'C1 GEG Setting'!$C$6,'C2 GEG Ops Budget'!$D$18:$O$18))),0)</f>
        <v/>
      </c>
      <c r="L48" s="107">
        <f>IFERROR(J48-K48,0)</f>
        <v/>
      </c>
      <c r="M48" s="54">
        <f>IFERROR(L48/ABS(K48),"")</f>
        <v/>
      </c>
      <c r="N48" s="108" t="n"/>
    </row>
    <row r="49">
      <c r="A49" s="3" t="inlineStr">
        <is>
          <t>Varians biaya per unit positif = lebih mahal dari pembanding (tidak menguntungkan). Untuk ASP &amp; marjin, positif = lebih baik.</t>
        </is>
      </c>
    </row>
    <row r="50"/>
    <row r="51">
      <c r="A51" s="4" t="inlineStr">
        <is>
          <t>C. JEMBATAN: dari COST PER BCM ke COST OB PER MT TERJUAL (Aktual vs Budget)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 ht="32" customHeight="1">
      <c r="A52" s="16" t="inlineStr">
        <is>
          <t>Uraian</t>
        </is>
      </c>
      <c r="B52" s="16" t="inlineStr">
        <is>
          <t>Satuan</t>
        </is>
      </c>
      <c r="C52" s="16" t="inlineStr">
        <is>
          <t>Bulan ini
Aktual</t>
        </is>
      </c>
      <c r="D52" s="16" t="inlineStr">
        <is>
          <t>Bulan ini
Budget</t>
        </is>
      </c>
      <c r="E52" s="16" t="inlineStr">
        <is>
          <t>Selisih</t>
        </is>
      </c>
      <c r="F52" s="16" t="inlineStr"/>
      <c r="G52" s="16" t="inlineStr"/>
      <c r="H52" s="16" t="inlineStr">
        <is>
          <t>YTD
Aktual</t>
        </is>
      </c>
      <c r="I52" s="16" t="inlineStr">
        <is>
          <t>YTD
Budget</t>
        </is>
      </c>
      <c r="J52" s="16" t="inlineStr">
        <is>
          <t>Selisih</t>
        </is>
      </c>
      <c r="K52" s="16" t="inlineStr"/>
      <c r="L52" s="16" t="inlineStr"/>
      <c r="M52" s="16" t="inlineStr"/>
      <c r="N52" s="16" t="inlineStr">
        <is>
          <t>Penjelasan</t>
        </is>
      </c>
    </row>
    <row r="53">
      <c r="A53" s="10" t="inlineStr">
        <is>
          <t>Cost per BCM pengupasan OB</t>
        </is>
      </c>
      <c r="B53" s="3" t="inlineStr">
        <is>
          <t>USD/bcm</t>
        </is>
      </c>
      <c r="C53" s="47">
        <f>D10</f>
        <v/>
      </c>
      <c r="D53" s="47">
        <f>G10</f>
        <v/>
      </c>
      <c r="E53" s="47">
        <f>C53-D53</f>
        <v/>
      </c>
      <c r="H53" s="47">
        <f>J10</f>
        <v/>
      </c>
      <c r="I53" s="47">
        <f>K10</f>
        <v/>
      </c>
      <c r="J53" s="47">
        <f>H53-I53</f>
        <v/>
      </c>
      <c r="N53" s="3" t="inlineStr">
        <is>
          <t>Tarif kontraktor + BBM + peledakan per bcm</t>
        </is>
      </c>
    </row>
    <row r="54">
      <c r="A54" s="10" t="inlineStr">
        <is>
          <t>BCM OB per MT terjual (SR efektif)</t>
        </is>
      </c>
      <c r="B54" s="3" t="inlineStr">
        <is>
          <t>bcm/MT</t>
        </is>
      </c>
      <c r="C54" s="47">
        <f>IFERROR(D6/D21,0)</f>
        <v/>
      </c>
      <c r="D54" s="47">
        <f>IFERROR(G6/G21,0)</f>
        <v/>
      </c>
      <c r="E54" s="47">
        <f>C54-D54</f>
        <v/>
      </c>
      <c r="H54" s="47">
        <f>IFERROR(J6/J21,0)</f>
        <v/>
      </c>
      <c r="I54" s="47">
        <f>IFERROR(K6/K21,0)</f>
        <v/>
      </c>
      <c r="J54" s="47">
        <f>H54-I54</f>
        <v/>
      </c>
      <c r="N54" s="3" t="inlineStr">
        <is>
          <t>SR × (produksi ÷ penjualan)</t>
        </is>
      </c>
    </row>
    <row r="55">
      <c r="A55" s="46" t="inlineStr">
        <is>
          <t>Cost OB per MT terjual</t>
        </is>
      </c>
      <c r="B55" s="3" t="inlineStr">
        <is>
          <t>USD/MT</t>
        </is>
      </c>
      <c r="C55" s="60">
        <f>C53*C54</f>
        <v/>
      </c>
      <c r="D55" s="60">
        <f>D53*D54</f>
        <v/>
      </c>
      <c r="E55" s="47">
        <f>C55-D55</f>
        <v/>
      </c>
      <c r="H55" s="60">
        <f>H53*H54</f>
        <v/>
      </c>
      <c r="I55" s="60">
        <f>I53*I54</f>
        <v/>
      </c>
      <c r="J55" s="47">
        <f>H55-I55</f>
        <v/>
      </c>
      <c r="N55" s="3" t="inlineStr">
        <is>
          <t>Cost per BCM × BCM per MT</t>
        </is>
      </c>
    </row>
    <row r="56">
      <c r="A56" s="10" t="inlineStr">
        <is>
          <t>Efek tarif (cost per BCM) = Δ cost/bcm × BCM per MT budget</t>
        </is>
      </c>
      <c r="B56" s="3" t="inlineStr">
        <is>
          <t>USD/MT</t>
        </is>
      </c>
      <c r="E56" s="47">
        <f>(C53-D53)*D54</f>
        <v/>
      </c>
      <c r="J56" s="47">
        <f>(H53-I53)*I54</f>
        <v/>
      </c>
      <c r="N56" s="3" t="inlineStr">
        <is>
          <t>Dikendalikan: negosiasi tarif, BBM, produktivitas armada</t>
        </is>
      </c>
    </row>
    <row r="57">
      <c r="A57" s="10" t="inlineStr">
        <is>
          <t>Efek stripping ratio = Δ BCM per MT × cost/bcm aktual</t>
        </is>
      </c>
      <c r="B57" s="3" t="inlineStr">
        <is>
          <t>USD/MT</t>
        </is>
      </c>
      <c r="E57" s="47">
        <f>(C54-D54)*C53</f>
        <v/>
      </c>
      <c r="J57" s="47">
        <f>(H54-I54)*H53</f>
        <v/>
      </c>
      <c r="N57" s="3" t="inlineStr">
        <is>
          <t>Dikendalikan: disiplin mine plan, sekuens pit</t>
        </is>
      </c>
    </row>
    <row r="58">
      <c r="A58" s="46" t="inlineStr">
        <is>
          <t>Total selisih cost OB per MT (cek = baris di atas)</t>
        </is>
      </c>
      <c r="B58" s="3" t="inlineStr">
        <is>
          <t>USD/MT</t>
        </is>
      </c>
      <c r="E58" s="60">
        <f>E56+E57</f>
        <v/>
      </c>
      <c r="J58" s="60">
        <f>J56+J57</f>
        <v/>
      </c>
      <c r="N58" s="3" t="inlineStr"/>
    </row>
    <row r="59">
      <c r="A59" s="37" t="inlineStr">
        <is>
          <t>Cek: total efek – selisih cost OB per MT (harus 0)</t>
        </is>
      </c>
      <c r="E59" s="113">
        <f>ROUND(E58-E55,6)</f>
        <v/>
      </c>
      <c r="J59" s="113">
        <f>ROUND(J58-J55,6)</f>
        <v/>
      </c>
    </row>
    <row r="60">
      <c r="A60" s="46" t="inlineStr">
        <is>
          <t>Dampak rupiah YTD dari efek tarif (Rp juta)</t>
        </is>
      </c>
      <c r="J60" s="70">
        <f>J56*J21*IFERROR(AVERAGEIFS('C3 GEG Ops Aktual'!$D$25:$O$25,'C3 GEG Ops Aktual'!$D$5:$O$5,"&lt;="&amp;'C1 GEG Setting'!$C$6),0)/1000000</f>
        <v/>
      </c>
      <c r="N60" s="3" t="inlineStr">
        <is>
          <t>Positif (merah) = tambahan biaya vs budget; negatif (hijau) = penghematan.</t>
        </is>
      </c>
    </row>
    <row r="61">
      <c r="A61" s="46" t="inlineStr">
        <is>
          <t>Dampak rupiah YTD dari efek stripping ratio (Rp juta)</t>
        </is>
      </c>
      <c r="J61" s="70">
        <f>J57*J21*IFERROR(AVERAGEIFS('C3 GEG Ops Aktual'!$D$25:$O$25,'C3 GEG Ops Aktual'!$D$5:$O$5,"&lt;="&amp;'C1 GEG Setting'!$C$6),0)/1000000</f>
        <v/>
      </c>
    </row>
    <row r="62"/>
    <row r="63"/>
    <row r="64">
      <c r="A64" s="4" t="inlineStr">
        <is>
          <t>D. TREN BULANAN – Cost per BCM &amp; Cost per MT terjual (USD)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32" customHeight="1">
      <c r="A65" s="16" t="inlineStr">
        <is>
          <t>Bulan</t>
        </is>
      </c>
      <c r="B65" s="16" t="inlineStr">
        <is>
          <t>Cost/BCM OB
Aktual</t>
        </is>
      </c>
      <c r="C65" s="16" t="inlineStr">
        <is>
          <t>Cost/BCM OB
Budget</t>
        </is>
      </c>
      <c r="D65" s="16" t="inlineStr">
        <is>
          <t>Cash cost/MT
Aktual</t>
        </is>
      </c>
      <c r="E65" s="16" t="inlineStr">
        <is>
          <t>Cash cost/MT
Budget</t>
        </is>
      </c>
      <c r="F65" s="16" t="inlineStr">
        <is>
          <t>Total cash cost/MT
Aktual</t>
        </is>
      </c>
      <c r="G65" s="16" t="inlineStr">
        <is>
          <t>Total cash cost/MT
Budget</t>
        </is>
      </c>
      <c r="H65" s="16" t="inlineStr">
        <is>
          <t>ASP
Aktual</t>
        </is>
      </c>
      <c r="I65" s="16" t="inlineStr">
        <is>
          <t>ASP
Budget</t>
        </is>
      </c>
    </row>
    <row r="66">
      <c r="A66" s="10" t="inlineStr">
        <is>
          <t>Jan</t>
        </is>
      </c>
      <c r="B66" s="39">
        <f>IF(1&gt;'C1 GEG Setting'!$C$6,NA(),IFERROR(('C5 GEG LR Aktual'!D17+'C5 GEG LR Aktual'!D18+'C5 GEG LR Aktual'!D19)*1000000/('C3 GEG Ops Aktual'!D8)/'C3 GEG Ops Aktual'!D25,NA()))</f>
        <v/>
      </c>
      <c r="C66" s="39">
        <f>IFERROR(('C4 GEG LR Budget'!D17+'C4 GEG LR Budget'!D18+'C4 GEG LR Budget'!D19)*1000000/('C2 GEG Ops Budget'!D8)/'C2 GEG Ops Budget'!D25,NA())</f>
        <v/>
      </c>
      <c r="D66" s="39">
        <f>IF(1&gt;'C1 GEG Setting'!$C$6,NA(),IFERROR(('C5 GEG LR Aktual'!D25+'C5 GEG LR Aktual'!D31+'C5 GEG LR Aktual'!D41)*1000000/('C3 GEG Ops Aktual'!D16+'C3 GEG Ops Aktual'!D17+'C3 GEG Ops Aktual'!D18)/'C3 GEG Ops Aktual'!D25,NA()))</f>
        <v/>
      </c>
      <c r="E66" s="39">
        <f>IFERROR(('C4 GEG LR Budget'!D25+'C4 GEG LR Budget'!D31+'C4 GEG LR Budget'!D41)*1000000/('C2 GEG Ops Budget'!D16+'C2 GEG Ops Budget'!D17+'C2 GEG Ops Budget'!D18)/'C2 GEG Ops Budget'!D25,NA())</f>
        <v/>
      </c>
      <c r="F66" s="39">
        <f>IF(1&gt;'C1 GEG Setting'!$C$6,NA(),IFERROR(('C5 GEG LR Aktual'!D25+'C5 GEG LR Aktual'!D31+'C5 GEG LR Aktual'!D41+'C5 GEG LR Aktual'!D33+'C5 GEG LR Aktual'!D60+'C5 GEG LR Aktual'!D71-'C5 GEG LR Aktual'!D69)*1000000/('C3 GEG Ops Aktual'!D16+'C3 GEG Ops Aktual'!D17+'C3 GEG Ops Aktual'!D18)/'C3 GEG Ops Aktual'!D25,NA()))</f>
        <v/>
      </c>
      <c r="G66" s="39">
        <f>IFERROR(('C4 GEG LR Budget'!D25+'C4 GEG LR Budget'!D31+'C4 GEG LR Budget'!D41+'C4 GEG LR Budget'!D33+'C4 GEG LR Budget'!D60+'C4 GEG LR Budget'!D71-'C4 GEG LR Budget'!D69)*1000000/('C2 GEG Ops Budget'!D16+'C2 GEG Ops Budget'!D17+'C2 GEG Ops Budget'!D18)/'C2 GEG Ops Budget'!D25,NA())</f>
        <v/>
      </c>
      <c r="H66" s="39">
        <f>IF(1&gt;'C1 GEG Setting'!$C$6,NA(),IFERROR(('C5 GEG LR Aktual'!D11+'C5 GEG LR Aktual'!D12)*1000000/('C3 GEG Ops Aktual'!D16+'C3 GEG Ops Aktual'!D17+'C3 GEG Ops Aktual'!D18)/'C3 GEG Ops Aktual'!D25,NA()))</f>
        <v/>
      </c>
      <c r="I66" s="39">
        <f>IFERROR(('C4 GEG LR Budget'!D11+'C4 GEG LR Budget'!D12)*1000000/('C2 GEG Ops Budget'!D16+'C2 GEG Ops Budget'!D17+'C2 GEG Ops Budget'!D18)/'C2 GEG Ops Budget'!D25,NA())</f>
        <v/>
      </c>
    </row>
    <row r="67">
      <c r="A67" s="10" t="inlineStr">
        <is>
          <t>Feb</t>
        </is>
      </c>
      <c r="B67" s="39">
        <f>IF(2&gt;'C1 GEG Setting'!$C$6,NA(),IFERROR(('C5 GEG LR Aktual'!E17+'C5 GEG LR Aktual'!E18+'C5 GEG LR Aktual'!E19)*1000000/('C3 GEG Ops Aktual'!E8)/'C3 GEG Ops Aktual'!E25,NA()))</f>
        <v/>
      </c>
      <c r="C67" s="39">
        <f>IFERROR(('C4 GEG LR Budget'!E17+'C4 GEG LR Budget'!E18+'C4 GEG LR Budget'!E19)*1000000/('C2 GEG Ops Budget'!E8)/'C2 GEG Ops Budget'!E25,NA())</f>
        <v/>
      </c>
      <c r="D67" s="39">
        <f>IF(2&gt;'C1 GEG Setting'!$C$6,NA(),IFERROR(('C5 GEG LR Aktual'!E25+'C5 GEG LR Aktual'!E31+'C5 GEG LR Aktual'!E41)*1000000/('C3 GEG Ops Aktual'!E16+'C3 GEG Ops Aktual'!E17+'C3 GEG Ops Aktual'!E18)/'C3 GEG Ops Aktual'!E25,NA()))</f>
        <v/>
      </c>
      <c r="E67" s="39">
        <f>IFERROR(('C4 GEG LR Budget'!E25+'C4 GEG LR Budget'!E31+'C4 GEG LR Budget'!E41)*1000000/('C2 GEG Ops Budget'!E16+'C2 GEG Ops Budget'!E17+'C2 GEG Ops Budget'!E18)/'C2 GEG Ops Budget'!E25,NA())</f>
        <v/>
      </c>
      <c r="F67" s="39">
        <f>IF(2&gt;'C1 GEG Setting'!$C$6,NA(),IFERROR(('C5 GEG LR Aktual'!E25+'C5 GEG LR Aktual'!E31+'C5 GEG LR Aktual'!E41+'C5 GEG LR Aktual'!E33+'C5 GEG LR Aktual'!E60+'C5 GEG LR Aktual'!E71-'C5 GEG LR Aktual'!E69)*1000000/('C3 GEG Ops Aktual'!E16+'C3 GEG Ops Aktual'!E17+'C3 GEG Ops Aktual'!E18)/'C3 GEG Ops Aktual'!E25,NA()))</f>
        <v/>
      </c>
      <c r="G67" s="39">
        <f>IFERROR(('C4 GEG LR Budget'!E25+'C4 GEG LR Budget'!E31+'C4 GEG LR Budget'!E41+'C4 GEG LR Budget'!E33+'C4 GEG LR Budget'!E60+'C4 GEG LR Budget'!E71-'C4 GEG LR Budget'!E69)*1000000/('C2 GEG Ops Budget'!E16+'C2 GEG Ops Budget'!E17+'C2 GEG Ops Budget'!E18)/'C2 GEG Ops Budget'!E25,NA())</f>
        <v/>
      </c>
      <c r="H67" s="39">
        <f>IF(2&gt;'C1 GEG Setting'!$C$6,NA(),IFERROR(('C5 GEG LR Aktual'!E11+'C5 GEG LR Aktual'!E12)*1000000/('C3 GEG Ops Aktual'!E16+'C3 GEG Ops Aktual'!E17+'C3 GEG Ops Aktual'!E18)/'C3 GEG Ops Aktual'!E25,NA()))</f>
        <v/>
      </c>
      <c r="I67" s="39">
        <f>IFERROR(('C4 GEG LR Budget'!E11+'C4 GEG LR Budget'!E12)*1000000/('C2 GEG Ops Budget'!E16+'C2 GEG Ops Budget'!E17+'C2 GEG Ops Budget'!E18)/'C2 GEG Ops Budget'!E25,NA())</f>
        <v/>
      </c>
    </row>
    <row r="68">
      <c r="A68" s="10" t="inlineStr">
        <is>
          <t>Mar</t>
        </is>
      </c>
      <c r="B68" s="39">
        <f>IF(3&gt;'C1 GEG Setting'!$C$6,NA(),IFERROR(('C5 GEG LR Aktual'!F17+'C5 GEG LR Aktual'!F18+'C5 GEG LR Aktual'!F19)*1000000/('C3 GEG Ops Aktual'!F8)/'C3 GEG Ops Aktual'!F25,NA()))</f>
        <v/>
      </c>
      <c r="C68" s="39">
        <f>IFERROR(('C4 GEG LR Budget'!F17+'C4 GEG LR Budget'!F18+'C4 GEG LR Budget'!F19)*1000000/('C2 GEG Ops Budget'!F8)/'C2 GEG Ops Budget'!F25,NA())</f>
        <v/>
      </c>
      <c r="D68" s="39">
        <f>IF(3&gt;'C1 GEG Setting'!$C$6,NA(),IFERROR(('C5 GEG LR Aktual'!F25+'C5 GEG LR Aktual'!F31+'C5 GEG LR Aktual'!F41)*1000000/('C3 GEG Ops Aktual'!F16+'C3 GEG Ops Aktual'!F17+'C3 GEG Ops Aktual'!F18)/'C3 GEG Ops Aktual'!F25,NA()))</f>
        <v/>
      </c>
      <c r="E68" s="39">
        <f>IFERROR(('C4 GEG LR Budget'!F25+'C4 GEG LR Budget'!F31+'C4 GEG LR Budget'!F41)*1000000/('C2 GEG Ops Budget'!F16+'C2 GEG Ops Budget'!F17+'C2 GEG Ops Budget'!F18)/'C2 GEG Ops Budget'!F25,NA())</f>
        <v/>
      </c>
      <c r="F68" s="39">
        <f>IF(3&gt;'C1 GEG Setting'!$C$6,NA(),IFERROR(('C5 GEG LR Aktual'!F25+'C5 GEG LR Aktual'!F31+'C5 GEG LR Aktual'!F41+'C5 GEG LR Aktual'!F33+'C5 GEG LR Aktual'!F60+'C5 GEG LR Aktual'!F71-'C5 GEG LR Aktual'!F69)*1000000/('C3 GEG Ops Aktual'!F16+'C3 GEG Ops Aktual'!F17+'C3 GEG Ops Aktual'!F18)/'C3 GEG Ops Aktual'!F25,NA()))</f>
        <v/>
      </c>
      <c r="G68" s="39">
        <f>IFERROR(('C4 GEG LR Budget'!F25+'C4 GEG LR Budget'!F31+'C4 GEG LR Budget'!F41+'C4 GEG LR Budget'!F33+'C4 GEG LR Budget'!F60+'C4 GEG LR Budget'!F71-'C4 GEG LR Budget'!F69)*1000000/('C2 GEG Ops Budget'!F16+'C2 GEG Ops Budget'!F17+'C2 GEG Ops Budget'!F18)/'C2 GEG Ops Budget'!F25,NA())</f>
        <v/>
      </c>
      <c r="H68" s="39">
        <f>IF(3&gt;'C1 GEG Setting'!$C$6,NA(),IFERROR(('C5 GEG LR Aktual'!F11+'C5 GEG LR Aktual'!F12)*1000000/('C3 GEG Ops Aktual'!F16+'C3 GEG Ops Aktual'!F17+'C3 GEG Ops Aktual'!F18)/'C3 GEG Ops Aktual'!F25,NA()))</f>
        <v/>
      </c>
      <c r="I68" s="39">
        <f>IFERROR(('C4 GEG LR Budget'!F11+'C4 GEG LR Budget'!F12)*1000000/('C2 GEG Ops Budget'!F16+'C2 GEG Ops Budget'!F17+'C2 GEG Ops Budget'!F18)/'C2 GEG Ops Budget'!F25,NA())</f>
        <v/>
      </c>
    </row>
    <row r="69">
      <c r="A69" s="10" t="inlineStr">
        <is>
          <t>Apr</t>
        </is>
      </c>
      <c r="B69" s="39">
        <f>IF(4&gt;'C1 GEG Setting'!$C$6,NA(),IFERROR(('C5 GEG LR Aktual'!G17+'C5 GEG LR Aktual'!G18+'C5 GEG LR Aktual'!G19)*1000000/('C3 GEG Ops Aktual'!G8)/'C3 GEG Ops Aktual'!G25,NA()))</f>
        <v/>
      </c>
      <c r="C69" s="39">
        <f>IFERROR(('C4 GEG LR Budget'!G17+'C4 GEG LR Budget'!G18+'C4 GEG LR Budget'!G19)*1000000/('C2 GEG Ops Budget'!G8)/'C2 GEG Ops Budget'!G25,NA())</f>
        <v/>
      </c>
      <c r="D69" s="39">
        <f>IF(4&gt;'C1 GEG Setting'!$C$6,NA(),IFERROR(('C5 GEG LR Aktual'!G25+'C5 GEG LR Aktual'!G31+'C5 GEG LR Aktual'!G41)*1000000/('C3 GEG Ops Aktual'!G16+'C3 GEG Ops Aktual'!G17+'C3 GEG Ops Aktual'!G18)/'C3 GEG Ops Aktual'!G25,NA()))</f>
        <v/>
      </c>
      <c r="E69" s="39">
        <f>IFERROR(('C4 GEG LR Budget'!G25+'C4 GEG LR Budget'!G31+'C4 GEG LR Budget'!G41)*1000000/('C2 GEG Ops Budget'!G16+'C2 GEG Ops Budget'!G17+'C2 GEG Ops Budget'!G18)/'C2 GEG Ops Budget'!G25,NA())</f>
        <v/>
      </c>
      <c r="F69" s="39">
        <f>IF(4&gt;'C1 GEG Setting'!$C$6,NA(),IFERROR(('C5 GEG LR Aktual'!G25+'C5 GEG LR Aktual'!G31+'C5 GEG LR Aktual'!G41+'C5 GEG LR Aktual'!G33+'C5 GEG LR Aktual'!G60+'C5 GEG LR Aktual'!G71-'C5 GEG LR Aktual'!G69)*1000000/('C3 GEG Ops Aktual'!G16+'C3 GEG Ops Aktual'!G17+'C3 GEG Ops Aktual'!G18)/'C3 GEG Ops Aktual'!G25,NA()))</f>
        <v/>
      </c>
      <c r="G69" s="39">
        <f>IFERROR(('C4 GEG LR Budget'!G25+'C4 GEG LR Budget'!G31+'C4 GEG LR Budget'!G41+'C4 GEG LR Budget'!G33+'C4 GEG LR Budget'!G60+'C4 GEG LR Budget'!G71-'C4 GEG LR Budget'!G69)*1000000/('C2 GEG Ops Budget'!G16+'C2 GEG Ops Budget'!G17+'C2 GEG Ops Budget'!G18)/'C2 GEG Ops Budget'!G25,NA())</f>
        <v/>
      </c>
      <c r="H69" s="39">
        <f>IF(4&gt;'C1 GEG Setting'!$C$6,NA(),IFERROR(('C5 GEG LR Aktual'!G11+'C5 GEG LR Aktual'!G12)*1000000/('C3 GEG Ops Aktual'!G16+'C3 GEG Ops Aktual'!G17+'C3 GEG Ops Aktual'!G18)/'C3 GEG Ops Aktual'!G25,NA()))</f>
        <v/>
      </c>
      <c r="I69" s="39">
        <f>IFERROR(('C4 GEG LR Budget'!G11+'C4 GEG LR Budget'!G12)*1000000/('C2 GEG Ops Budget'!G16+'C2 GEG Ops Budget'!G17+'C2 GEG Ops Budget'!G18)/'C2 GEG Ops Budget'!G25,NA())</f>
        <v/>
      </c>
    </row>
    <row r="70">
      <c r="A70" s="10" t="inlineStr">
        <is>
          <t>Mei</t>
        </is>
      </c>
      <c r="B70" s="39">
        <f>IF(5&gt;'C1 GEG Setting'!$C$6,NA(),IFERROR(('C5 GEG LR Aktual'!H17+'C5 GEG LR Aktual'!H18+'C5 GEG LR Aktual'!H19)*1000000/('C3 GEG Ops Aktual'!H8)/'C3 GEG Ops Aktual'!H25,NA()))</f>
        <v/>
      </c>
      <c r="C70" s="39">
        <f>IFERROR(('C4 GEG LR Budget'!H17+'C4 GEG LR Budget'!H18+'C4 GEG LR Budget'!H19)*1000000/('C2 GEG Ops Budget'!H8)/'C2 GEG Ops Budget'!H25,NA())</f>
        <v/>
      </c>
      <c r="D70" s="39">
        <f>IF(5&gt;'C1 GEG Setting'!$C$6,NA(),IFERROR(('C5 GEG LR Aktual'!H25+'C5 GEG LR Aktual'!H31+'C5 GEG LR Aktual'!H41)*1000000/('C3 GEG Ops Aktual'!H16+'C3 GEG Ops Aktual'!H17+'C3 GEG Ops Aktual'!H18)/'C3 GEG Ops Aktual'!H25,NA()))</f>
        <v/>
      </c>
      <c r="E70" s="39">
        <f>IFERROR(('C4 GEG LR Budget'!H25+'C4 GEG LR Budget'!H31+'C4 GEG LR Budget'!H41)*1000000/('C2 GEG Ops Budget'!H16+'C2 GEG Ops Budget'!H17+'C2 GEG Ops Budget'!H18)/'C2 GEG Ops Budget'!H25,NA())</f>
        <v/>
      </c>
      <c r="F70" s="39">
        <f>IF(5&gt;'C1 GEG Setting'!$C$6,NA(),IFERROR(('C5 GEG LR Aktual'!H25+'C5 GEG LR Aktual'!H31+'C5 GEG LR Aktual'!H41+'C5 GEG LR Aktual'!H33+'C5 GEG LR Aktual'!H60+'C5 GEG LR Aktual'!H71-'C5 GEG LR Aktual'!H69)*1000000/('C3 GEG Ops Aktual'!H16+'C3 GEG Ops Aktual'!H17+'C3 GEG Ops Aktual'!H18)/'C3 GEG Ops Aktual'!H25,NA()))</f>
        <v/>
      </c>
      <c r="G70" s="39">
        <f>IFERROR(('C4 GEG LR Budget'!H25+'C4 GEG LR Budget'!H31+'C4 GEG LR Budget'!H41+'C4 GEG LR Budget'!H33+'C4 GEG LR Budget'!H60+'C4 GEG LR Budget'!H71-'C4 GEG LR Budget'!H69)*1000000/('C2 GEG Ops Budget'!H16+'C2 GEG Ops Budget'!H17+'C2 GEG Ops Budget'!H18)/'C2 GEG Ops Budget'!H25,NA())</f>
        <v/>
      </c>
      <c r="H70" s="39">
        <f>IF(5&gt;'C1 GEG Setting'!$C$6,NA(),IFERROR(('C5 GEG LR Aktual'!H11+'C5 GEG LR Aktual'!H12)*1000000/('C3 GEG Ops Aktual'!H16+'C3 GEG Ops Aktual'!H17+'C3 GEG Ops Aktual'!H18)/'C3 GEG Ops Aktual'!H25,NA()))</f>
        <v/>
      </c>
      <c r="I70" s="39">
        <f>IFERROR(('C4 GEG LR Budget'!H11+'C4 GEG LR Budget'!H12)*1000000/('C2 GEG Ops Budget'!H16+'C2 GEG Ops Budget'!H17+'C2 GEG Ops Budget'!H18)/'C2 GEG Ops Budget'!H25,NA())</f>
        <v/>
      </c>
    </row>
    <row r="71">
      <c r="A71" s="10" t="inlineStr">
        <is>
          <t>Jun</t>
        </is>
      </c>
      <c r="B71" s="39">
        <f>IF(6&gt;'C1 GEG Setting'!$C$6,NA(),IFERROR(('C5 GEG LR Aktual'!I17+'C5 GEG LR Aktual'!I18+'C5 GEG LR Aktual'!I19)*1000000/('C3 GEG Ops Aktual'!I8)/'C3 GEG Ops Aktual'!I25,NA()))</f>
        <v/>
      </c>
      <c r="C71" s="39">
        <f>IFERROR(('C4 GEG LR Budget'!I17+'C4 GEG LR Budget'!I18+'C4 GEG LR Budget'!I19)*1000000/('C2 GEG Ops Budget'!I8)/'C2 GEG Ops Budget'!I25,NA())</f>
        <v/>
      </c>
      <c r="D71" s="39">
        <f>IF(6&gt;'C1 GEG Setting'!$C$6,NA(),IFERROR(('C5 GEG LR Aktual'!I25+'C5 GEG LR Aktual'!I31+'C5 GEG LR Aktual'!I41)*1000000/('C3 GEG Ops Aktual'!I16+'C3 GEG Ops Aktual'!I17+'C3 GEG Ops Aktual'!I18)/'C3 GEG Ops Aktual'!I25,NA()))</f>
        <v/>
      </c>
      <c r="E71" s="39">
        <f>IFERROR(('C4 GEG LR Budget'!I25+'C4 GEG LR Budget'!I31+'C4 GEG LR Budget'!I41)*1000000/('C2 GEG Ops Budget'!I16+'C2 GEG Ops Budget'!I17+'C2 GEG Ops Budget'!I18)/'C2 GEG Ops Budget'!I25,NA())</f>
        <v/>
      </c>
      <c r="F71" s="39">
        <f>IF(6&gt;'C1 GEG Setting'!$C$6,NA(),IFERROR(('C5 GEG LR Aktual'!I25+'C5 GEG LR Aktual'!I31+'C5 GEG LR Aktual'!I41+'C5 GEG LR Aktual'!I33+'C5 GEG LR Aktual'!I60+'C5 GEG LR Aktual'!I71-'C5 GEG LR Aktual'!I69)*1000000/('C3 GEG Ops Aktual'!I16+'C3 GEG Ops Aktual'!I17+'C3 GEG Ops Aktual'!I18)/'C3 GEG Ops Aktual'!I25,NA()))</f>
        <v/>
      </c>
      <c r="G71" s="39">
        <f>IFERROR(('C4 GEG LR Budget'!I25+'C4 GEG LR Budget'!I31+'C4 GEG LR Budget'!I41+'C4 GEG LR Budget'!I33+'C4 GEG LR Budget'!I60+'C4 GEG LR Budget'!I71-'C4 GEG LR Budget'!I69)*1000000/('C2 GEG Ops Budget'!I16+'C2 GEG Ops Budget'!I17+'C2 GEG Ops Budget'!I18)/'C2 GEG Ops Budget'!I25,NA())</f>
        <v/>
      </c>
      <c r="H71" s="39">
        <f>IF(6&gt;'C1 GEG Setting'!$C$6,NA(),IFERROR(('C5 GEG LR Aktual'!I11+'C5 GEG LR Aktual'!I12)*1000000/('C3 GEG Ops Aktual'!I16+'C3 GEG Ops Aktual'!I17+'C3 GEG Ops Aktual'!I18)/'C3 GEG Ops Aktual'!I25,NA()))</f>
        <v/>
      </c>
      <c r="I71" s="39">
        <f>IFERROR(('C4 GEG LR Budget'!I11+'C4 GEG LR Budget'!I12)*1000000/('C2 GEG Ops Budget'!I16+'C2 GEG Ops Budget'!I17+'C2 GEG Ops Budget'!I18)/'C2 GEG Ops Budget'!I25,NA())</f>
        <v/>
      </c>
    </row>
    <row r="72">
      <c r="A72" s="10" t="inlineStr">
        <is>
          <t>Jul</t>
        </is>
      </c>
      <c r="B72" s="39">
        <f>IF(7&gt;'C1 GEG Setting'!$C$6,NA(),IFERROR(('C5 GEG LR Aktual'!J17+'C5 GEG LR Aktual'!J18+'C5 GEG LR Aktual'!J19)*1000000/('C3 GEG Ops Aktual'!J8)/'C3 GEG Ops Aktual'!J25,NA()))</f>
        <v/>
      </c>
      <c r="C72" s="39">
        <f>IFERROR(('C4 GEG LR Budget'!J17+'C4 GEG LR Budget'!J18+'C4 GEG LR Budget'!J19)*1000000/('C2 GEG Ops Budget'!J8)/'C2 GEG Ops Budget'!J25,NA())</f>
        <v/>
      </c>
      <c r="D72" s="39">
        <f>IF(7&gt;'C1 GEG Setting'!$C$6,NA(),IFERROR(('C5 GEG LR Aktual'!J25+'C5 GEG LR Aktual'!J31+'C5 GEG LR Aktual'!J41)*1000000/('C3 GEG Ops Aktual'!J16+'C3 GEG Ops Aktual'!J17+'C3 GEG Ops Aktual'!J18)/'C3 GEG Ops Aktual'!J25,NA()))</f>
        <v/>
      </c>
      <c r="E72" s="39">
        <f>IFERROR(('C4 GEG LR Budget'!J25+'C4 GEG LR Budget'!J31+'C4 GEG LR Budget'!J41)*1000000/('C2 GEG Ops Budget'!J16+'C2 GEG Ops Budget'!J17+'C2 GEG Ops Budget'!J18)/'C2 GEG Ops Budget'!J25,NA())</f>
        <v/>
      </c>
      <c r="F72" s="39">
        <f>IF(7&gt;'C1 GEG Setting'!$C$6,NA(),IFERROR(('C5 GEG LR Aktual'!J25+'C5 GEG LR Aktual'!J31+'C5 GEG LR Aktual'!J41+'C5 GEG LR Aktual'!J33+'C5 GEG LR Aktual'!J60+'C5 GEG LR Aktual'!J71-'C5 GEG LR Aktual'!J69)*1000000/('C3 GEG Ops Aktual'!J16+'C3 GEG Ops Aktual'!J17+'C3 GEG Ops Aktual'!J18)/'C3 GEG Ops Aktual'!J25,NA()))</f>
        <v/>
      </c>
      <c r="G72" s="39">
        <f>IFERROR(('C4 GEG LR Budget'!J25+'C4 GEG LR Budget'!J31+'C4 GEG LR Budget'!J41+'C4 GEG LR Budget'!J33+'C4 GEG LR Budget'!J60+'C4 GEG LR Budget'!J71-'C4 GEG LR Budget'!J69)*1000000/('C2 GEG Ops Budget'!J16+'C2 GEG Ops Budget'!J17+'C2 GEG Ops Budget'!J18)/'C2 GEG Ops Budget'!J25,NA())</f>
        <v/>
      </c>
      <c r="H72" s="39">
        <f>IF(7&gt;'C1 GEG Setting'!$C$6,NA(),IFERROR(('C5 GEG LR Aktual'!J11+'C5 GEG LR Aktual'!J12)*1000000/('C3 GEG Ops Aktual'!J16+'C3 GEG Ops Aktual'!J17+'C3 GEG Ops Aktual'!J18)/'C3 GEG Ops Aktual'!J25,NA()))</f>
        <v/>
      </c>
      <c r="I72" s="39">
        <f>IFERROR(('C4 GEG LR Budget'!J11+'C4 GEG LR Budget'!J12)*1000000/('C2 GEG Ops Budget'!J16+'C2 GEG Ops Budget'!J17+'C2 GEG Ops Budget'!J18)/'C2 GEG Ops Budget'!J25,NA())</f>
        <v/>
      </c>
    </row>
    <row r="73">
      <c r="A73" s="10" t="inlineStr">
        <is>
          <t>Agu</t>
        </is>
      </c>
      <c r="B73" s="39">
        <f>IF(8&gt;'C1 GEG Setting'!$C$6,NA(),IFERROR(('C5 GEG LR Aktual'!K17+'C5 GEG LR Aktual'!K18+'C5 GEG LR Aktual'!K19)*1000000/('C3 GEG Ops Aktual'!K8)/'C3 GEG Ops Aktual'!K25,NA()))</f>
        <v/>
      </c>
      <c r="C73" s="39">
        <f>IFERROR(('C4 GEG LR Budget'!K17+'C4 GEG LR Budget'!K18+'C4 GEG LR Budget'!K19)*1000000/('C2 GEG Ops Budget'!K8)/'C2 GEG Ops Budget'!K25,NA())</f>
        <v/>
      </c>
      <c r="D73" s="39">
        <f>IF(8&gt;'C1 GEG Setting'!$C$6,NA(),IFERROR(('C5 GEG LR Aktual'!K25+'C5 GEG LR Aktual'!K31+'C5 GEG LR Aktual'!K41)*1000000/('C3 GEG Ops Aktual'!K16+'C3 GEG Ops Aktual'!K17+'C3 GEG Ops Aktual'!K18)/'C3 GEG Ops Aktual'!K25,NA()))</f>
        <v/>
      </c>
      <c r="E73" s="39">
        <f>IFERROR(('C4 GEG LR Budget'!K25+'C4 GEG LR Budget'!K31+'C4 GEG LR Budget'!K41)*1000000/('C2 GEG Ops Budget'!K16+'C2 GEG Ops Budget'!K17+'C2 GEG Ops Budget'!K18)/'C2 GEG Ops Budget'!K25,NA())</f>
        <v/>
      </c>
      <c r="F73" s="39">
        <f>IF(8&gt;'C1 GEG Setting'!$C$6,NA(),IFERROR(('C5 GEG LR Aktual'!K25+'C5 GEG LR Aktual'!K31+'C5 GEG LR Aktual'!K41+'C5 GEG LR Aktual'!K33+'C5 GEG LR Aktual'!K60+'C5 GEG LR Aktual'!K71-'C5 GEG LR Aktual'!K69)*1000000/('C3 GEG Ops Aktual'!K16+'C3 GEG Ops Aktual'!K17+'C3 GEG Ops Aktual'!K18)/'C3 GEG Ops Aktual'!K25,NA()))</f>
        <v/>
      </c>
      <c r="G73" s="39">
        <f>IFERROR(('C4 GEG LR Budget'!K25+'C4 GEG LR Budget'!K31+'C4 GEG LR Budget'!K41+'C4 GEG LR Budget'!K33+'C4 GEG LR Budget'!K60+'C4 GEG LR Budget'!K71-'C4 GEG LR Budget'!K69)*1000000/('C2 GEG Ops Budget'!K16+'C2 GEG Ops Budget'!K17+'C2 GEG Ops Budget'!K18)/'C2 GEG Ops Budget'!K25,NA())</f>
        <v/>
      </c>
      <c r="H73" s="39">
        <f>IF(8&gt;'C1 GEG Setting'!$C$6,NA(),IFERROR(('C5 GEG LR Aktual'!K11+'C5 GEG LR Aktual'!K12)*1000000/('C3 GEG Ops Aktual'!K16+'C3 GEG Ops Aktual'!K17+'C3 GEG Ops Aktual'!K18)/'C3 GEG Ops Aktual'!K25,NA()))</f>
        <v/>
      </c>
      <c r="I73" s="39">
        <f>IFERROR(('C4 GEG LR Budget'!K11+'C4 GEG LR Budget'!K12)*1000000/('C2 GEG Ops Budget'!K16+'C2 GEG Ops Budget'!K17+'C2 GEG Ops Budget'!K18)/'C2 GEG Ops Budget'!K25,NA())</f>
        <v/>
      </c>
    </row>
    <row r="74">
      <c r="A74" s="10" t="inlineStr">
        <is>
          <t>Sep</t>
        </is>
      </c>
      <c r="B74" s="39">
        <f>IF(9&gt;'C1 GEG Setting'!$C$6,NA(),IFERROR(('C5 GEG LR Aktual'!L17+'C5 GEG LR Aktual'!L18+'C5 GEG LR Aktual'!L19)*1000000/('C3 GEG Ops Aktual'!L8)/'C3 GEG Ops Aktual'!L25,NA()))</f>
        <v/>
      </c>
      <c r="C74" s="39">
        <f>IFERROR(('C4 GEG LR Budget'!L17+'C4 GEG LR Budget'!L18+'C4 GEG LR Budget'!L19)*1000000/('C2 GEG Ops Budget'!L8)/'C2 GEG Ops Budget'!L25,NA())</f>
        <v/>
      </c>
      <c r="D74" s="39">
        <f>IF(9&gt;'C1 GEG Setting'!$C$6,NA(),IFERROR(('C5 GEG LR Aktual'!L25+'C5 GEG LR Aktual'!L31+'C5 GEG LR Aktual'!L41)*1000000/('C3 GEG Ops Aktual'!L16+'C3 GEG Ops Aktual'!L17+'C3 GEG Ops Aktual'!L18)/'C3 GEG Ops Aktual'!L25,NA()))</f>
        <v/>
      </c>
      <c r="E74" s="39">
        <f>IFERROR(('C4 GEG LR Budget'!L25+'C4 GEG LR Budget'!L31+'C4 GEG LR Budget'!L41)*1000000/('C2 GEG Ops Budget'!L16+'C2 GEG Ops Budget'!L17+'C2 GEG Ops Budget'!L18)/'C2 GEG Ops Budget'!L25,NA())</f>
        <v/>
      </c>
      <c r="F74" s="39">
        <f>IF(9&gt;'C1 GEG Setting'!$C$6,NA(),IFERROR(('C5 GEG LR Aktual'!L25+'C5 GEG LR Aktual'!L31+'C5 GEG LR Aktual'!L41+'C5 GEG LR Aktual'!L33+'C5 GEG LR Aktual'!L60+'C5 GEG LR Aktual'!L71-'C5 GEG LR Aktual'!L69)*1000000/('C3 GEG Ops Aktual'!L16+'C3 GEG Ops Aktual'!L17+'C3 GEG Ops Aktual'!L18)/'C3 GEG Ops Aktual'!L25,NA()))</f>
        <v/>
      </c>
      <c r="G74" s="39">
        <f>IFERROR(('C4 GEG LR Budget'!L25+'C4 GEG LR Budget'!L31+'C4 GEG LR Budget'!L41+'C4 GEG LR Budget'!L33+'C4 GEG LR Budget'!L60+'C4 GEG LR Budget'!L71-'C4 GEG LR Budget'!L69)*1000000/('C2 GEG Ops Budget'!L16+'C2 GEG Ops Budget'!L17+'C2 GEG Ops Budget'!L18)/'C2 GEG Ops Budget'!L25,NA())</f>
        <v/>
      </c>
      <c r="H74" s="39">
        <f>IF(9&gt;'C1 GEG Setting'!$C$6,NA(),IFERROR(('C5 GEG LR Aktual'!L11+'C5 GEG LR Aktual'!L12)*1000000/('C3 GEG Ops Aktual'!L16+'C3 GEG Ops Aktual'!L17+'C3 GEG Ops Aktual'!L18)/'C3 GEG Ops Aktual'!L25,NA()))</f>
        <v/>
      </c>
      <c r="I74" s="39">
        <f>IFERROR(('C4 GEG LR Budget'!L11+'C4 GEG LR Budget'!L12)*1000000/('C2 GEG Ops Budget'!L16+'C2 GEG Ops Budget'!L17+'C2 GEG Ops Budget'!L18)/'C2 GEG Ops Budget'!L25,NA())</f>
        <v/>
      </c>
    </row>
    <row r="75">
      <c r="A75" s="10" t="inlineStr">
        <is>
          <t>Okt</t>
        </is>
      </c>
      <c r="B75" s="39">
        <f>IF(10&gt;'C1 GEG Setting'!$C$6,NA(),IFERROR(('C5 GEG LR Aktual'!M17+'C5 GEG LR Aktual'!M18+'C5 GEG LR Aktual'!M19)*1000000/('C3 GEG Ops Aktual'!M8)/'C3 GEG Ops Aktual'!M25,NA()))</f>
        <v/>
      </c>
      <c r="C75" s="39">
        <f>IFERROR(('C4 GEG LR Budget'!M17+'C4 GEG LR Budget'!M18+'C4 GEG LR Budget'!M19)*1000000/('C2 GEG Ops Budget'!M8)/'C2 GEG Ops Budget'!M25,NA())</f>
        <v/>
      </c>
      <c r="D75" s="39">
        <f>IF(10&gt;'C1 GEG Setting'!$C$6,NA(),IFERROR(('C5 GEG LR Aktual'!M25+'C5 GEG LR Aktual'!M31+'C5 GEG LR Aktual'!M41)*1000000/('C3 GEG Ops Aktual'!M16+'C3 GEG Ops Aktual'!M17+'C3 GEG Ops Aktual'!M18)/'C3 GEG Ops Aktual'!M25,NA()))</f>
        <v/>
      </c>
      <c r="E75" s="39">
        <f>IFERROR(('C4 GEG LR Budget'!M25+'C4 GEG LR Budget'!M31+'C4 GEG LR Budget'!M41)*1000000/('C2 GEG Ops Budget'!M16+'C2 GEG Ops Budget'!M17+'C2 GEG Ops Budget'!M18)/'C2 GEG Ops Budget'!M25,NA())</f>
        <v/>
      </c>
      <c r="F75" s="39">
        <f>IF(10&gt;'C1 GEG Setting'!$C$6,NA(),IFERROR(('C5 GEG LR Aktual'!M25+'C5 GEG LR Aktual'!M31+'C5 GEG LR Aktual'!M41+'C5 GEG LR Aktual'!M33+'C5 GEG LR Aktual'!M60+'C5 GEG LR Aktual'!M71-'C5 GEG LR Aktual'!M69)*1000000/('C3 GEG Ops Aktual'!M16+'C3 GEG Ops Aktual'!M17+'C3 GEG Ops Aktual'!M18)/'C3 GEG Ops Aktual'!M25,NA()))</f>
        <v/>
      </c>
      <c r="G75" s="39">
        <f>IFERROR(('C4 GEG LR Budget'!M25+'C4 GEG LR Budget'!M31+'C4 GEG LR Budget'!M41+'C4 GEG LR Budget'!M33+'C4 GEG LR Budget'!M60+'C4 GEG LR Budget'!M71-'C4 GEG LR Budget'!M69)*1000000/('C2 GEG Ops Budget'!M16+'C2 GEG Ops Budget'!M17+'C2 GEG Ops Budget'!M18)/'C2 GEG Ops Budget'!M25,NA())</f>
        <v/>
      </c>
      <c r="H75" s="39">
        <f>IF(10&gt;'C1 GEG Setting'!$C$6,NA(),IFERROR(('C5 GEG LR Aktual'!M11+'C5 GEG LR Aktual'!M12)*1000000/('C3 GEG Ops Aktual'!M16+'C3 GEG Ops Aktual'!M17+'C3 GEG Ops Aktual'!M18)/'C3 GEG Ops Aktual'!M25,NA()))</f>
        <v/>
      </c>
      <c r="I75" s="39">
        <f>IFERROR(('C4 GEG LR Budget'!M11+'C4 GEG LR Budget'!M12)*1000000/('C2 GEG Ops Budget'!M16+'C2 GEG Ops Budget'!M17+'C2 GEG Ops Budget'!M18)/'C2 GEG Ops Budget'!M25,NA())</f>
        <v/>
      </c>
    </row>
    <row r="76">
      <c r="A76" s="10" t="inlineStr">
        <is>
          <t>Nov</t>
        </is>
      </c>
      <c r="B76" s="39">
        <f>IF(11&gt;'C1 GEG Setting'!$C$6,NA(),IFERROR(('C5 GEG LR Aktual'!N17+'C5 GEG LR Aktual'!N18+'C5 GEG LR Aktual'!N19)*1000000/('C3 GEG Ops Aktual'!N8)/'C3 GEG Ops Aktual'!N25,NA()))</f>
        <v/>
      </c>
      <c r="C76" s="39">
        <f>IFERROR(('C4 GEG LR Budget'!N17+'C4 GEG LR Budget'!N18+'C4 GEG LR Budget'!N19)*1000000/('C2 GEG Ops Budget'!N8)/'C2 GEG Ops Budget'!N25,NA())</f>
        <v/>
      </c>
      <c r="D76" s="39">
        <f>IF(11&gt;'C1 GEG Setting'!$C$6,NA(),IFERROR(('C5 GEG LR Aktual'!N25+'C5 GEG LR Aktual'!N31+'C5 GEG LR Aktual'!N41)*1000000/('C3 GEG Ops Aktual'!N16+'C3 GEG Ops Aktual'!N17+'C3 GEG Ops Aktual'!N18)/'C3 GEG Ops Aktual'!N25,NA()))</f>
        <v/>
      </c>
      <c r="E76" s="39">
        <f>IFERROR(('C4 GEG LR Budget'!N25+'C4 GEG LR Budget'!N31+'C4 GEG LR Budget'!N41)*1000000/('C2 GEG Ops Budget'!N16+'C2 GEG Ops Budget'!N17+'C2 GEG Ops Budget'!N18)/'C2 GEG Ops Budget'!N25,NA())</f>
        <v/>
      </c>
      <c r="F76" s="39">
        <f>IF(11&gt;'C1 GEG Setting'!$C$6,NA(),IFERROR(('C5 GEG LR Aktual'!N25+'C5 GEG LR Aktual'!N31+'C5 GEG LR Aktual'!N41+'C5 GEG LR Aktual'!N33+'C5 GEG LR Aktual'!N60+'C5 GEG LR Aktual'!N71-'C5 GEG LR Aktual'!N69)*1000000/('C3 GEG Ops Aktual'!N16+'C3 GEG Ops Aktual'!N17+'C3 GEG Ops Aktual'!N18)/'C3 GEG Ops Aktual'!N25,NA()))</f>
        <v/>
      </c>
      <c r="G76" s="39">
        <f>IFERROR(('C4 GEG LR Budget'!N25+'C4 GEG LR Budget'!N31+'C4 GEG LR Budget'!N41+'C4 GEG LR Budget'!N33+'C4 GEG LR Budget'!N60+'C4 GEG LR Budget'!N71-'C4 GEG LR Budget'!N69)*1000000/('C2 GEG Ops Budget'!N16+'C2 GEG Ops Budget'!N17+'C2 GEG Ops Budget'!N18)/'C2 GEG Ops Budget'!N25,NA())</f>
        <v/>
      </c>
      <c r="H76" s="39">
        <f>IF(11&gt;'C1 GEG Setting'!$C$6,NA(),IFERROR(('C5 GEG LR Aktual'!N11+'C5 GEG LR Aktual'!N12)*1000000/('C3 GEG Ops Aktual'!N16+'C3 GEG Ops Aktual'!N17+'C3 GEG Ops Aktual'!N18)/'C3 GEG Ops Aktual'!N25,NA()))</f>
        <v/>
      </c>
      <c r="I76" s="39">
        <f>IFERROR(('C4 GEG LR Budget'!N11+'C4 GEG LR Budget'!N12)*1000000/('C2 GEG Ops Budget'!N16+'C2 GEG Ops Budget'!N17+'C2 GEG Ops Budget'!N18)/'C2 GEG Ops Budget'!N25,NA())</f>
        <v/>
      </c>
    </row>
    <row r="77">
      <c r="A77" s="10" t="inlineStr">
        <is>
          <t>Des</t>
        </is>
      </c>
      <c r="B77" s="39">
        <f>IF(12&gt;'C1 GEG Setting'!$C$6,NA(),IFERROR(('C5 GEG LR Aktual'!O17+'C5 GEG LR Aktual'!O18+'C5 GEG LR Aktual'!O19)*1000000/('C3 GEG Ops Aktual'!O8)/'C3 GEG Ops Aktual'!O25,NA()))</f>
        <v/>
      </c>
      <c r="C77" s="39">
        <f>IFERROR(('C4 GEG LR Budget'!O17+'C4 GEG LR Budget'!O18+'C4 GEG LR Budget'!O19)*1000000/('C2 GEG Ops Budget'!O8)/'C2 GEG Ops Budget'!O25,NA())</f>
        <v/>
      </c>
      <c r="D77" s="39">
        <f>IF(12&gt;'C1 GEG Setting'!$C$6,NA(),IFERROR(('C5 GEG LR Aktual'!O25+'C5 GEG LR Aktual'!O31+'C5 GEG LR Aktual'!O41)*1000000/('C3 GEG Ops Aktual'!O16+'C3 GEG Ops Aktual'!O17+'C3 GEG Ops Aktual'!O18)/'C3 GEG Ops Aktual'!O25,NA()))</f>
        <v/>
      </c>
      <c r="E77" s="39">
        <f>IFERROR(('C4 GEG LR Budget'!O25+'C4 GEG LR Budget'!O31+'C4 GEG LR Budget'!O41)*1000000/('C2 GEG Ops Budget'!O16+'C2 GEG Ops Budget'!O17+'C2 GEG Ops Budget'!O18)/'C2 GEG Ops Budget'!O25,NA())</f>
        <v/>
      </c>
      <c r="F77" s="39">
        <f>IF(12&gt;'C1 GEG Setting'!$C$6,NA(),IFERROR(('C5 GEG LR Aktual'!O25+'C5 GEG LR Aktual'!O31+'C5 GEG LR Aktual'!O41+'C5 GEG LR Aktual'!O33+'C5 GEG LR Aktual'!O60+'C5 GEG LR Aktual'!O71-'C5 GEG LR Aktual'!O69)*1000000/('C3 GEG Ops Aktual'!O16+'C3 GEG Ops Aktual'!O17+'C3 GEG Ops Aktual'!O18)/'C3 GEG Ops Aktual'!O25,NA()))</f>
        <v/>
      </c>
      <c r="G77" s="39">
        <f>IFERROR(('C4 GEG LR Budget'!O25+'C4 GEG LR Budget'!O31+'C4 GEG LR Budget'!O41+'C4 GEG LR Budget'!O33+'C4 GEG LR Budget'!O60+'C4 GEG LR Budget'!O71-'C4 GEG LR Budget'!O69)*1000000/('C2 GEG Ops Budget'!O16+'C2 GEG Ops Budget'!O17+'C2 GEG Ops Budget'!O18)/'C2 GEG Ops Budget'!O25,NA())</f>
        <v/>
      </c>
      <c r="H77" s="39">
        <f>IF(12&gt;'C1 GEG Setting'!$C$6,NA(),IFERROR(('C5 GEG LR Aktual'!O11+'C5 GEG LR Aktual'!O12)*1000000/('C3 GEG Ops Aktual'!O16+'C3 GEG Ops Aktual'!O17+'C3 GEG Ops Aktual'!O18)/'C3 GEG Ops Aktual'!O25,NA()))</f>
        <v/>
      </c>
      <c r="I77" s="39">
        <f>IFERROR(('C4 GEG LR Budget'!O11+'C4 GEG LR Budget'!O12)*1000000/('C2 GEG Ops Budget'!O16+'C2 GEG Ops Budget'!O17+'C2 GEG Ops Budget'!O18)/'C2 GEG Ops Budget'!O25,NA())</f>
        <v/>
      </c>
    </row>
    <row r="78">
      <c r="A78" s="3" t="inlineStr">
        <is>
          <t>Keterangan: #N/A = bulan setelah bulan laporan (sengaja, agar grafik berhenti di bulan berjalan).</t>
        </is>
      </c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>
      <c r="A98" s="3" t="inlineStr">
        <is>
          <t>Grafik kanan: garis biru = total cash cost/MT aktual, abu putus-putus = budget, oranye = ASP aktual. Jarak ASP – biaya = marjin kas per MT.</t>
        </is>
      </c>
    </row>
  </sheetData>
  <conditionalFormatting sqref="J60">
    <cfRule type="cellIs" priority="1" operator="greaterThan" dxfId="4">
      <formula>0</formula>
    </cfRule>
    <cfRule type="cellIs" priority="2" operator="lessThan" dxfId="3">
      <formula>0</formula>
    </cfRule>
  </conditionalFormatting>
  <conditionalFormatting sqref="J61">
    <cfRule type="cellIs" priority="3" operator="greaterThan" dxfId="4">
      <formula>0</formula>
    </cfRule>
    <cfRule type="cellIs" priority="4" operator="lessThan" dxfId="3">
      <formula>0</formula>
    </cfRule>
  </conditionalFormatting>
  <conditionalFormatting sqref="B66:I77">
    <cfRule type="expression" priority="5" dxfId="5">
      <formula>ISNA(B66)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AE408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9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2" customWidth="1" min="17" max="17"/>
    <col width="2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2" customWidth="1" min="31" max="31"/>
  </cols>
  <sheetData>
    <row r="1">
      <c r="A1" s="1" t="inlineStr">
        <is>
          <t>GEG – GL Trial Balance Laba Rugi Bulanan + Tag MIS (Aktual &amp; Budget)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>
      <c r="A2" s="3" t="inlineStr">
        <is>
          <t>Padanan sheet "PL" di MIS AAT: tempel ekspor buku besar (GL) per akun apa adanya, lalu isi kolom A "Tag MIS" (kode akun template) sekali saja. Sheet C4/C5 dan seluruh laporan terisi otomatis via SUMIFS. Satuan Rp juta; pendapatan &amp; beban positif, penalti &amp; beban keuangan negatif.</t>
        </is>
      </c>
    </row>
    <row r="3">
      <c r="A3" s="3" t="inlineStr">
        <is>
          <t>Tipe "Header" tidak dijumlahkan (hanya judul); tipe "Posting" dijumlahkan. Akun GL baru cukup ditambah barisnya (di atas baris 400) lalu diberi Tag MIS.</t>
        </is>
      </c>
    </row>
    <row r="4"/>
    <row r="5"/>
    <row r="6"/>
    <row r="7"/>
    <row r="8">
      <c r="E8" s="80" t="n">
        <v>1</v>
      </c>
      <c r="F8" s="80" t="n">
        <v>2</v>
      </c>
      <c r="G8" s="80" t="n">
        <v>3</v>
      </c>
      <c r="H8" s="80" t="n">
        <v>4</v>
      </c>
      <c r="I8" s="80" t="n">
        <v>5</v>
      </c>
      <c r="J8" s="80" t="n">
        <v>6</v>
      </c>
      <c r="K8" s="80" t="n">
        <v>7</v>
      </c>
      <c r="L8" s="80" t="n">
        <v>8</v>
      </c>
      <c r="M8" s="80" t="n">
        <v>9</v>
      </c>
      <c r="N8" s="80" t="n">
        <v>10</v>
      </c>
      <c r="O8" s="80" t="n">
        <v>11</v>
      </c>
      <c r="P8" s="80" t="n">
        <v>12</v>
      </c>
      <c r="S8" s="80" t="n">
        <v>1</v>
      </c>
      <c r="T8" s="80" t="n">
        <v>2</v>
      </c>
      <c r="U8" s="80" t="n">
        <v>3</v>
      </c>
      <c r="V8" s="80" t="n">
        <v>4</v>
      </c>
      <c r="W8" s="80" t="n">
        <v>5</v>
      </c>
      <c r="X8" s="80" t="n">
        <v>6</v>
      </c>
      <c r="Y8" s="80" t="n">
        <v>7</v>
      </c>
      <c r="Z8" s="80" t="n">
        <v>8</v>
      </c>
      <c r="AA8" s="80" t="n">
        <v>9</v>
      </c>
      <c r="AB8" s="80" t="n">
        <v>10</v>
      </c>
      <c r="AC8" s="80" t="n">
        <v>11</v>
      </c>
      <c r="AD8" s="80" t="n">
        <v>12</v>
      </c>
    </row>
    <row r="9" ht="32" customHeight="1">
      <c r="A9" s="16" t="inlineStr">
        <is>
          <t>Tag MIS
(kode akun template)</t>
        </is>
      </c>
      <c r="B9" s="16" t="inlineStr">
        <is>
          <t>Kode GL</t>
        </is>
      </c>
      <c r="C9" s="16" t="inlineStr">
        <is>
          <t>Nama akun GL</t>
        </is>
      </c>
      <c r="D9" s="16" t="inlineStr">
        <is>
          <t>Tipe</t>
        </is>
      </c>
      <c r="E9" s="16" t="inlineStr">
        <is>
          <t>Aktual
Jan</t>
        </is>
      </c>
      <c r="F9" s="16" t="inlineStr">
        <is>
          <t>Aktual
Feb</t>
        </is>
      </c>
      <c r="G9" s="16" t="inlineStr">
        <is>
          <t>Aktual
Mar</t>
        </is>
      </c>
      <c r="H9" s="16" t="inlineStr">
        <is>
          <t>Aktual
Apr</t>
        </is>
      </c>
      <c r="I9" s="16" t="inlineStr">
        <is>
          <t>Aktual
Mei</t>
        </is>
      </c>
      <c r="J9" s="16" t="inlineStr">
        <is>
          <t>Aktual
Jun</t>
        </is>
      </c>
      <c r="K9" s="16" t="inlineStr">
        <is>
          <t>Aktual
Jul</t>
        </is>
      </c>
      <c r="L9" s="16" t="inlineStr">
        <is>
          <t>Aktual
Agu</t>
        </is>
      </c>
      <c r="M9" s="16" t="inlineStr">
        <is>
          <t>Aktual
Sep</t>
        </is>
      </c>
      <c r="N9" s="16" t="inlineStr">
        <is>
          <t>Aktual
Okt</t>
        </is>
      </c>
      <c r="O9" s="16" t="inlineStr">
        <is>
          <t>Aktual
Nov</t>
        </is>
      </c>
      <c r="P9" s="16" t="inlineStr">
        <is>
          <t>Aktual
Des</t>
        </is>
      </c>
      <c r="Q9" s="16" t="inlineStr">
        <is>
          <t>Aktual FY</t>
        </is>
      </c>
      <c r="R9" s="16" t="inlineStr"/>
      <c r="S9" s="16" t="inlineStr">
        <is>
          <t>Budget
Jan</t>
        </is>
      </c>
      <c r="T9" s="16" t="inlineStr">
        <is>
          <t>Budget
Feb</t>
        </is>
      </c>
      <c r="U9" s="16" t="inlineStr">
        <is>
          <t>Budget
Mar</t>
        </is>
      </c>
      <c r="V9" s="16" t="inlineStr">
        <is>
          <t>Budget
Apr</t>
        </is>
      </c>
      <c r="W9" s="16" t="inlineStr">
        <is>
          <t>Budget
Mei</t>
        </is>
      </c>
      <c r="X9" s="16" t="inlineStr">
        <is>
          <t>Budget
Jun</t>
        </is>
      </c>
      <c r="Y9" s="16" t="inlineStr">
        <is>
          <t>Budget
Jul</t>
        </is>
      </c>
      <c r="Z9" s="16" t="inlineStr">
        <is>
          <t>Budget
Agu</t>
        </is>
      </c>
      <c r="AA9" s="16" t="inlineStr">
        <is>
          <t>Budget
Sep</t>
        </is>
      </c>
      <c r="AB9" s="16" t="inlineStr">
        <is>
          <t>Budget
Okt</t>
        </is>
      </c>
      <c r="AC9" s="16" t="inlineStr">
        <is>
          <t>Budget
Nov</t>
        </is>
      </c>
      <c r="AD9" s="16" t="inlineStr">
        <is>
          <t>Budget
Des</t>
        </is>
      </c>
      <c r="AE9" s="16" t="inlineStr">
        <is>
          <t>Budget FY</t>
        </is>
      </c>
    </row>
    <row r="10">
      <c r="A10" s="5" t="n"/>
      <c r="B10" s="5" t="n"/>
      <c r="C10" s="4" t="inlineStr">
        <is>
          <t>PENDAPATAN</t>
        </is>
      </c>
      <c r="D10" s="114" t="inlineStr">
        <is>
          <t>Header</t>
        </is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</row>
    <row r="11">
      <c r="A11" s="9" t="inlineStr">
        <is>
          <t>4101</t>
        </is>
      </c>
      <c r="B11" s="115" t="inlineStr">
        <is>
          <t>4101.001</t>
        </is>
      </c>
      <c r="C11" s="115" t="inlineStr">
        <is>
          <t>Penjualan ekspor – FOB mother vessel</t>
        </is>
      </c>
      <c r="D11" s="115" t="inlineStr">
        <is>
          <t>Posting</t>
        </is>
      </c>
      <c r="E11" s="17" t="n">
        <v>48724</v>
      </c>
      <c r="F11" s="17" t="n">
        <v>58977</v>
      </c>
      <c r="G11" s="17" t="n">
        <v>56402</v>
      </c>
      <c r="H11" s="17" t="n">
        <v>65160</v>
      </c>
      <c r="I11" s="17" t="n">
        <v>62694</v>
      </c>
      <c r="J11" s="17" t="n">
        <v>59827</v>
      </c>
      <c r="K11" s="17" t="n">
        <v>66077</v>
      </c>
      <c r="L11" s="17" t="n">
        <v>73906</v>
      </c>
      <c r="M11" s="112" t="n"/>
      <c r="N11" s="112" t="n"/>
      <c r="O11" s="112" t="n"/>
      <c r="P11" s="112" t="n"/>
      <c r="Q11" s="71">
        <f>SUM(E11:P11)</f>
        <v/>
      </c>
      <c r="S11" s="17" t="n">
        <v>58278</v>
      </c>
      <c r="T11" s="17" t="n">
        <v>56922</v>
      </c>
      <c r="U11" s="17" t="n">
        <v>63021</v>
      </c>
      <c r="V11" s="17" t="n">
        <v>67765</v>
      </c>
      <c r="W11" s="17" t="n">
        <v>71153</v>
      </c>
      <c r="X11" s="17" t="n">
        <v>72508</v>
      </c>
      <c r="Y11" s="17" t="n">
        <v>74542</v>
      </c>
      <c r="Z11" s="17" t="n">
        <v>74542</v>
      </c>
      <c r="AA11" s="17" t="n">
        <v>71831</v>
      </c>
      <c r="AB11" s="17" t="n">
        <v>69120</v>
      </c>
      <c r="AC11" s="17" t="n">
        <v>65732</v>
      </c>
      <c r="AD11" s="17" t="n">
        <v>62344</v>
      </c>
      <c r="AE11" s="71">
        <f>SUM(S11:AD11)</f>
        <v/>
      </c>
    </row>
    <row r="12">
      <c r="A12" s="9" t="inlineStr">
        <is>
          <t>4101</t>
        </is>
      </c>
      <c r="B12" s="115" t="inlineStr">
        <is>
          <t>4101.002</t>
        </is>
      </c>
      <c r="C12" s="115" t="inlineStr">
        <is>
          <t>Penjualan ekspor – FOB barge</t>
        </is>
      </c>
      <c r="D12" s="115" t="inlineStr">
        <is>
          <t>Posting</t>
        </is>
      </c>
      <c r="E12" s="17" t="n">
        <v>35225</v>
      </c>
      <c r="F12" s="17" t="n">
        <v>42636</v>
      </c>
      <c r="G12" s="17" t="n">
        <v>40775</v>
      </c>
      <c r="H12" s="17" t="n">
        <v>47106</v>
      </c>
      <c r="I12" s="17" t="n">
        <v>45324</v>
      </c>
      <c r="J12" s="17" t="n">
        <v>43251</v>
      </c>
      <c r="K12" s="17" t="n">
        <v>47769</v>
      </c>
      <c r="L12" s="17" t="n">
        <v>53429</v>
      </c>
      <c r="M12" s="112" t="n"/>
      <c r="N12" s="112" t="n"/>
      <c r="O12" s="112" t="n"/>
      <c r="P12" s="112" t="n"/>
      <c r="Q12" s="71">
        <f>SUM(E12:P12)</f>
        <v/>
      </c>
      <c r="S12" s="17" t="n">
        <v>42131</v>
      </c>
      <c r="T12" s="17" t="n">
        <v>41151</v>
      </c>
      <c r="U12" s="17" t="n">
        <v>45560</v>
      </c>
      <c r="V12" s="17" t="n">
        <v>48990</v>
      </c>
      <c r="W12" s="17" t="n">
        <v>51439</v>
      </c>
      <c r="X12" s="17" t="n">
        <v>52419</v>
      </c>
      <c r="Y12" s="17" t="n">
        <v>53889</v>
      </c>
      <c r="Z12" s="17" t="n">
        <v>53889</v>
      </c>
      <c r="AA12" s="17" t="n">
        <v>51929</v>
      </c>
      <c r="AB12" s="17" t="n">
        <v>49969</v>
      </c>
      <c r="AC12" s="17" t="n">
        <v>47520</v>
      </c>
      <c r="AD12" s="17" t="n">
        <v>45070</v>
      </c>
      <c r="AE12" s="71">
        <f>SUM(S12:AD12)</f>
        <v/>
      </c>
    </row>
    <row r="13">
      <c r="A13" s="9" t="inlineStr">
        <is>
          <t>4101</t>
        </is>
      </c>
      <c r="B13" s="115" t="inlineStr">
        <is>
          <t>4101.003</t>
        </is>
      </c>
      <c r="C13" s="115" t="inlineStr">
        <is>
          <t>Penjualan ekspor – CIF</t>
        </is>
      </c>
      <c r="D13" s="115" t="inlineStr">
        <is>
          <t>Posting</t>
        </is>
      </c>
      <c r="E13" s="17" t="n">
        <v>23523</v>
      </c>
      <c r="F13" s="17" t="n">
        <v>28473</v>
      </c>
      <c r="G13" s="17" t="n">
        <v>27229</v>
      </c>
      <c r="H13" s="17" t="n">
        <v>31458</v>
      </c>
      <c r="I13" s="17" t="n">
        <v>30267</v>
      </c>
      <c r="J13" s="17" t="n">
        <v>28884</v>
      </c>
      <c r="K13" s="17" t="n">
        <v>31900</v>
      </c>
      <c r="L13" s="17" t="n">
        <v>35679</v>
      </c>
      <c r="M13" s="112" t="n"/>
      <c r="N13" s="112" t="n"/>
      <c r="O13" s="112" t="n"/>
      <c r="P13" s="112" t="n"/>
      <c r="Q13" s="71">
        <f>SUM(E13:P13)</f>
        <v/>
      </c>
      <c r="S13" s="17" t="n">
        <v>28135</v>
      </c>
      <c r="T13" s="17" t="n">
        <v>27481</v>
      </c>
      <c r="U13" s="17" t="n">
        <v>30426</v>
      </c>
      <c r="V13" s="17" t="n">
        <v>32715</v>
      </c>
      <c r="W13" s="17" t="n">
        <v>34351</v>
      </c>
      <c r="X13" s="17" t="n">
        <v>35005</v>
      </c>
      <c r="Y13" s="17" t="n">
        <v>35986</v>
      </c>
      <c r="Z13" s="17" t="n">
        <v>35986</v>
      </c>
      <c r="AA13" s="17" t="n">
        <v>34678</v>
      </c>
      <c r="AB13" s="17" t="n">
        <v>33370</v>
      </c>
      <c r="AC13" s="17" t="n">
        <v>31734</v>
      </c>
      <c r="AD13" s="17" t="n">
        <v>30098</v>
      </c>
      <c r="AE13" s="71">
        <f>SUM(S13:AD13)</f>
        <v/>
      </c>
    </row>
    <row r="14">
      <c r="A14" s="9" t="inlineStr">
        <is>
          <t>4102</t>
        </is>
      </c>
      <c r="B14" s="115" t="inlineStr">
        <is>
          <t>4102.001</t>
        </is>
      </c>
      <c r="C14" s="115" t="inlineStr">
        <is>
          <t>Penjualan DMO – PLN</t>
        </is>
      </c>
      <c r="D14" s="115" t="inlineStr">
        <is>
          <t>Posting</t>
        </is>
      </c>
      <c r="E14" s="17" t="n">
        <v>18413</v>
      </c>
      <c r="F14" s="17" t="n">
        <v>21897</v>
      </c>
      <c r="G14" s="17" t="n">
        <v>20457</v>
      </c>
      <c r="H14" s="17" t="n">
        <v>24889</v>
      </c>
      <c r="I14" s="17" t="n">
        <v>22486</v>
      </c>
      <c r="J14" s="17" t="n">
        <v>22111</v>
      </c>
      <c r="K14" s="17" t="n">
        <v>24655</v>
      </c>
      <c r="L14" s="17" t="n">
        <v>27082</v>
      </c>
      <c r="M14" s="112" t="n"/>
      <c r="N14" s="112" t="n"/>
      <c r="O14" s="112" t="n"/>
      <c r="P14" s="112" t="n"/>
      <c r="Q14" s="71">
        <f>SUM(E14:P14)</f>
        <v/>
      </c>
      <c r="S14" s="17" t="n">
        <v>20955</v>
      </c>
      <c r="T14" s="17" t="n">
        <v>20467</v>
      </c>
      <c r="U14" s="17" t="n">
        <v>22660</v>
      </c>
      <c r="V14" s="17" t="n">
        <v>24366</v>
      </c>
      <c r="W14" s="17" t="n">
        <v>25584</v>
      </c>
      <c r="X14" s="17" t="n">
        <v>26071</v>
      </c>
      <c r="Y14" s="17" t="n">
        <v>26803</v>
      </c>
      <c r="Z14" s="17" t="n">
        <v>26803</v>
      </c>
      <c r="AA14" s="17" t="n">
        <v>25828</v>
      </c>
      <c r="AB14" s="17" t="n">
        <v>24853</v>
      </c>
      <c r="AC14" s="17" t="n">
        <v>23635</v>
      </c>
      <c r="AD14" s="17" t="n">
        <v>22417</v>
      </c>
      <c r="AE14" s="71">
        <f>SUM(S14:AD14)</f>
        <v/>
      </c>
    </row>
    <row r="15">
      <c r="A15" s="9" t="inlineStr">
        <is>
          <t>4102</t>
        </is>
      </c>
      <c r="B15" s="115" t="inlineStr">
        <is>
          <t>4102.002</t>
        </is>
      </c>
      <c r="C15" s="115" t="inlineStr">
        <is>
          <t>Penjualan DMO – IPP</t>
        </is>
      </c>
      <c r="D15" s="115" t="inlineStr">
        <is>
          <t>Posting</t>
        </is>
      </c>
      <c r="E15" s="17" t="n">
        <v>17294</v>
      </c>
      <c r="F15" s="17" t="n">
        <v>20567</v>
      </c>
      <c r="G15" s="17" t="n">
        <v>19215</v>
      </c>
      <c r="H15" s="17" t="n">
        <v>23377</v>
      </c>
      <c r="I15" s="17" t="n">
        <v>21119</v>
      </c>
      <c r="J15" s="17" t="n">
        <v>20768</v>
      </c>
      <c r="K15" s="17" t="n">
        <v>23158</v>
      </c>
      <c r="L15" s="17" t="n">
        <v>25436</v>
      </c>
      <c r="M15" s="112" t="n"/>
      <c r="N15" s="112" t="n"/>
      <c r="O15" s="112" t="n"/>
      <c r="P15" s="112" t="n"/>
      <c r="Q15" s="71">
        <f>SUM(E15:P15)</f>
        <v/>
      </c>
      <c r="S15" s="17" t="n">
        <v>19681</v>
      </c>
      <c r="T15" s="17" t="n">
        <v>19224</v>
      </c>
      <c r="U15" s="17" t="n">
        <v>21284</v>
      </c>
      <c r="V15" s="17" t="n">
        <v>22886</v>
      </c>
      <c r="W15" s="17" t="n">
        <v>24030</v>
      </c>
      <c r="X15" s="17" t="n">
        <v>24488</v>
      </c>
      <c r="Y15" s="17" t="n">
        <v>25174</v>
      </c>
      <c r="Z15" s="17" t="n">
        <v>25174</v>
      </c>
      <c r="AA15" s="17" t="n">
        <v>24259</v>
      </c>
      <c r="AB15" s="17" t="n">
        <v>23344</v>
      </c>
      <c r="AC15" s="17" t="n">
        <v>22199</v>
      </c>
      <c r="AD15" s="17" t="n">
        <v>21055</v>
      </c>
      <c r="AE15" s="71">
        <f>SUM(S15:AD15)</f>
        <v/>
      </c>
    </row>
    <row r="16">
      <c r="A16" s="9" t="inlineStr">
        <is>
          <t>4103</t>
        </is>
      </c>
      <c r="B16" s="115" t="inlineStr">
        <is>
          <t>4103.001</t>
        </is>
      </c>
      <c r="C16" s="115" t="inlineStr">
        <is>
          <t>Penjualan domestik – semen</t>
        </is>
      </c>
      <c r="D16" s="115" t="inlineStr">
        <is>
          <t>Posting</t>
        </is>
      </c>
      <c r="E16" s="17" t="n">
        <v>11665</v>
      </c>
      <c r="F16" s="17" t="n">
        <v>7138</v>
      </c>
      <c r="G16" s="17" t="n">
        <v>8165</v>
      </c>
      <c r="H16" s="17" t="n">
        <v>12805</v>
      </c>
      <c r="I16" s="17" t="n">
        <v>12143</v>
      </c>
      <c r="J16" s="17" t="n">
        <v>11722</v>
      </c>
      <c r="K16" s="17" t="n">
        <v>16754</v>
      </c>
      <c r="L16" s="17" t="n">
        <v>11890</v>
      </c>
      <c r="M16" s="112" t="n"/>
      <c r="N16" s="112" t="n"/>
      <c r="O16" s="112" t="n"/>
      <c r="P16" s="112" t="n"/>
      <c r="Q16" s="71">
        <f>SUM(E16:P16)</f>
        <v/>
      </c>
      <c r="S16" s="17" t="n">
        <v>8897</v>
      </c>
      <c r="T16" s="17" t="n">
        <v>8691</v>
      </c>
      <c r="U16" s="17" t="n">
        <v>9621</v>
      </c>
      <c r="V16" s="17" t="n">
        <v>10346</v>
      </c>
      <c r="W16" s="17" t="n">
        <v>10863</v>
      </c>
      <c r="X16" s="17" t="n">
        <v>11070</v>
      </c>
      <c r="Y16" s="17" t="n">
        <v>11380</v>
      </c>
      <c r="Z16" s="17" t="n">
        <v>11380</v>
      </c>
      <c r="AA16" s="17" t="n">
        <v>10966</v>
      </c>
      <c r="AB16" s="17" t="n">
        <v>10553</v>
      </c>
      <c r="AC16" s="17" t="n">
        <v>10035</v>
      </c>
      <c r="AD16" s="17" t="n">
        <v>9518</v>
      </c>
      <c r="AE16" s="71">
        <f>SUM(S16:AD16)</f>
        <v/>
      </c>
    </row>
    <row r="17">
      <c r="A17" s="9" t="inlineStr">
        <is>
          <t>4103</t>
        </is>
      </c>
      <c r="B17" s="115" t="inlineStr">
        <is>
          <t>4103.002</t>
        </is>
      </c>
      <c r="C17" s="115" t="inlineStr">
        <is>
          <t>Penjualan domestik – smelter/industri</t>
        </is>
      </c>
      <c r="D17" s="115" t="inlineStr">
        <is>
          <t>Posting</t>
        </is>
      </c>
      <c r="E17" s="17" t="n">
        <v>15517</v>
      </c>
      <c r="F17" s="17" t="n">
        <v>9496</v>
      </c>
      <c r="G17" s="17" t="n">
        <v>10862</v>
      </c>
      <c r="H17" s="17" t="n">
        <v>17033</v>
      </c>
      <c r="I17" s="17" t="n">
        <v>16153</v>
      </c>
      <c r="J17" s="17" t="n">
        <v>15594</v>
      </c>
      <c r="K17" s="17" t="n">
        <v>22286</v>
      </c>
      <c r="L17" s="17" t="n">
        <v>15817</v>
      </c>
      <c r="M17" s="112" t="n"/>
      <c r="N17" s="112" t="n"/>
      <c r="O17" s="112" t="n"/>
      <c r="P17" s="112" t="n"/>
      <c r="Q17" s="71">
        <f>SUM(E17:P17)</f>
        <v/>
      </c>
      <c r="S17" s="17" t="n">
        <v>11836</v>
      </c>
      <c r="T17" s="17" t="n">
        <v>11560</v>
      </c>
      <c r="U17" s="17" t="n">
        <v>12799</v>
      </c>
      <c r="V17" s="17" t="n">
        <v>13762</v>
      </c>
      <c r="W17" s="17" t="n">
        <v>14450</v>
      </c>
      <c r="X17" s="17" t="n">
        <v>14726</v>
      </c>
      <c r="Y17" s="17" t="n">
        <v>15139</v>
      </c>
      <c r="Z17" s="17" t="n">
        <v>15139</v>
      </c>
      <c r="AA17" s="17" t="n">
        <v>14588</v>
      </c>
      <c r="AB17" s="17" t="n">
        <v>14037</v>
      </c>
      <c r="AC17" s="17" t="n">
        <v>13350</v>
      </c>
      <c r="AD17" s="17" t="n">
        <v>12661</v>
      </c>
      <c r="AE17" s="71">
        <f>SUM(S17:AD17)</f>
        <v/>
      </c>
    </row>
    <row r="18">
      <c r="A18" s="9" t="inlineStr">
        <is>
          <t>4104</t>
        </is>
      </c>
      <c r="B18" s="115" t="inlineStr">
        <is>
          <t>4104.001</t>
        </is>
      </c>
      <c r="C18" s="115" t="inlineStr">
        <is>
          <t>Penyesuaian harga / penalti kualitas</t>
        </is>
      </c>
      <c r="D18" s="115" t="inlineStr">
        <is>
          <t>Posting</t>
        </is>
      </c>
      <c r="E18" s="17" t="n">
        <v>-1617</v>
      </c>
      <c r="F18" s="17" t="n">
        <v>-2198</v>
      </c>
      <c r="G18" s="17" t="n">
        <v>-2279</v>
      </c>
      <c r="H18" s="17" t="n">
        <v>-2174</v>
      </c>
      <c r="I18" s="17" t="n">
        <v>-1913</v>
      </c>
      <c r="J18" s="17" t="n">
        <v>-2381</v>
      </c>
      <c r="K18" s="17" t="n">
        <v>-2589</v>
      </c>
      <c r="L18" s="17" t="n">
        <v>-3326</v>
      </c>
      <c r="M18" s="112" t="n"/>
      <c r="N18" s="112" t="n"/>
      <c r="O18" s="112" t="n"/>
      <c r="P18" s="112" t="n"/>
      <c r="Q18" s="71">
        <f>SUM(E18:P18)</f>
        <v/>
      </c>
      <c r="S18" s="17" t="n">
        <v>-1519</v>
      </c>
      <c r="T18" s="17" t="n">
        <v>-1484</v>
      </c>
      <c r="U18" s="17" t="n">
        <v>-1643</v>
      </c>
      <c r="V18" s="17" t="n">
        <v>-1767</v>
      </c>
      <c r="W18" s="17" t="n">
        <v>-1855</v>
      </c>
      <c r="X18" s="17" t="n">
        <v>-1890</v>
      </c>
      <c r="Y18" s="17" t="n">
        <v>-1943</v>
      </c>
      <c r="Z18" s="17" t="n">
        <v>-1943</v>
      </c>
      <c r="AA18" s="17" t="n">
        <v>-1873</v>
      </c>
      <c r="AB18" s="17" t="n">
        <v>-1802</v>
      </c>
      <c r="AC18" s="17" t="n">
        <v>-1714</v>
      </c>
      <c r="AD18" s="17" t="n">
        <v>-1625</v>
      </c>
      <c r="AE18" s="71">
        <f>SUM(S18:AD18)</f>
        <v/>
      </c>
    </row>
    <row r="19">
      <c r="A19" s="9" t="inlineStr">
        <is>
          <t>4201</t>
        </is>
      </c>
      <c r="B19" s="115" t="inlineStr">
        <is>
          <t>4201.001</t>
        </is>
      </c>
      <c r="C19" s="115" t="inlineStr">
        <is>
          <t>Pendapatan jasa &amp; usaha lainnya</t>
        </is>
      </c>
      <c r="D19" s="115" t="inlineStr">
        <is>
          <t>Posting</t>
        </is>
      </c>
      <c r="E19" s="17" t="n">
        <v>723</v>
      </c>
      <c r="F19" s="17" t="n">
        <v>901</v>
      </c>
      <c r="G19" s="17" t="n">
        <v>932</v>
      </c>
      <c r="H19" s="17" t="n">
        <v>757</v>
      </c>
      <c r="I19" s="17" t="n">
        <v>894</v>
      </c>
      <c r="J19" s="17" t="n">
        <v>873</v>
      </c>
      <c r="K19" s="17" t="n">
        <v>902</v>
      </c>
      <c r="L19" s="17" t="n">
        <v>905</v>
      </c>
      <c r="M19" s="112" t="n"/>
      <c r="N19" s="112" t="n"/>
      <c r="O19" s="112" t="n"/>
      <c r="P19" s="112" t="n"/>
      <c r="Q19" s="71">
        <f>SUM(E19:P19)</f>
        <v/>
      </c>
      <c r="S19" s="17" t="n">
        <v>900</v>
      </c>
      <c r="T19" s="17" t="n">
        <v>900</v>
      </c>
      <c r="U19" s="17" t="n">
        <v>900</v>
      </c>
      <c r="V19" s="17" t="n">
        <v>900</v>
      </c>
      <c r="W19" s="17" t="n">
        <v>900</v>
      </c>
      <c r="X19" s="17" t="n">
        <v>900</v>
      </c>
      <c r="Y19" s="17" t="n">
        <v>900</v>
      </c>
      <c r="Z19" s="17" t="n">
        <v>900</v>
      </c>
      <c r="AA19" s="17" t="n">
        <v>900</v>
      </c>
      <c r="AB19" s="17" t="n">
        <v>900</v>
      </c>
      <c r="AC19" s="17" t="n">
        <v>900</v>
      </c>
      <c r="AD19" s="17" t="n">
        <v>900</v>
      </c>
      <c r="AE19" s="71">
        <f>SUM(S19:AD19)</f>
        <v/>
      </c>
    </row>
    <row r="20">
      <c r="A20" s="5" t="n"/>
      <c r="B20" s="5" t="n"/>
      <c r="C20" s="4" t="inlineStr">
        <is>
          <t>BEBAN POKOK PENDAPATAN</t>
        </is>
      </c>
      <c r="D20" s="114" t="inlineStr">
        <is>
          <t>Header</t>
        </is>
      </c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</row>
    <row r="21">
      <c r="A21" s="9" t="inlineStr">
        <is>
          <t>5101</t>
        </is>
      </c>
      <c r="B21" s="115" t="inlineStr">
        <is>
          <t>5101.001</t>
        </is>
      </c>
      <c r="C21" s="115" t="inlineStr">
        <is>
          <t>Jasa OB – Kontraktor A (Pit Utara)</t>
        </is>
      </c>
      <c r="D21" s="115" t="inlineStr">
        <is>
          <t>Posting</t>
        </is>
      </c>
      <c r="E21" s="17" t="n">
        <v>19008</v>
      </c>
      <c r="F21" s="17" t="n">
        <v>21045</v>
      </c>
      <c r="G21" s="17" t="n">
        <v>21130</v>
      </c>
      <c r="H21" s="17" t="n">
        <v>25543</v>
      </c>
      <c r="I21" s="17" t="n">
        <v>23024</v>
      </c>
      <c r="J21" s="17" t="n">
        <v>22189</v>
      </c>
      <c r="K21" s="17" t="n">
        <v>25870</v>
      </c>
      <c r="L21" s="17" t="n">
        <v>26300</v>
      </c>
      <c r="M21" s="112" t="n"/>
      <c r="N21" s="112" t="n"/>
      <c r="O21" s="112" t="n"/>
      <c r="P21" s="112" t="n"/>
      <c r="Q21" s="71">
        <f>SUM(E21:P21)</f>
        <v/>
      </c>
      <c r="S21" s="17" t="n">
        <v>19636</v>
      </c>
      <c r="T21" s="17" t="n">
        <v>19179</v>
      </c>
      <c r="U21" s="17" t="n">
        <v>21234</v>
      </c>
      <c r="V21" s="17" t="n">
        <v>22832</v>
      </c>
      <c r="W21" s="17" t="n">
        <v>23974</v>
      </c>
      <c r="X21" s="17" t="n">
        <v>24431</v>
      </c>
      <c r="Y21" s="17" t="n">
        <v>25116</v>
      </c>
      <c r="Z21" s="17" t="n">
        <v>25116</v>
      </c>
      <c r="AA21" s="17" t="n">
        <v>24202</v>
      </c>
      <c r="AB21" s="17" t="n">
        <v>23289</v>
      </c>
      <c r="AC21" s="17" t="n">
        <v>22147</v>
      </c>
      <c r="AD21" s="17" t="n">
        <v>21006</v>
      </c>
      <c r="AE21" s="71">
        <f>SUM(S21:AD21)</f>
        <v/>
      </c>
    </row>
    <row r="22">
      <c r="A22" s="9" t="inlineStr">
        <is>
          <t>5101</t>
        </is>
      </c>
      <c r="B22" s="115" t="inlineStr">
        <is>
          <t>5101.002</t>
        </is>
      </c>
      <c r="C22" s="115" t="inlineStr">
        <is>
          <t>Jasa OB – Kontraktor B (Pit Selatan)</t>
        </is>
      </c>
      <c r="D22" s="115" t="inlineStr">
        <is>
          <t>Posting</t>
        </is>
      </c>
      <c r="E22" s="17" t="n">
        <v>20417</v>
      </c>
      <c r="F22" s="17" t="n">
        <v>22605</v>
      </c>
      <c r="G22" s="17" t="n">
        <v>22696</v>
      </c>
      <c r="H22" s="17" t="n">
        <v>27436</v>
      </c>
      <c r="I22" s="17" t="n">
        <v>24731</v>
      </c>
      <c r="J22" s="17" t="n">
        <v>23833</v>
      </c>
      <c r="K22" s="17" t="n">
        <v>27788</v>
      </c>
      <c r="L22" s="17" t="n">
        <v>28249</v>
      </c>
      <c r="M22" s="112" t="n"/>
      <c r="N22" s="112" t="n"/>
      <c r="O22" s="112" t="n"/>
      <c r="P22" s="112" t="n"/>
      <c r="Q22" s="71">
        <f>SUM(E22:P22)</f>
        <v/>
      </c>
      <c r="S22" s="17" t="n">
        <v>21091</v>
      </c>
      <c r="T22" s="17" t="n">
        <v>20601</v>
      </c>
      <c r="U22" s="17" t="n">
        <v>22808</v>
      </c>
      <c r="V22" s="17" t="n">
        <v>24525</v>
      </c>
      <c r="W22" s="17" t="n">
        <v>25751</v>
      </c>
      <c r="X22" s="17" t="n">
        <v>26241</v>
      </c>
      <c r="Y22" s="17" t="n">
        <v>26977</v>
      </c>
      <c r="Z22" s="17" t="n">
        <v>26977</v>
      </c>
      <c r="AA22" s="17" t="n">
        <v>25996</v>
      </c>
      <c r="AB22" s="17" t="n">
        <v>25015</v>
      </c>
      <c r="AC22" s="17" t="n">
        <v>23789</v>
      </c>
      <c r="AD22" s="17" t="n">
        <v>22563</v>
      </c>
      <c r="AE22" s="71">
        <f>SUM(S22:AD22)</f>
        <v/>
      </c>
    </row>
    <row r="23">
      <c r="A23" s="9" t="inlineStr">
        <is>
          <t>5101</t>
        </is>
      </c>
      <c r="B23" s="115" t="inlineStr">
        <is>
          <t>5101.003</t>
        </is>
      </c>
      <c r="C23" s="115" t="inlineStr">
        <is>
          <t>Jasa OB – Kontraktor C (Pit Timur)</t>
        </is>
      </c>
      <c r="D23" s="115" t="inlineStr">
        <is>
          <t>Posting</t>
        </is>
      </c>
      <c r="E23" s="17" t="n">
        <v>12490</v>
      </c>
      <c r="F23" s="17" t="n">
        <v>13828</v>
      </c>
      <c r="G23" s="17" t="n">
        <v>13885</v>
      </c>
      <c r="H23" s="17" t="n">
        <v>16785</v>
      </c>
      <c r="I23" s="17" t="n">
        <v>15129</v>
      </c>
      <c r="J23" s="17" t="n">
        <v>14581</v>
      </c>
      <c r="K23" s="17" t="n">
        <v>17000</v>
      </c>
      <c r="L23" s="17" t="n">
        <v>17282</v>
      </c>
      <c r="M23" s="112" t="n"/>
      <c r="N23" s="112" t="n"/>
      <c r="O23" s="112" t="n"/>
      <c r="P23" s="112" t="n"/>
      <c r="Q23" s="71">
        <f>SUM(E23:P23)</f>
        <v/>
      </c>
      <c r="S23" s="17" t="n">
        <v>12903</v>
      </c>
      <c r="T23" s="17" t="n">
        <v>12603</v>
      </c>
      <c r="U23" s="17" t="n">
        <v>13954</v>
      </c>
      <c r="V23" s="17" t="n">
        <v>15004</v>
      </c>
      <c r="W23" s="17" t="n">
        <v>15754</v>
      </c>
      <c r="X23" s="17" t="n">
        <v>16054</v>
      </c>
      <c r="Y23" s="17" t="n">
        <v>16504</v>
      </c>
      <c r="Z23" s="17" t="n">
        <v>16504</v>
      </c>
      <c r="AA23" s="17" t="n">
        <v>15905</v>
      </c>
      <c r="AB23" s="17" t="n">
        <v>15304</v>
      </c>
      <c r="AC23" s="17" t="n">
        <v>14554</v>
      </c>
      <c r="AD23" s="17" t="n">
        <v>13803</v>
      </c>
      <c r="AE23" s="71">
        <f>SUM(S23:AD23)</f>
        <v/>
      </c>
    </row>
    <row r="24">
      <c r="A24" s="9" t="inlineStr">
        <is>
          <t>5102</t>
        </is>
      </c>
      <c r="B24" s="115" t="inlineStr">
        <is>
          <t>5102.001</t>
        </is>
      </c>
      <c r="C24" s="115" t="inlineStr">
        <is>
          <t>Solar – armada kontraktor OB</t>
        </is>
      </c>
      <c r="D24" s="115" t="inlineStr">
        <is>
          <t>Posting</t>
        </is>
      </c>
      <c r="E24" s="17" t="n">
        <v>10330</v>
      </c>
      <c r="F24" s="17" t="n">
        <v>11268</v>
      </c>
      <c r="G24" s="17" t="n">
        <v>11389</v>
      </c>
      <c r="H24" s="17" t="n">
        <v>13427</v>
      </c>
      <c r="I24" s="17" t="n">
        <v>12678</v>
      </c>
      <c r="J24" s="17" t="n">
        <v>11734</v>
      </c>
      <c r="K24" s="17" t="n">
        <v>14483</v>
      </c>
      <c r="L24" s="17" t="n">
        <v>14160</v>
      </c>
      <c r="M24" s="112" t="n"/>
      <c r="N24" s="112" t="n"/>
      <c r="O24" s="112" t="n"/>
      <c r="P24" s="112" t="n"/>
      <c r="Q24" s="71">
        <f>SUM(E24:P24)</f>
        <v/>
      </c>
      <c r="S24" s="17" t="n">
        <v>10424</v>
      </c>
      <c r="T24" s="17" t="n">
        <v>10182</v>
      </c>
      <c r="U24" s="17" t="n">
        <v>11272</v>
      </c>
      <c r="V24" s="17" t="n">
        <v>12121</v>
      </c>
      <c r="W24" s="17" t="n">
        <v>12727</v>
      </c>
      <c r="X24" s="17" t="n">
        <v>12969</v>
      </c>
      <c r="Y24" s="17" t="n">
        <v>13333</v>
      </c>
      <c r="Z24" s="17" t="n">
        <v>13333</v>
      </c>
      <c r="AA24" s="17" t="n">
        <v>12848</v>
      </c>
      <c r="AB24" s="17" t="n">
        <v>12363</v>
      </c>
      <c r="AC24" s="17" t="n">
        <v>11757</v>
      </c>
      <c r="AD24" s="17" t="n">
        <v>11151</v>
      </c>
      <c r="AE24" s="71">
        <f>SUM(S24:AD24)</f>
        <v/>
      </c>
    </row>
    <row r="25">
      <c r="A25" s="9" t="inlineStr">
        <is>
          <t>5102</t>
        </is>
      </c>
      <c r="B25" s="115" t="inlineStr">
        <is>
          <t>5102.002</t>
        </is>
      </c>
      <c r="C25" s="115" t="inlineStr">
        <is>
          <t>Solar – sarana, genset &amp; pompa</t>
        </is>
      </c>
      <c r="D25" s="115" t="inlineStr">
        <is>
          <t>Posting</t>
        </is>
      </c>
      <c r="E25" s="17" t="n">
        <v>10511</v>
      </c>
      <c r="F25" s="17" t="n">
        <v>11465</v>
      </c>
      <c r="G25" s="17" t="n">
        <v>11588</v>
      </c>
      <c r="H25" s="17" t="n">
        <v>13661</v>
      </c>
      <c r="I25" s="17" t="n">
        <v>12899</v>
      </c>
      <c r="J25" s="17" t="n">
        <v>11939</v>
      </c>
      <c r="K25" s="17" t="n">
        <v>14736</v>
      </c>
      <c r="L25" s="17" t="n">
        <v>14408</v>
      </c>
      <c r="M25" s="112" t="n"/>
      <c r="N25" s="112" t="n"/>
      <c r="O25" s="112" t="n"/>
      <c r="P25" s="112" t="n"/>
      <c r="Q25" s="71">
        <f>SUM(E25:P25)</f>
        <v/>
      </c>
      <c r="S25" s="17" t="n">
        <v>10606</v>
      </c>
      <c r="T25" s="17" t="n">
        <v>10359</v>
      </c>
      <c r="U25" s="17" t="n">
        <v>11469</v>
      </c>
      <c r="V25" s="17" t="n">
        <v>12332</v>
      </c>
      <c r="W25" s="17" t="n">
        <v>12949</v>
      </c>
      <c r="X25" s="17" t="n">
        <v>13196</v>
      </c>
      <c r="Y25" s="17" t="n">
        <v>13565</v>
      </c>
      <c r="Z25" s="17" t="n">
        <v>13565</v>
      </c>
      <c r="AA25" s="17" t="n">
        <v>13072</v>
      </c>
      <c r="AB25" s="17" t="n">
        <v>12579</v>
      </c>
      <c r="AC25" s="17" t="n">
        <v>11962</v>
      </c>
      <c r="AD25" s="17" t="n">
        <v>11346</v>
      </c>
      <c r="AE25" s="71">
        <f>SUM(S25:AD25)</f>
        <v/>
      </c>
    </row>
    <row r="26">
      <c r="A26" s="9" t="inlineStr">
        <is>
          <t>5103</t>
        </is>
      </c>
      <c r="B26" s="115" t="inlineStr">
        <is>
          <t>5103.001</t>
        </is>
      </c>
      <c r="C26" s="115" t="inlineStr">
        <is>
          <t>Peledakan (drill &amp; blast)</t>
        </is>
      </c>
      <c r="D26" s="115" t="inlineStr">
        <is>
          <t>Posting</t>
        </is>
      </c>
      <c r="E26" s="17" t="n">
        <v>4049</v>
      </c>
      <c r="F26" s="17" t="n">
        <v>4513</v>
      </c>
      <c r="G26" s="17" t="n">
        <v>4567</v>
      </c>
      <c r="H26" s="17" t="n">
        <v>5464</v>
      </c>
      <c r="I26" s="17" t="n">
        <v>5035</v>
      </c>
      <c r="J26" s="17" t="n">
        <v>4853</v>
      </c>
      <c r="K26" s="17" t="n">
        <v>5680</v>
      </c>
      <c r="L26" s="17" t="n">
        <v>5711</v>
      </c>
      <c r="M26" s="112" t="n"/>
      <c r="N26" s="112" t="n"/>
      <c r="O26" s="112" t="n"/>
      <c r="P26" s="112" t="n"/>
      <c r="Q26" s="71">
        <f>SUM(E26:P26)</f>
        <v/>
      </c>
      <c r="S26" s="17" t="n">
        <v>4332</v>
      </c>
      <c r="T26" s="17" t="n">
        <v>4231</v>
      </c>
      <c r="U26" s="17" t="n">
        <v>4684</v>
      </c>
      <c r="V26" s="17" t="n">
        <v>5037</v>
      </c>
      <c r="W26" s="17" t="n">
        <v>5289</v>
      </c>
      <c r="X26" s="17" t="n">
        <v>5389</v>
      </c>
      <c r="Y26" s="17" t="n">
        <v>5541</v>
      </c>
      <c r="Z26" s="17" t="n">
        <v>5541</v>
      </c>
      <c r="AA26" s="17" t="n">
        <v>5339</v>
      </c>
      <c r="AB26" s="17" t="n">
        <v>5138</v>
      </c>
      <c r="AC26" s="17" t="n">
        <v>4886</v>
      </c>
      <c r="AD26" s="17" t="n">
        <v>4634</v>
      </c>
      <c r="AE26" s="71">
        <f>SUM(S26:AD26)</f>
        <v/>
      </c>
    </row>
    <row r="27">
      <c r="A27" s="9" t="inlineStr">
        <is>
          <t>5104</t>
        </is>
      </c>
      <c r="B27" s="115" t="inlineStr">
        <is>
          <t>5104.001</t>
        </is>
      </c>
      <c r="C27" s="115" t="inlineStr">
        <is>
          <t>Coal getting – Kontraktor A</t>
        </is>
      </c>
      <c r="D27" s="115" t="inlineStr">
        <is>
          <t>Posting</t>
        </is>
      </c>
      <c r="E27" s="17" t="n">
        <v>1537</v>
      </c>
      <c r="F27" s="17" t="n">
        <v>1705</v>
      </c>
      <c r="G27" s="17" t="n">
        <v>1678</v>
      </c>
      <c r="H27" s="17" t="n">
        <v>2044</v>
      </c>
      <c r="I27" s="17" t="n">
        <v>1896</v>
      </c>
      <c r="J27" s="17" t="n">
        <v>1889</v>
      </c>
      <c r="K27" s="17" t="n">
        <v>2172</v>
      </c>
      <c r="L27" s="17" t="n">
        <v>2234</v>
      </c>
      <c r="M27" s="112" t="n"/>
      <c r="N27" s="112" t="n"/>
      <c r="O27" s="112" t="n"/>
      <c r="P27" s="112" t="n"/>
      <c r="Q27" s="71">
        <f>SUM(E27:P27)</f>
        <v/>
      </c>
      <c r="S27" s="17" t="n">
        <v>1702</v>
      </c>
      <c r="T27" s="17" t="n">
        <v>1662</v>
      </c>
      <c r="U27" s="17" t="n">
        <v>1840</v>
      </c>
      <c r="V27" s="17" t="n">
        <v>1979</v>
      </c>
      <c r="W27" s="17" t="n">
        <v>2078</v>
      </c>
      <c r="X27" s="17" t="n">
        <v>2117</v>
      </c>
      <c r="Y27" s="17" t="n">
        <v>2177</v>
      </c>
      <c r="Z27" s="17" t="n">
        <v>2177</v>
      </c>
      <c r="AA27" s="17" t="n">
        <v>2098</v>
      </c>
      <c r="AB27" s="17" t="n">
        <v>2018</v>
      </c>
      <c r="AC27" s="17" t="n">
        <v>1919</v>
      </c>
      <c r="AD27" s="17" t="n">
        <v>1821</v>
      </c>
      <c r="AE27" s="71">
        <f>SUM(S27:AD27)</f>
        <v/>
      </c>
    </row>
    <row r="28">
      <c r="A28" s="9" t="inlineStr">
        <is>
          <t>5104</t>
        </is>
      </c>
      <c r="B28" s="115" t="inlineStr">
        <is>
          <t>5104.002</t>
        </is>
      </c>
      <c r="C28" s="115" t="inlineStr">
        <is>
          <t>Coal getting – Kontraktor B</t>
        </is>
      </c>
      <c r="D28" s="115" t="inlineStr">
        <is>
          <t>Posting</t>
        </is>
      </c>
      <c r="E28" s="17" t="n">
        <v>1647</v>
      </c>
      <c r="F28" s="17" t="n">
        <v>1828</v>
      </c>
      <c r="G28" s="17" t="n">
        <v>1798</v>
      </c>
      <c r="H28" s="17" t="n">
        <v>2191</v>
      </c>
      <c r="I28" s="17" t="n">
        <v>2033</v>
      </c>
      <c r="J28" s="17" t="n">
        <v>2025</v>
      </c>
      <c r="K28" s="17" t="n">
        <v>2328</v>
      </c>
      <c r="L28" s="17" t="n">
        <v>2394</v>
      </c>
      <c r="M28" s="112" t="n"/>
      <c r="N28" s="112" t="n"/>
      <c r="O28" s="112" t="n"/>
      <c r="P28" s="112" t="n"/>
      <c r="Q28" s="71">
        <f>SUM(E28:P28)</f>
        <v/>
      </c>
      <c r="S28" s="17" t="n">
        <v>1824</v>
      </c>
      <c r="T28" s="17" t="n">
        <v>1782</v>
      </c>
      <c r="U28" s="17" t="n">
        <v>1973</v>
      </c>
      <c r="V28" s="17" t="n">
        <v>2121</v>
      </c>
      <c r="W28" s="17" t="n">
        <v>2227</v>
      </c>
      <c r="X28" s="17" t="n">
        <v>2270</v>
      </c>
      <c r="Y28" s="17" t="n">
        <v>2333</v>
      </c>
      <c r="Z28" s="17" t="n">
        <v>2333</v>
      </c>
      <c r="AA28" s="17" t="n">
        <v>2248</v>
      </c>
      <c r="AB28" s="17" t="n">
        <v>2164</v>
      </c>
      <c r="AC28" s="17" t="n">
        <v>2058</v>
      </c>
      <c r="AD28" s="17" t="n">
        <v>1951</v>
      </c>
      <c r="AE28" s="71">
        <f>SUM(S28:AD28)</f>
        <v/>
      </c>
    </row>
    <row r="29">
      <c r="A29" s="9" t="inlineStr">
        <is>
          <t>5105</t>
        </is>
      </c>
      <c r="B29" s="115" t="inlineStr">
        <is>
          <t>5105.001</t>
        </is>
      </c>
      <c r="C29" s="115" t="inlineStr">
        <is>
          <t>Sewa excavator &amp; dozer</t>
        </is>
      </c>
      <c r="D29" s="115" t="inlineStr">
        <is>
          <t>Posting</t>
        </is>
      </c>
      <c r="E29" s="17" t="n">
        <v>1785</v>
      </c>
      <c r="F29" s="17" t="n">
        <v>1725</v>
      </c>
      <c r="G29" s="17" t="n">
        <v>2015</v>
      </c>
      <c r="H29" s="17" t="n">
        <v>1853</v>
      </c>
      <c r="I29" s="17" t="n">
        <v>1989</v>
      </c>
      <c r="J29" s="17" t="n">
        <v>1769</v>
      </c>
      <c r="K29" s="17" t="n">
        <v>1851</v>
      </c>
      <c r="L29" s="17" t="n">
        <v>1726</v>
      </c>
      <c r="M29" s="112" t="n"/>
      <c r="N29" s="112" t="n"/>
      <c r="O29" s="112" t="n"/>
      <c r="P29" s="112" t="n"/>
      <c r="Q29" s="71">
        <f>SUM(E29:P29)</f>
        <v/>
      </c>
      <c r="S29" s="17" t="n">
        <v>1762</v>
      </c>
      <c r="T29" s="17" t="n">
        <v>1762</v>
      </c>
      <c r="U29" s="17" t="n">
        <v>1762</v>
      </c>
      <c r="V29" s="17" t="n">
        <v>1762</v>
      </c>
      <c r="W29" s="17" t="n">
        <v>1762</v>
      </c>
      <c r="X29" s="17" t="n">
        <v>1762</v>
      </c>
      <c r="Y29" s="17" t="n">
        <v>1762</v>
      </c>
      <c r="Z29" s="17" t="n">
        <v>1762</v>
      </c>
      <c r="AA29" s="17" t="n">
        <v>1762</v>
      </c>
      <c r="AB29" s="17" t="n">
        <v>1762</v>
      </c>
      <c r="AC29" s="17" t="n">
        <v>1762</v>
      </c>
      <c r="AD29" s="17" t="n">
        <v>1762</v>
      </c>
      <c r="AE29" s="71">
        <f>SUM(S29:AD29)</f>
        <v/>
      </c>
    </row>
    <row r="30">
      <c r="A30" s="9" t="inlineStr">
        <is>
          <t>5105</t>
        </is>
      </c>
      <c r="B30" s="115" t="inlineStr">
        <is>
          <t>5105.002</t>
        </is>
      </c>
      <c r="C30" s="115" t="inlineStr">
        <is>
          <t>Sewa light vehicle &amp; bus karyawan</t>
        </is>
      </c>
      <c r="D30" s="115" t="inlineStr">
        <is>
          <t>Posting</t>
        </is>
      </c>
      <c r="E30" s="17" t="n">
        <v>1760</v>
      </c>
      <c r="F30" s="17" t="n">
        <v>1700</v>
      </c>
      <c r="G30" s="17" t="n">
        <v>1986</v>
      </c>
      <c r="H30" s="17" t="n">
        <v>1827</v>
      </c>
      <c r="I30" s="17" t="n">
        <v>1962</v>
      </c>
      <c r="J30" s="17" t="n">
        <v>1744</v>
      </c>
      <c r="K30" s="17" t="n">
        <v>1825</v>
      </c>
      <c r="L30" s="17" t="n">
        <v>1702</v>
      </c>
      <c r="M30" s="112" t="n"/>
      <c r="N30" s="112" t="n"/>
      <c r="O30" s="112" t="n"/>
      <c r="P30" s="112" t="n"/>
      <c r="Q30" s="71">
        <f>SUM(E30:P30)</f>
        <v/>
      </c>
      <c r="S30" s="17" t="n">
        <v>1738</v>
      </c>
      <c r="T30" s="17" t="n">
        <v>1738</v>
      </c>
      <c r="U30" s="17" t="n">
        <v>1738</v>
      </c>
      <c r="V30" s="17" t="n">
        <v>1738</v>
      </c>
      <c r="W30" s="17" t="n">
        <v>1738</v>
      </c>
      <c r="X30" s="17" t="n">
        <v>1738</v>
      </c>
      <c r="Y30" s="17" t="n">
        <v>1738</v>
      </c>
      <c r="Z30" s="17" t="n">
        <v>1738</v>
      </c>
      <c r="AA30" s="17" t="n">
        <v>1738</v>
      </c>
      <c r="AB30" s="17" t="n">
        <v>1738</v>
      </c>
      <c r="AC30" s="17" t="n">
        <v>1738</v>
      </c>
      <c r="AD30" s="17" t="n">
        <v>1738</v>
      </c>
      <c r="AE30" s="71">
        <f>SUM(S30:AD30)</f>
        <v/>
      </c>
    </row>
    <row r="31">
      <c r="A31" s="9" t="inlineStr">
        <is>
          <t>5106</t>
        </is>
      </c>
      <c r="B31" s="115" t="inlineStr">
        <is>
          <t>5106.001</t>
        </is>
      </c>
      <c r="C31" s="115" t="inlineStr">
        <is>
          <t>Pemeliharaan jalan tambang &amp; infrastruktur</t>
        </is>
      </c>
      <c r="D31" s="115" t="inlineStr">
        <is>
          <t>Posting</t>
        </is>
      </c>
      <c r="E31" s="17" t="n">
        <v>1889</v>
      </c>
      <c r="F31" s="17" t="n">
        <v>2108</v>
      </c>
      <c r="G31" s="17" t="n">
        <v>2145</v>
      </c>
      <c r="H31" s="17" t="n">
        <v>1886</v>
      </c>
      <c r="I31" s="17" t="n">
        <v>1772</v>
      </c>
      <c r="J31" s="17" t="n">
        <v>1960</v>
      </c>
      <c r="K31" s="17" t="n">
        <v>2148</v>
      </c>
      <c r="L31" s="17" t="n">
        <v>1721</v>
      </c>
      <c r="M31" s="112" t="n"/>
      <c r="N31" s="112" t="n"/>
      <c r="O31" s="112" t="n"/>
      <c r="P31" s="112" t="n"/>
      <c r="Q31" s="71">
        <f>SUM(E31:P31)</f>
        <v/>
      </c>
      <c r="S31" s="17" t="n">
        <v>1800</v>
      </c>
      <c r="T31" s="17" t="n">
        <v>1800</v>
      </c>
      <c r="U31" s="17" t="n">
        <v>1800</v>
      </c>
      <c r="V31" s="17" t="n">
        <v>1800</v>
      </c>
      <c r="W31" s="17" t="n">
        <v>1800</v>
      </c>
      <c r="X31" s="17" t="n">
        <v>1800</v>
      </c>
      <c r="Y31" s="17" t="n">
        <v>1800</v>
      </c>
      <c r="Z31" s="17" t="n">
        <v>1800</v>
      </c>
      <c r="AA31" s="17" t="n">
        <v>1800</v>
      </c>
      <c r="AB31" s="17" t="n">
        <v>1800</v>
      </c>
      <c r="AC31" s="17" t="n">
        <v>1800</v>
      </c>
      <c r="AD31" s="17" t="n">
        <v>1800</v>
      </c>
      <c r="AE31" s="71">
        <f>SUM(S31:AD31)</f>
        <v/>
      </c>
    </row>
    <row r="32">
      <c r="A32" s="9" t="inlineStr">
        <is>
          <t>5107</t>
        </is>
      </c>
      <c r="B32" s="115" t="inlineStr">
        <is>
          <t>5107.001</t>
        </is>
      </c>
      <c r="C32" s="115" t="inlineStr">
        <is>
          <t>Pengelolaan air tambang (dewatering)</t>
        </is>
      </c>
      <c r="D32" s="115" t="inlineStr">
        <is>
          <t>Posting</t>
        </is>
      </c>
      <c r="E32" s="17" t="n">
        <v>2338</v>
      </c>
      <c r="F32" s="17" t="n">
        <v>2635</v>
      </c>
      <c r="G32" s="17" t="n">
        <v>2474</v>
      </c>
      <c r="H32" s="17" t="n">
        <v>1439</v>
      </c>
      <c r="I32" s="17" t="n">
        <v>1456</v>
      </c>
      <c r="J32" s="17" t="n">
        <v>941</v>
      </c>
      <c r="K32" s="17" t="n">
        <v>750</v>
      </c>
      <c r="L32" s="17" t="n">
        <v>758</v>
      </c>
      <c r="M32" s="112" t="n"/>
      <c r="N32" s="112" t="n"/>
      <c r="O32" s="112" t="n"/>
      <c r="P32" s="112" t="n"/>
      <c r="Q32" s="71">
        <f>SUM(E32:P32)</f>
        <v/>
      </c>
      <c r="S32" s="17" t="n">
        <v>2250</v>
      </c>
      <c r="T32" s="17" t="n">
        <v>2125</v>
      </c>
      <c r="U32" s="17" t="n">
        <v>2000</v>
      </c>
      <c r="V32" s="17" t="n">
        <v>1500</v>
      </c>
      <c r="W32" s="17" t="n">
        <v>1250</v>
      </c>
      <c r="X32" s="17" t="n">
        <v>1000</v>
      </c>
      <c r="Y32" s="17" t="n">
        <v>750</v>
      </c>
      <c r="Z32" s="17" t="n">
        <v>750</v>
      </c>
      <c r="AA32" s="17" t="n">
        <v>875</v>
      </c>
      <c r="AB32" s="17" t="n">
        <v>1375</v>
      </c>
      <c r="AC32" s="17" t="n">
        <v>1875</v>
      </c>
      <c r="AD32" s="17" t="n">
        <v>2125</v>
      </c>
      <c r="AE32" s="71">
        <f>SUM(S32:AD32)</f>
        <v/>
      </c>
    </row>
    <row r="33">
      <c r="A33" s="9" t="inlineStr">
        <is>
          <t>5108</t>
        </is>
      </c>
      <c r="B33" s="115" t="inlineStr">
        <is>
          <t>5108.001</t>
        </is>
      </c>
      <c r="C33" s="115" t="inlineStr">
        <is>
          <t>Survei, geologi &amp; grade control</t>
        </is>
      </c>
      <c r="D33" s="115" t="inlineStr">
        <is>
          <t>Posting</t>
        </is>
      </c>
      <c r="E33" s="17" t="n">
        <v>660</v>
      </c>
      <c r="F33" s="17" t="n">
        <v>555</v>
      </c>
      <c r="G33" s="17" t="n">
        <v>597</v>
      </c>
      <c r="H33" s="17" t="n">
        <v>637</v>
      </c>
      <c r="I33" s="17" t="n">
        <v>562</v>
      </c>
      <c r="J33" s="17" t="n">
        <v>572</v>
      </c>
      <c r="K33" s="17" t="n">
        <v>575</v>
      </c>
      <c r="L33" s="17" t="n">
        <v>597</v>
      </c>
      <c r="M33" s="112" t="n"/>
      <c r="N33" s="112" t="n"/>
      <c r="O33" s="112" t="n"/>
      <c r="P33" s="112" t="n"/>
      <c r="Q33" s="71">
        <f>SUM(E33:P33)</f>
        <v/>
      </c>
      <c r="S33" s="17" t="n">
        <v>600</v>
      </c>
      <c r="T33" s="17" t="n">
        <v>600</v>
      </c>
      <c r="U33" s="17" t="n">
        <v>600</v>
      </c>
      <c r="V33" s="17" t="n">
        <v>600</v>
      </c>
      <c r="W33" s="17" t="n">
        <v>600</v>
      </c>
      <c r="X33" s="17" t="n">
        <v>600</v>
      </c>
      <c r="Y33" s="17" t="n">
        <v>600</v>
      </c>
      <c r="Z33" s="17" t="n">
        <v>600</v>
      </c>
      <c r="AA33" s="17" t="n">
        <v>600</v>
      </c>
      <c r="AB33" s="17" t="n">
        <v>600</v>
      </c>
      <c r="AC33" s="17" t="n">
        <v>600</v>
      </c>
      <c r="AD33" s="17" t="n">
        <v>600</v>
      </c>
      <c r="AE33" s="71">
        <f>SUM(S33:AD33)</f>
        <v/>
      </c>
    </row>
    <row r="34">
      <c r="A34" s="9" t="inlineStr">
        <is>
          <t>5201</t>
        </is>
      </c>
      <c r="B34" s="115" t="inlineStr">
        <is>
          <t>5201.001</t>
        </is>
      </c>
      <c r="C34" s="115" t="inlineStr">
        <is>
          <t>Crushing &amp; pengolahan (CPP)</t>
        </is>
      </c>
      <c r="D34" s="115" t="inlineStr">
        <is>
          <t>Posting</t>
        </is>
      </c>
      <c r="E34" s="17" t="n">
        <v>2547</v>
      </c>
      <c r="F34" s="17" t="n">
        <v>2826</v>
      </c>
      <c r="G34" s="17" t="n">
        <v>2781</v>
      </c>
      <c r="H34" s="17" t="n">
        <v>3388</v>
      </c>
      <c r="I34" s="17" t="n">
        <v>3143</v>
      </c>
      <c r="J34" s="17" t="n">
        <v>3131</v>
      </c>
      <c r="K34" s="17" t="n">
        <v>3600</v>
      </c>
      <c r="L34" s="17" t="n">
        <v>3702</v>
      </c>
      <c r="M34" s="112" t="n"/>
      <c r="N34" s="112" t="n"/>
      <c r="O34" s="112" t="n"/>
      <c r="P34" s="112" t="n"/>
      <c r="Q34" s="71">
        <f>SUM(E34:P34)</f>
        <v/>
      </c>
      <c r="S34" s="17" t="n">
        <v>2821</v>
      </c>
      <c r="T34" s="17" t="n">
        <v>2755</v>
      </c>
      <c r="U34" s="17" t="n">
        <v>3050</v>
      </c>
      <c r="V34" s="17" t="n">
        <v>3280</v>
      </c>
      <c r="W34" s="17" t="n">
        <v>3444</v>
      </c>
      <c r="X34" s="17" t="n">
        <v>3510</v>
      </c>
      <c r="Y34" s="17" t="n">
        <v>3608</v>
      </c>
      <c r="Z34" s="17" t="n">
        <v>3608</v>
      </c>
      <c r="AA34" s="17" t="n">
        <v>3477</v>
      </c>
      <c r="AB34" s="17" t="n">
        <v>3346</v>
      </c>
      <c r="AC34" s="17" t="n">
        <v>3182</v>
      </c>
      <c r="AD34" s="17" t="n">
        <v>3018</v>
      </c>
      <c r="AE34" s="71">
        <f>SUM(S34:AD34)</f>
        <v/>
      </c>
    </row>
    <row r="35">
      <c r="A35" s="9" t="inlineStr">
        <is>
          <t>5202</t>
        </is>
      </c>
      <c r="B35" s="115" t="inlineStr">
        <is>
          <t>5202.001</t>
        </is>
      </c>
      <c r="C35" s="115" t="inlineStr">
        <is>
          <t>Hauling – Kontraktor Angkutan 1</t>
        </is>
      </c>
      <c r="D35" s="115" t="inlineStr">
        <is>
          <t>Posting</t>
        </is>
      </c>
      <c r="E35" s="17" t="n">
        <v>5820</v>
      </c>
      <c r="F35" s="17" t="n">
        <v>6659</v>
      </c>
      <c r="G35" s="17" t="n">
        <v>6420</v>
      </c>
      <c r="H35" s="17" t="n">
        <v>7795</v>
      </c>
      <c r="I35" s="17" t="n">
        <v>7052</v>
      </c>
      <c r="J35" s="17" t="n">
        <v>7143</v>
      </c>
      <c r="K35" s="17" t="n">
        <v>8174</v>
      </c>
      <c r="L35" s="17" t="n">
        <v>8269</v>
      </c>
      <c r="M35" s="112" t="n"/>
      <c r="N35" s="112" t="n"/>
      <c r="O35" s="112" t="n"/>
      <c r="P35" s="112" t="n"/>
      <c r="Q35" s="71">
        <f>SUM(E35:P35)</f>
        <v/>
      </c>
      <c r="S35" s="17" t="n">
        <v>6196</v>
      </c>
      <c r="T35" s="17" t="n">
        <v>6053</v>
      </c>
      <c r="U35" s="17" t="n">
        <v>6701</v>
      </c>
      <c r="V35" s="17" t="n">
        <v>7206</v>
      </c>
      <c r="W35" s="17" t="n">
        <v>7565</v>
      </c>
      <c r="X35" s="17" t="n">
        <v>7710</v>
      </c>
      <c r="Y35" s="17" t="n">
        <v>7926</v>
      </c>
      <c r="Z35" s="17" t="n">
        <v>7926</v>
      </c>
      <c r="AA35" s="17" t="n">
        <v>7637</v>
      </c>
      <c r="AB35" s="17" t="n">
        <v>7350</v>
      </c>
      <c r="AC35" s="17" t="n">
        <v>6989</v>
      </c>
      <c r="AD35" s="17" t="n">
        <v>6629</v>
      </c>
      <c r="AE35" s="71">
        <f>SUM(S35:AD35)</f>
        <v/>
      </c>
    </row>
    <row r="36">
      <c r="A36" s="9" t="inlineStr">
        <is>
          <t>5202</t>
        </is>
      </c>
      <c r="B36" s="115" t="inlineStr">
        <is>
          <t>5202.002</t>
        </is>
      </c>
      <c r="C36" s="115" t="inlineStr">
        <is>
          <t>Hauling – Kontraktor Angkutan 2</t>
        </is>
      </c>
      <c r="D36" s="115" t="inlineStr">
        <is>
          <t>Posting</t>
        </is>
      </c>
      <c r="E36" s="17" t="n">
        <v>4999</v>
      </c>
      <c r="F36" s="17" t="n">
        <v>5720</v>
      </c>
      <c r="G36" s="17" t="n">
        <v>5514</v>
      </c>
      <c r="H36" s="17" t="n">
        <v>6695</v>
      </c>
      <c r="I36" s="17" t="n">
        <v>6058</v>
      </c>
      <c r="J36" s="17" t="n">
        <v>6136</v>
      </c>
      <c r="K36" s="17" t="n">
        <v>7021</v>
      </c>
      <c r="L36" s="17" t="n">
        <v>7103</v>
      </c>
      <c r="M36" s="112" t="n"/>
      <c r="N36" s="112" t="n"/>
      <c r="O36" s="112" t="n"/>
      <c r="P36" s="112" t="n"/>
      <c r="Q36" s="71">
        <f>SUM(E36:P36)</f>
        <v/>
      </c>
      <c r="S36" s="17" t="n">
        <v>5323</v>
      </c>
      <c r="T36" s="17" t="n">
        <v>5199</v>
      </c>
      <c r="U36" s="17" t="n">
        <v>5756</v>
      </c>
      <c r="V36" s="17" t="n">
        <v>6189</v>
      </c>
      <c r="W36" s="17" t="n">
        <v>6499</v>
      </c>
      <c r="X36" s="17" t="n">
        <v>6622</v>
      </c>
      <c r="Y36" s="17" t="n">
        <v>6808</v>
      </c>
      <c r="Z36" s="17" t="n">
        <v>6808</v>
      </c>
      <c r="AA36" s="17" t="n">
        <v>6561</v>
      </c>
      <c r="AB36" s="17" t="n">
        <v>6313</v>
      </c>
      <c r="AC36" s="17" t="n">
        <v>6004</v>
      </c>
      <c r="AD36" s="17" t="n">
        <v>5694</v>
      </c>
      <c r="AE36" s="71">
        <f>SUM(S36:AD36)</f>
        <v/>
      </c>
    </row>
    <row r="37">
      <c r="A37" s="9" t="inlineStr">
        <is>
          <t>5203</t>
        </is>
      </c>
      <c r="B37" s="115" t="inlineStr">
        <is>
          <t>5203.001</t>
        </is>
      </c>
      <c r="C37" s="115" t="inlineStr">
        <is>
          <t>Penanganan pelabuhan &amp; stockpile</t>
        </is>
      </c>
      <c r="D37" s="115" t="inlineStr">
        <is>
          <t>Posting</t>
        </is>
      </c>
      <c r="E37" s="17" t="n">
        <v>4110</v>
      </c>
      <c r="F37" s="17" t="n">
        <v>4460</v>
      </c>
      <c r="G37" s="17" t="n">
        <v>4475</v>
      </c>
      <c r="H37" s="17" t="n">
        <v>5273</v>
      </c>
      <c r="I37" s="17" t="n">
        <v>5011</v>
      </c>
      <c r="J37" s="17" t="n">
        <v>4858</v>
      </c>
      <c r="K37" s="17" t="n">
        <v>5586</v>
      </c>
      <c r="L37" s="17" t="n">
        <v>5726</v>
      </c>
      <c r="M37" s="112" t="n"/>
      <c r="N37" s="112" t="n"/>
      <c r="O37" s="112" t="n"/>
      <c r="P37" s="112" t="n"/>
      <c r="Q37" s="71">
        <f>SUM(E37:P37)</f>
        <v/>
      </c>
      <c r="S37" s="17" t="n">
        <v>4492</v>
      </c>
      <c r="T37" s="17" t="n">
        <v>4388</v>
      </c>
      <c r="U37" s="17" t="n">
        <v>4858</v>
      </c>
      <c r="V37" s="17" t="n">
        <v>5223</v>
      </c>
      <c r="W37" s="17" t="n">
        <v>5485</v>
      </c>
      <c r="X37" s="17" t="n">
        <v>5589</v>
      </c>
      <c r="Y37" s="17" t="n">
        <v>5746</v>
      </c>
      <c r="Z37" s="17" t="n">
        <v>5746</v>
      </c>
      <c r="AA37" s="17" t="n">
        <v>5537</v>
      </c>
      <c r="AB37" s="17" t="n">
        <v>5328</v>
      </c>
      <c r="AC37" s="17" t="n">
        <v>5067</v>
      </c>
      <c r="AD37" s="17" t="n">
        <v>4806</v>
      </c>
      <c r="AE37" s="71">
        <f>SUM(S37:AD37)</f>
        <v/>
      </c>
    </row>
    <row r="38">
      <c r="A38" s="9" t="inlineStr">
        <is>
          <t>5204</t>
        </is>
      </c>
      <c r="B38" s="115" t="inlineStr">
        <is>
          <t>5204.001</t>
        </is>
      </c>
      <c r="C38" s="115" t="inlineStr">
        <is>
          <t>Sewa tongkang &amp; tug boat</t>
        </is>
      </c>
      <c r="D38" s="115" t="inlineStr">
        <is>
          <t>Posting</t>
        </is>
      </c>
      <c r="E38" s="17" t="n">
        <v>7148</v>
      </c>
      <c r="F38" s="17" t="n">
        <v>7893</v>
      </c>
      <c r="G38" s="17" t="n">
        <v>7733</v>
      </c>
      <c r="H38" s="17" t="n">
        <v>9484</v>
      </c>
      <c r="I38" s="17" t="n">
        <v>8795</v>
      </c>
      <c r="J38" s="17" t="n">
        <v>8347</v>
      </c>
      <c r="K38" s="17" t="n">
        <v>9534</v>
      </c>
      <c r="L38" s="17" t="n">
        <v>9923</v>
      </c>
      <c r="M38" s="112" t="n"/>
      <c r="N38" s="112" t="n"/>
      <c r="O38" s="112" t="n"/>
      <c r="P38" s="112" t="n"/>
      <c r="Q38" s="71">
        <f>SUM(E38:P38)</f>
        <v/>
      </c>
      <c r="S38" s="17" t="n">
        <v>7640</v>
      </c>
      <c r="T38" s="17" t="n">
        <v>7462</v>
      </c>
      <c r="U38" s="17" t="n">
        <v>8262</v>
      </c>
      <c r="V38" s="17" t="n">
        <v>8884</v>
      </c>
      <c r="W38" s="17" t="n">
        <v>9328</v>
      </c>
      <c r="X38" s="17" t="n">
        <v>9506</v>
      </c>
      <c r="Y38" s="17" t="n">
        <v>9772</v>
      </c>
      <c r="Z38" s="17" t="n">
        <v>9772</v>
      </c>
      <c r="AA38" s="17" t="n">
        <v>9417</v>
      </c>
      <c r="AB38" s="17" t="n">
        <v>9062</v>
      </c>
      <c r="AC38" s="17" t="n">
        <v>8618</v>
      </c>
      <c r="AD38" s="17" t="n">
        <v>8173</v>
      </c>
      <c r="AE38" s="71">
        <f>SUM(S38:AD38)</f>
        <v/>
      </c>
    </row>
    <row r="39">
      <c r="A39" s="9" t="inlineStr">
        <is>
          <t>5204</t>
        </is>
      </c>
      <c r="B39" s="115" t="inlineStr">
        <is>
          <t>5204.002</t>
        </is>
      </c>
      <c r="C39" s="115" t="inlineStr">
        <is>
          <t>Transshipment / floating crane</t>
        </is>
      </c>
      <c r="D39" s="115" t="inlineStr">
        <is>
          <t>Posting</t>
        </is>
      </c>
      <c r="E39" s="17" t="n">
        <v>7399</v>
      </c>
      <c r="F39" s="17" t="n">
        <v>8172</v>
      </c>
      <c r="G39" s="17" t="n">
        <v>8005</v>
      </c>
      <c r="H39" s="17" t="n">
        <v>9819</v>
      </c>
      <c r="I39" s="17" t="n">
        <v>9106</v>
      </c>
      <c r="J39" s="17" t="n">
        <v>8641</v>
      </c>
      <c r="K39" s="17" t="n">
        <v>9870</v>
      </c>
      <c r="L39" s="17" t="n">
        <v>10273</v>
      </c>
      <c r="M39" s="112" t="n"/>
      <c r="N39" s="112" t="n"/>
      <c r="O39" s="112" t="n"/>
      <c r="P39" s="112" t="n"/>
      <c r="Q39" s="71">
        <f>SUM(E39:P39)</f>
        <v/>
      </c>
      <c r="S39" s="17" t="n">
        <v>7910</v>
      </c>
      <c r="T39" s="17" t="n">
        <v>7726</v>
      </c>
      <c r="U39" s="17" t="n">
        <v>8553</v>
      </c>
      <c r="V39" s="17" t="n">
        <v>9197</v>
      </c>
      <c r="W39" s="17" t="n">
        <v>9657</v>
      </c>
      <c r="X39" s="17" t="n">
        <v>9841</v>
      </c>
      <c r="Y39" s="17" t="n">
        <v>10117</v>
      </c>
      <c r="Z39" s="17" t="n">
        <v>10117</v>
      </c>
      <c r="AA39" s="17" t="n">
        <v>9749</v>
      </c>
      <c r="AB39" s="17" t="n">
        <v>9381</v>
      </c>
      <c r="AC39" s="17" t="n">
        <v>8921</v>
      </c>
      <c r="AD39" s="17" t="n">
        <v>8462</v>
      </c>
      <c r="AE39" s="71">
        <f>SUM(S39:AD39)</f>
        <v/>
      </c>
    </row>
    <row r="40">
      <c r="A40" s="9" t="inlineStr">
        <is>
          <t>5301</t>
        </is>
      </c>
      <c r="B40" s="115" t="inlineStr">
        <is>
          <t>5301.001</t>
        </is>
      </c>
      <c r="C40" s="115" t="inlineStr">
        <is>
          <t>Royalti / PNBP (DHPB)</t>
        </is>
      </c>
      <c r="D40" s="115" t="inlineStr">
        <is>
          <t>Posting</t>
        </is>
      </c>
      <c r="E40" s="17" t="n">
        <v>8437</v>
      </c>
      <c r="F40" s="17" t="n">
        <v>9349</v>
      </c>
      <c r="G40" s="17" t="n">
        <v>9041</v>
      </c>
      <c r="H40" s="17" t="n">
        <v>10983</v>
      </c>
      <c r="I40" s="17" t="n">
        <v>10414</v>
      </c>
      <c r="J40" s="17" t="n">
        <v>9989</v>
      </c>
      <c r="K40" s="17" t="n">
        <v>11500</v>
      </c>
      <c r="L40" s="17" t="n">
        <v>11996</v>
      </c>
      <c r="M40" s="112" t="n"/>
      <c r="N40" s="112" t="n"/>
      <c r="O40" s="112" t="n"/>
      <c r="P40" s="112" t="n"/>
      <c r="Q40" s="71">
        <f>SUM(E40:P40)</f>
        <v/>
      </c>
      <c r="S40" s="17" t="n">
        <v>9420</v>
      </c>
      <c r="T40" s="17" t="n">
        <v>9201</v>
      </c>
      <c r="U40" s="17" t="n">
        <v>10186</v>
      </c>
      <c r="V40" s="17" t="n">
        <v>10953</v>
      </c>
      <c r="W40" s="17" t="n">
        <v>11501</v>
      </c>
      <c r="X40" s="17" t="n">
        <v>11720</v>
      </c>
      <c r="Y40" s="17" t="n">
        <v>12048</v>
      </c>
      <c r="Z40" s="17" t="n">
        <v>12048</v>
      </c>
      <c r="AA40" s="17" t="n">
        <v>11610</v>
      </c>
      <c r="AB40" s="17" t="n">
        <v>11172</v>
      </c>
      <c r="AC40" s="17" t="n">
        <v>10625</v>
      </c>
      <c r="AD40" s="17" t="n">
        <v>10077</v>
      </c>
      <c r="AE40" s="71">
        <f>SUM(S40:AD40)</f>
        <v/>
      </c>
    </row>
    <row r="41">
      <c r="A41" s="9" t="inlineStr">
        <is>
          <t>5401</t>
        </is>
      </c>
      <c r="B41" s="115" t="inlineStr">
        <is>
          <t>5401.001</t>
        </is>
      </c>
      <c r="C41" s="115" t="inlineStr">
        <is>
          <t>Gaji pokok karyawan site</t>
        </is>
      </c>
      <c r="D41" s="115" t="inlineStr">
        <is>
          <t>Posting</t>
        </is>
      </c>
      <c r="E41" s="17" t="n">
        <v>2148</v>
      </c>
      <c r="F41" s="17" t="n">
        <v>2143</v>
      </c>
      <c r="G41" s="17" t="n">
        <v>2107</v>
      </c>
      <c r="H41" s="17" t="n">
        <v>2089</v>
      </c>
      <c r="I41" s="17" t="n">
        <v>2168</v>
      </c>
      <c r="J41" s="17" t="n">
        <v>2138</v>
      </c>
      <c r="K41" s="17" t="n">
        <v>2143</v>
      </c>
      <c r="L41" s="17" t="n">
        <v>2180</v>
      </c>
      <c r="M41" s="112" t="n"/>
      <c r="N41" s="112" t="n"/>
      <c r="O41" s="112" t="n"/>
      <c r="P41" s="112" t="n"/>
      <c r="Q41" s="71">
        <f>SUM(E41:P41)</f>
        <v/>
      </c>
      <c r="S41" s="17" t="n">
        <v>2066</v>
      </c>
      <c r="T41" s="17" t="n">
        <v>2066</v>
      </c>
      <c r="U41" s="17" t="n">
        <v>2066</v>
      </c>
      <c r="V41" s="17" t="n">
        <v>2066</v>
      </c>
      <c r="W41" s="17" t="n">
        <v>2066</v>
      </c>
      <c r="X41" s="17" t="n">
        <v>2066</v>
      </c>
      <c r="Y41" s="17" t="n">
        <v>2066</v>
      </c>
      <c r="Z41" s="17" t="n">
        <v>2066</v>
      </c>
      <c r="AA41" s="17" t="n">
        <v>2066</v>
      </c>
      <c r="AB41" s="17" t="n">
        <v>2066</v>
      </c>
      <c r="AC41" s="17" t="n">
        <v>2066</v>
      </c>
      <c r="AD41" s="17" t="n">
        <v>2066</v>
      </c>
      <c r="AE41" s="71">
        <f>SUM(S41:AD41)</f>
        <v/>
      </c>
    </row>
    <row r="42">
      <c r="A42" s="9" t="inlineStr">
        <is>
          <t>5401</t>
        </is>
      </c>
      <c r="B42" s="115" t="inlineStr">
        <is>
          <t>5401.002</t>
        </is>
      </c>
      <c r="C42" s="115" t="inlineStr">
        <is>
          <t>Tunjangan &amp; lembur site</t>
        </is>
      </c>
      <c r="D42" s="115" t="inlineStr">
        <is>
          <t>Posting</t>
        </is>
      </c>
      <c r="E42" s="17" t="n">
        <v>1865</v>
      </c>
      <c r="F42" s="17" t="n">
        <v>1860</v>
      </c>
      <c r="G42" s="17" t="n">
        <v>1829</v>
      </c>
      <c r="H42" s="17" t="n">
        <v>1813</v>
      </c>
      <c r="I42" s="17" t="n">
        <v>1882</v>
      </c>
      <c r="J42" s="17" t="n">
        <v>1856</v>
      </c>
      <c r="K42" s="17" t="n">
        <v>1860</v>
      </c>
      <c r="L42" s="17" t="n">
        <v>1893</v>
      </c>
      <c r="M42" s="112" t="n"/>
      <c r="N42" s="112" t="n"/>
      <c r="O42" s="112" t="n"/>
      <c r="P42" s="112" t="n"/>
      <c r="Q42" s="71">
        <f>SUM(E42:P42)</f>
        <v/>
      </c>
      <c r="S42" s="17" t="n">
        <v>1794</v>
      </c>
      <c r="T42" s="17" t="n">
        <v>1794</v>
      </c>
      <c r="U42" s="17" t="n">
        <v>1794</v>
      </c>
      <c r="V42" s="17" t="n">
        <v>1794</v>
      </c>
      <c r="W42" s="17" t="n">
        <v>1794</v>
      </c>
      <c r="X42" s="17" t="n">
        <v>1794</v>
      </c>
      <c r="Y42" s="17" t="n">
        <v>1794</v>
      </c>
      <c r="Z42" s="17" t="n">
        <v>1794</v>
      </c>
      <c r="AA42" s="17" t="n">
        <v>1794</v>
      </c>
      <c r="AB42" s="17" t="n">
        <v>1794</v>
      </c>
      <c r="AC42" s="17" t="n">
        <v>1794</v>
      </c>
      <c r="AD42" s="17" t="n">
        <v>1794</v>
      </c>
      <c r="AE42" s="71">
        <f>SUM(S42:AD42)</f>
        <v/>
      </c>
    </row>
    <row r="43">
      <c r="A43" s="9" t="inlineStr">
        <is>
          <t>5401</t>
        </is>
      </c>
      <c r="B43" s="115" t="inlineStr">
        <is>
          <t>5401.003</t>
        </is>
      </c>
      <c r="C43" s="115" t="inlineStr">
        <is>
          <t>BPJS &amp; imbalan kerja site</t>
        </is>
      </c>
      <c r="D43" s="115" t="inlineStr">
        <is>
          <t>Posting</t>
        </is>
      </c>
      <c r="E43" s="17" t="n">
        <v>2745</v>
      </c>
      <c r="F43" s="17" t="n">
        <v>2739</v>
      </c>
      <c r="G43" s="17" t="n">
        <v>2693</v>
      </c>
      <c r="H43" s="17" t="n">
        <v>2670</v>
      </c>
      <c r="I43" s="17" t="n">
        <v>2771</v>
      </c>
      <c r="J43" s="17" t="n">
        <v>2732</v>
      </c>
      <c r="K43" s="17" t="n">
        <v>2739</v>
      </c>
      <c r="L43" s="17" t="n">
        <v>2788</v>
      </c>
      <c r="M43" s="112" t="n"/>
      <c r="N43" s="112" t="n"/>
      <c r="O43" s="112" t="n"/>
      <c r="P43" s="112" t="n"/>
      <c r="Q43" s="71">
        <f>SUM(E43:P43)</f>
        <v/>
      </c>
      <c r="S43" s="17" t="n">
        <v>2640</v>
      </c>
      <c r="T43" s="17" t="n">
        <v>2640</v>
      </c>
      <c r="U43" s="17" t="n">
        <v>2640</v>
      </c>
      <c r="V43" s="17" t="n">
        <v>2640</v>
      </c>
      <c r="W43" s="17" t="n">
        <v>2640</v>
      </c>
      <c r="X43" s="17" t="n">
        <v>2640</v>
      </c>
      <c r="Y43" s="17" t="n">
        <v>2640</v>
      </c>
      <c r="Z43" s="17" t="n">
        <v>2640</v>
      </c>
      <c r="AA43" s="17" t="n">
        <v>2640</v>
      </c>
      <c r="AB43" s="17" t="n">
        <v>2640</v>
      </c>
      <c r="AC43" s="17" t="n">
        <v>2640</v>
      </c>
      <c r="AD43" s="17" t="n">
        <v>2640</v>
      </c>
      <c r="AE43" s="71">
        <f>SUM(S43:AD43)</f>
        <v/>
      </c>
    </row>
    <row r="44">
      <c r="A44" s="9" t="inlineStr">
        <is>
          <t>5402</t>
        </is>
      </c>
      <c r="B44" s="115" t="inlineStr">
        <is>
          <t>5402.001</t>
        </is>
      </c>
      <c r="C44" s="115" t="inlineStr">
        <is>
          <t>Camp, mess &amp; katering</t>
        </is>
      </c>
      <c r="D44" s="115" t="inlineStr">
        <is>
          <t>Posting</t>
        </is>
      </c>
      <c r="E44" s="17" t="n">
        <v>1673</v>
      </c>
      <c r="F44" s="17" t="n">
        <v>1750</v>
      </c>
      <c r="G44" s="17" t="n">
        <v>1543</v>
      </c>
      <c r="H44" s="17" t="n">
        <v>1538</v>
      </c>
      <c r="I44" s="17" t="n">
        <v>1612</v>
      </c>
      <c r="J44" s="17" t="n">
        <v>1702</v>
      </c>
      <c r="K44" s="17" t="n">
        <v>1731</v>
      </c>
      <c r="L44" s="17" t="n">
        <v>1662</v>
      </c>
      <c r="M44" s="112" t="n"/>
      <c r="N44" s="112" t="n"/>
      <c r="O44" s="112" t="n"/>
      <c r="P44" s="112" t="n"/>
      <c r="Q44" s="71">
        <f>SUM(E44:P44)</f>
        <v/>
      </c>
      <c r="S44" s="17" t="n">
        <v>1600</v>
      </c>
      <c r="T44" s="17" t="n">
        <v>1600</v>
      </c>
      <c r="U44" s="17" t="n">
        <v>1600</v>
      </c>
      <c r="V44" s="17" t="n">
        <v>1600</v>
      </c>
      <c r="W44" s="17" t="n">
        <v>1600</v>
      </c>
      <c r="X44" s="17" t="n">
        <v>1600</v>
      </c>
      <c r="Y44" s="17" t="n">
        <v>1600</v>
      </c>
      <c r="Z44" s="17" t="n">
        <v>1600</v>
      </c>
      <c r="AA44" s="17" t="n">
        <v>1600</v>
      </c>
      <c r="AB44" s="17" t="n">
        <v>1600</v>
      </c>
      <c r="AC44" s="17" t="n">
        <v>1600</v>
      </c>
      <c r="AD44" s="17" t="n">
        <v>1600</v>
      </c>
      <c r="AE44" s="71">
        <f>SUM(S44:AD44)</f>
        <v/>
      </c>
    </row>
    <row r="45">
      <c r="A45" s="9" t="inlineStr">
        <is>
          <t>5403</t>
        </is>
      </c>
      <c r="B45" s="115" t="inlineStr">
        <is>
          <t>5403.001</t>
        </is>
      </c>
      <c r="C45" s="115" t="inlineStr">
        <is>
          <t>K3 / HSE</t>
        </is>
      </c>
      <c r="D45" s="115" t="inlineStr">
        <is>
          <t>Posting</t>
        </is>
      </c>
      <c r="E45" s="17" t="n">
        <v>782</v>
      </c>
      <c r="F45" s="17" t="n">
        <v>836</v>
      </c>
      <c r="G45" s="17" t="n">
        <v>787</v>
      </c>
      <c r="H45" s="17" t="n">
        <v>805</v>
      </c>
      <c r="I45" s="17" t="n">
        <v>669</v>
      </c>
      <c r="J45" s="17" t="n">
        <v>782</v>
      </c>
      <c r="K45" s="17" t="n">
        <v>689</v>
      </c>
      <c r="L45" s="17" t="n">
        <v>806</v>
      </c>
      <c r="M45" s="112" t="n"/>
      <c r="N45" s="112" t="n"/>
      <c r="O45" s="112" t="n"/>
      <c r="P45" s="112" t="n"/>
      <c r="Q45" s="71">
        <f>SUM(E45:P45)</f>
        <v/>
      </c>
      <c r="S45" s="17" t="n">
        <v>700</v>
      </c>
      <c r="T45" s="17" t="n">
        <v>700</v>
      </c>
      <c r="U45" s="17" t="n">
        <v>700</v>
      </c>
      <c r="V45" s="17" t="n">
        <v>700</v>
      </c>
      <c r="W45" s="17" t="n">
        <v>700</v>
      </c>
      <c r="X45" s="17" t="n">
        <v>700</v>
      </c>
      <c r="Y45" s="17" t="n">
        <v>700</v>
      </c>
      <c r="Z45" s="17" t="n">
        <v>700</v>
      </c>
      <c r="AA45" s="17" t="n">
        <v>700</v>
      </c>
      <c r="AB45" s="17" t="n">
        <v>700</v>
      </c>
      <c r="AC45" s="17" t="n">
        <v>700</v>
      </c>
      <c r="AD45" s="17" t="n">
        <v>700</v>
      </c>
      <c r="AE45" s="71">
        <f>SUM(S45:AD45)</f>
        <v/>
      </c>
    </row>
    <row r="46">
      <c r="A46" s="9" t="inlineStr">
        <is>
          <t>5404</t>
        </is>
      </c>
      <c r="B46" s="115" t="inlineStr">
        <is>
          <t>5404.001</t>
        </is>
      </c>
      <c r="C46" s="115" t="inlineStr">
        <is>
          <t>Lingkungan &amp; reklamasi (provisi)</t>
        </is>
      </c>
      <c r="D46" s="115" t="inlineStr">
        <is>
          <t>Posting</t>
        </is>
      </c>
      <c r="E46" s="17" t="n">
        <v>1158</v>
      </c>
      <c r="F46" s="17" t="n">
        <v>1277</v>
      </c>
      <c r="G46" s="17" t="n">
        <v>1259</v>
      </c>
      <c r="H46" s="17" t="n">
        <v>1535</v>
      </c>
      <c r="I46" s="17" t="n">
        <v>1426</v>
      </c>
      <c r="J46" s="17" t="n">
        <v>1435</v>
      </c>
      <c r="K46" s="17" t="n">
        <v>1644</v>
      </c>
      <c r="L46" s="17" t="n">
        <v>1699</v>
      </c>
      <c r="M46" s="112" t="n"/>
      <c r="N46" s="112" t="n"/>
      <c r="O46" s="112" t="n"/>
      <c r="P46" s="112" t="n"/>
      <c r="Q46" s="71">
        <f>SUM(E46:P46)</f>
        <v/>
      </c>
      <c r="S46" s="17" t="n">
        <v>1290</v>
      </c>
      <c r="T46" s="17" t="n">
        <v>1260</v>
      </c>
      <c r="U46" s="17" t="n">
        <v>1395</v>
      </c>
      <c r="V46" s="17" t="n">
        <v>1500</v>
      </c>
      <c r="W46" s="17" t="n">
        <v>1575</v>
      </c>
      <c r="X46" s="17" t="n">
        <v>1605</v>
      </c>
      <c r="Y46" s="17" t="n">
        <v>1650</v>
      </c>
      <c r="Z46" s="17" t="n">
        <v>1650</v>
      </c>
      <c r="AA46" s="17" t="n">
        <v>1590</v>
      </c>
      <c r="AB46" s="17" t="n">
        <v>1530</v>
      </c>
      <c r="AC46" s="17" t="n">
        <v>1455</v>
      </c>
      <c r="AD46" s="17" t="n">
        <v>1380</v>
      </c>
      <c r="AE46" s="71">
        <f>SUM(S46:AD46)</f>
        <v/>
      </c>
    </row>
    <row r="47">
      <c r="A47" s="9" t="inlineStr">
        <is>
          <t>5405</t>
        </is>
      </c>
      <c r="B47" s="115" t="inlineStr">
        <is>
          <t>5405.001</t>
        </is>
      </c>
      <c r="C47" s="115" t="inlineStr">
        <is>
          <t>PPM / CSR</t>
        </is>
      </c>
      <c r="D47" s="115" t="inlineStr">
        <is>
          <t>Posting</t>
        </is>
      </c>
      <c r="E47" s="17" t="n">
        <v>752</v>
      </c>
      <c r="F47" s="17" t="n">
        <v>810</v>
      </c>
      <c r="G47" s="17" t="n">
        <v>868</v>
      </c>
      <c r="H47" s="17" t="n">
        <v>953</v>
      </c>
      <c r="I47" s="17" t="n">
        <v>783</v>
      </c>
      <c r="J47" s="17" t="n">
        <v>787</v>
      </c>
      <c r="K47" s="17" t="n">
        <v>839</v>
      </c>
      <c r="L47" s="17" t="n">
        <v>919</v>
      </c>
      <c r="M47" s="112" t="n"/>
      <c r="N47" s="112" t="n"/>
      <c r="O47" s="112" t="n"/>
      <c r="P47" s="112" t="n"/>
      <c r="Q47" s="71">
        <f>SUM(E47:P47)</f>
        <v/>
      </c>
      <c r="S47" s="17" t="n">
        <v>900</v>
      </c>
      <c r="T47" s="17" t="n">
        <v>900</v>
      </c>
      <c r="U47" s="17" t="n">
        <v>900</v>
      </c>
      <c r="V47" s="17" t="n">
        <v>900</v>
      </c>
      <c r="W47" s="17" t="n">
        <v>900</v>
      </c>
      <c r="X47" s="17" t="n">
        <v>900</v>
      </c>
      <c r="Y47" s="17" t="n">
        <v>900</v>
      </c>
      <c r="Z47" s="17" t="n">
        <v>900</v>
      </c>
      <c r="AA47" s="17" t="n">
        <v>900</v>
      </c>
      <c r="AB47" s="17" t="n">
        <v>900</v>
      </c>
      <c r="AC47" s="17" t="n">
        <v>900</v>
      </c>
      <c r="AD47" s="17" t="n">
        <v>900</v>
      </c>
      <c r="AE47" s="71">
        <f>SUM(S47:AD47)</f>
        <v/>
      </c>
    </row>
    <row r="48">
      <c r="A48" s="9" t="inlineStr">
        <is>
          <t>5406</t>
        </is>
      </c>
      <c r="B48" s="115" t="inlineStr">
        <is>
          <t>5406.001</t>
        </is>
      </c>
      <c r="C48" s="115" t="inlineStr">
        <is>
          <t>Iuran tetap &amp; kompensasi lahan</t>
        </is>
      </c>
      <c r="D48" s="115" t="inlineStr">
        <is>
          <t>Posting</t>
        </is>
      </c>
      <c r="E48" s="17" t="n">
        <v>700</v>
      </c>
      <c r="F48" s="17" t="n">
        <v>700</v>
      </c>
      <c r="G48" s="17" t="n">
        <v>700</v>
      </c>
      <c r="H48" s="17" t="n">
        <v>700</v>
      </c>
      <c r="I48" s="17" t="n">
        <v>700</v>
      </c>
      <c r="J48" s="17" t="n">
        <v>700</v>
      </c>
      <c r="K48" s="17" t="n">
        <v>700</v>
      </c>
      <c r="L48" s="17" t="n">
        <v>700</v>
      </c>
      <c r="M48" s="112" t="n"/>
      <c r="N48" s="112" t="n"/>
      <c r="O48" s="112" t="n"/>
      <c r="P48" s="112" t="n"/>
      <c r="Q48" s="71">
        <f>SUM(E48:P48)</f>
        <v/>
      </c>
      <c r="S48" s="17" t="n">
        <v>700</v>
      </c>
      <c r="T48" s="17" t="n">
        <v>700</v>
      </c>
      <c r="U48" s="17" t="n">
        <v>700</v>
      </c>
      <c r="V48" s="17" t="n">
        <v>700</v>
      </c>
      <c r="W48" s="17" t="n">
        <v>700</v>
      </c>
      <c r="X48" s="17" t="n">
        <v>700</v>
      </c>
      <c r="Y48" s="17" t="n">
        <v>700</v>
      </c>
      <c r="Z48" s="17" t="n">
        <v>700</v>
      </c>
      <c r="AA48" s="17" t="n">
        <v>700</v>
      </c>
      <c r="AB48" s="17" t="n">
        <v>700</v>
      </c>
      <c r="AC48" s="17" t="n">
        <v>700</v>
      </c>
      <c r="AD48" s="17" t="n">
        <v>700</v>
      </c>
      <c r="AE48" s="71">
        <f>SUM(S48:AD48)</f>
        <v/>
      </c>
    </row>
    <row r="49">
      <c r="A49" s="9" t="inlineStr">
        <is>
          <t>5501</t>
        </is>
      </c>
      <c r="B49" s="115" t="inlineStr">
        <is>
          <t>5501.001</t>
        </is>
      </c>
      <c r="C49" s="115" t="inlineStr">
        <is>
          <t>Penyusutan aset tetap</t>
        </is>
      </c>
      <c r="D49" s="115" t="inlineStr">
        <is>
          <t>Posting</t>
        </is>
      </c>
      <c r="E49" s="17" t="n">
        <v>7500</v>
      </c>
      <c r="F49" s="17" t="n">
        <v>7500</v>
      </c>
      <c r="G49" s="17" t="n">
        <v>7500</v>
      </c>
      <c r="H49" s="17" t="n">
        <v>7500</v>
      </c>
      <c r="I49" s="17" t="n">
        <v>7500</v>
      </c>
      <c r="J49" s="17" t="n">
        <v>7500</v>
      </c>
      <c r="K49" s="17" t="n">
        <v>7500</v>
      </c>
      <c r="L49" s="17" t="n">
        <v>7500</v>
      </c>
      <c r="M49" s="112" t="n"/>
      <c r="N49" s="112" t="n"/>
      <c r="O49" s="112" t="n"/>
      <c r="P49" s="112" t="n"/>
      <c r="Q49" s="71">
        <f>SUM(E49:P49)</f>
        <v/>
      </c>
      <c r="S49" s="17" t="n">
        <v>7500</v>
      </c>
      <c r="T49" s="17" t="n">
        <v>7500</v>
      </c>
      <c r="U49" s="17" t="n">
        <v>7500</v>
      </c>
      <c r="V49" s="17" t="n">
        <v>7500</v>
      </c>
      <c r="W49" s="17" t="n">
        <v>7500</v>
      </c>
      <c r="X49" s="17" t="n">
        <v>7500</v>
      </c>
      <c r="Y49" s="17" t="n">
        <v>7500</v>
      </c>
      <c r="Z49" s="17" t="n">
        <v>7500</v>
      </c>
      <c r="AA49" s="17" t="n">
        <v>7500</v>
      </c>
      <c r="AB49" s="17" t="n">
        <v>7500</v>
      </c>
      <c r="AC49" s="17" t="n">
        <v>7500</v>
      </c>
      <c r="AD49" s="17" t="n">
        <v>7500</v>
      </c>
      <c r="AE49" s="71">
        <f>SUM(S49:AD49)</f>
        <v/>
      </c>
    </row>
    <row r="50">
      <c r="A50" s="9" t="inlineStr">
        <is>
          <t>5502</t>
        </is>
      </c>
      <c r="B50" s="115" t="inlineStr">
        <is>
          <t>5502.001</t>
        </is>
      </c>
      <c r="C50" s="115" t="inlineStr">
        <is>
          <t>Amortisasi properti pertambangan</t>
        </is>
      </c>
      <c r="D50" s="115" t="inlineStr">
        <is>
          <t>Posting</t>
        </is>
      </c>
      <c r="E50" s="17" t="n">
        <v>2316</v>
      </c>
      <c r="F50" s="17" t="n">
        <v>2554</v>
      </c>
      <c r="G50" s="17" t="n">
        <v>2518</v>
      </c>
      <c r="H50" s="17" t="n">
        <v>3070</v>
      </c>
      <c r="I50" s="17" t="n">
        <v>2853</v>
      </c>
      <c r="J50" s="17" t="n">
        <v>2870</v>
      </c>
      <c r="K50" s="17" t="n">
        <v>3289</v>
      </c>
      <c r="L50" s="17" t="n">
        <v>3398</v>
      </c>
      <c r="M50" s="112" t="n"/>
      <c r="N50" s="112" t="n"/>
      <c r="O50" s="112" t="n"/>
      <c r="P50" s="112" t="n"/>
      <c r="Q50" s="71">
        <f>SUM(E50:P50)</f>
        <v/>
      </c>
      <c r="S50" s="17" t="n">
        <v>2580</v>
      </c>
      <c r="T50" s="17" t="n">
        <v>2520</v>
      </c>
      <c r="U50" s="17" t="n">
        <v>2790</v>
      </c>
      <c r="V50" s="17" t="n">
        <v>3000</v>
      </c>
      <c r="W50" s="17" t="n">
        <v>3150</v>
      </c>
      <c r="X50" s="17" t="n">
        <v>3210</v>
      </c>
      <c r="Y50" s="17" t="n">
        <v>3300</v>
      </c>
      <c r="Z50" s="17" t="n">
        <v>3300</v>
      </c>
      <c r="AA50" s="17" t="n">
        <v>3180</v>
      </c>
      <c r="AB50" s="17" t="n">
        <v>3060</v>
      </c>
      <c r="AC50" s="17" t="n">
        <v>2910</v>
      </c>
      <c r="AD50" s="17" t="n">
        <v>2760</v>
      </c>
      <c r="AE50" s="71">
        <f>SUM(S50:AD50)</f>
        <v/>
      </c>
    </row>
    <row r="51">
      <c r="A51" s="9" t="inlineStr">
        <is>
          <t>5503</t>
        </is>
      </c>
      <c r="B51" s="115" t="inlineStr">
        <is>
          <t>5503.001</t>
        </is>
      </c>
      <c r="C51" s="115" t="inlineStr">
        <is>
          <t>Amortisasi biaya pengupasan tangguhan</t>
        </is>
      </c>
      <c r="D51" s="115" t="inlineStr">
        <is>
          <t>Posting</t>
        </is>
      </c>
      <c r="E51" s="17" t="n">
        <v>1544</v>
      </c>
      <c r="F51" s="17" t="n">
        <v>1703</v>
      </c>
      <c r="G51" s="17" t="n">
        <v>1679</v>
      </c>
      <c r="H51" s="17" t="n">
        <v>2047</v>
      </c>
      <c r="I51" s="17" t="n">
        <v>1902</v>
      </c>
      <c r="J51" s="17" t="n">
        <v>1914</v>
      </c>
      <c r="K51" s="17" t="n">
        <v>2192</v>
      </c>
      <c r="L51" s="17" t="n">
        <v>2265</v>
      </c>
      <c r="M51" s="112" t="n"/>
      <c r="N51" s="112" t="n"/>
      <c r="O51" s="112" t="n"/>
      <c r="P51" s="112" t="n"/>
      <c r="Q51" s="71">
        <f>SUM(E51:P51)</f>
        <v/>
      </c>
      <c r="S51" s="17" t="n">
        <v>1720</v>
      </c>
      <c r="T51" s="17" t="n">
        <v>1680</v>
      </c>
      <c r="U51" s="17" t="n">
        <v>1860</v>
      </c>
      <c r="V51" s="17" t="n">
        <v>2000</v>
      </c>
      <c r="W51" s="17" t="n">
        <v>2100</v>
      </c>
      <c r="X51" s="17" t="n">
        <v>2140</v>
      </c>
      <c r="Y51" s="17" t="n">
        <v>2200</v>
      </c>
      <c r="Z51" s="17" t="n">
        <v>2200</v>
      </c>
      <c r="AA51" s="17" t="n">
        <v>2120</v>
      </c>
      <c r="AB51" s="17" t="n">
        <v>2040</v>
      </c>
      <c r="AC51" s="17" t="n">
        <v>1940</v>
      </c>
      <c r="AD51" s="17" t="n">
        <v>1840</v>
      </c>
      <c r="AE51" s="71">
        <f>SUM(S51:AD51)</f>
        <v/>
      </c>
    </row>
    <row r="52">
      <c r="A52" s="9" t="inlineStr">
        <is>
          <t>5601</t>
        </is>
      </c>
      <c r="B52" s="115" t="inlineStr">
        <is>
          <t>5601.001</t>
        </is>
      </c>
      <c r="C52" s="115" t="inlineStr">
        <is>
          <t>Perubahan persediaan batubara (awal – akhir)</t>
        </is>
      </c>
      <c r="D52" s="115" t="inlineStr">
        <is>
          <t>Posting</t>
        </is>
      </c>
      <c r="E52" s="17" t="n">
        <v>-9402</v>
      </c>
      <c r="F52" s="17" t="n">
        <v>-2421</v>
      </c>
      <c r="G52" s="17" t="n">
        <v>-3153</v>
      </c>
      <c r="H52" s="17" t="n">
        <v>208</v>
      </c>
      <c r="I52" s="17" t="n">
        <v>-2753</v>
      </c>
      <c r="J52" s="17" t="n">
        <v>-1479</v>
      </c>
      <c r="K52" s="17" t="n">
        <v>-7250</v>
      </c>
      <c r="L52" s="17" t="n">
        <v>-4137</v>
      </c>
      <c r="M52" s="112" t="n"/>
      <c r="N52" s="112" t="n"/>
      <c r="O52" s="112" t="n"/>
      <c r="P52" s="112" t="n"/>
      <c r="Q52" s="71">
        <f>SUM(E52:P52)</f>
        <v/>
      </c>
      <c r="S52" s="17" t="n">
        <v>-2150</v>
      </c>
      <c r="T52" s="17" t="n">
        <v>-2942</v>
      </c>
      <c r="U52" s="17" t="n">
        <v>-377</v>
      </c>
      <c r="V52" s="17" t="n">
        <v>-1003</v>
      </c>
      <c r="W52" s="17" t="n">
        <v>-1859</v>
      </c>
      <c r="X52" s="17" t="n">
        <v>-2492</v>
      </c>
      <c r="Y52" s="17" t="n">
        <v>-2394</v>
      </c>
      <c r="Z52" s="17" t="n">
        <v>-3112</v>
      </c>
      <c r="AA52" s="17" t="n">
        <v>-3863</v>
      </c>
      <c r="AB52" s="17" t="n">
        <v>-4198</v>
      </c>
      <c r="AC52" s="17" t="n">
        <v>-4470</v>
      </c>
      <c r="AD52" s="17" t="n">
        <v>-4318</v>
      </c>
      <c r="AE52" s="71">
        <f>SUM(S52:AD52)</f>
        <v/>
      </c>
    </row>
    <row r="53">
      <c r="A53" s="5" t="n"/>
      <c r="B53" s="5" t="n"/>
      <c r="C53" s="4" t="inlineStr">
        <is>
          <t>BEBAN USAHA</t>
        </is>
      </c>
      <c r="D53" s="114" t="inlineStr">
        <is>
          <t>Header</t>
        </is>
      </c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</row>
    <row r="54">
      <c r="A54" s="9" t="inlineStr">
        <is>
          <t>6101</t>
        </is>
      </c>
      <c r="B54" s="115" t="inlineStr">
        <is>
          <t>6101.001</t>
        </is>
      </c>
      <c r="C54" s="115" t="inlineStr">
        <is>
          <t>Pengapalan laut (penjualan CIF)</t>
        </is>
      </c>
      <c r="D54" s="115" t="inlineStr">
        <is>
          <t>Posting</t>
        </is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12" t="n"/>
      <c r="N54" s="112" t="n"/>
      <c r="O54" s="112" t="n"/>
      <c r="P54" s="112" t="n"/>
      <c r="Q54" s="71">
        <f>SUM(E54:P54)</f>
        <v/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7" t="n">
        <v>0</v>
      </c>
      <c r="AE54" s="71">
        <f>SUM(S54:AD54)</f>
        <v/>
      </c>
    </row>
    <row r="55">
      <c r="A55" s="9" t="inlineStr">
        <is>
          <t>6102</t>
        </is>
      </c>
      <c r="B55" s="115" t="inlineStr">
        <is>
          <t>6102.001</t>
        </is>
      </c>
      <c r="C55" s="115" t="inlineStr">
        <is>
          <t>Komisi agen penjualan</t>
        </is>
      </c>
      <c r="D55" s="115" t="inlineStr">
        <is>
          <t>Posting</t>
        </is>
      </c>
      <c r="E55" s="17" t="n">
        <v>806</v>
      </c>
      <c r="F55" s="17" t="n">
        <v>976</v>
      </c>
      <c r="G55" s="17" t="n">
        <v>933</v>
      </c>
      <c r="H55" s="17" t="n">
        <v>1078</v>
      </c>
      <c r="I55" s="17" t="n">
        <v>1037</v>
      </c>
      <c r="J55" s="17" t="n">
        <v>990</v>
      </c>
      <c r="K55" s="17" t="n">
        <v>1093</v>
      </c>
      <c r="L55" s="17" t="n">
        <v>1223</v>
      </c>
      <c r="M55" s="112" t="n"/>
      <c r="N55" s="112" t="n"/>
      <c r="O55" s="112" t="n"/>
      <c r="P55" s="112" t="n"/>
      <c r="Q55" s="71">
        <f>SUM(E55:P55)</f>
        <v/>
      </c>
      <c r="S55" s="17" t="n">
        <v>964</v>
      </c>
      <c r="T55" s="17" t="n">
        <v>942</v>
      </c>
      <c r="U55" s="17" t="n">
        <v>1043</v>
      </c>
      <c r="V55" s="17" t="n">
        <v>1121</v>
      </c>
      <c r="W55" s="17" t="n">
        <v>1177</v>
      </c>
      <c r="X55" s="17" t="n">
        <v>1199</v>
      </c>
      <c r="Y55" s="17" t="n">
        <v>1233</v>
      </c>
      <c r="Z55" s="17" t="n">
        <v>1233</v>
      </c>
      <c r="AA55" s="17" t="n">
        <v>1188</v>
      </c>
      <c r="AB55" s="17" t="n">
        <v>1143</v>
      </c>
      <c r="AC55" s="17" t="n">
        <v>1087</v>
      </c>
      <c r="AD55" s="17" t="n">
        <v>1031</v>
      </c>
      <c r="AE55" s="71">
        <f>SUM(S55:AD55)</f>
        <v/>
      </c>
    </row>
    <row r="56">
      <c r="A56" s="9" t="inlineStr">
        <is>
          <t>6103</t>
        </is>
      </c>
      <c r="B56" s="115" t="inlineStr">
        <is>
          <t>6103.001</t>
        </is>
      </c>
      <c r="C56" s="115" t="inlineStr">
        <is>
          <t>Surveyor independen &amp; analisa kualitas</t>
        </is>
      </c>
      <c r="D56" s="115" t="inlineStr">
        <is>
          <t>Posting</t>
        </is>
      </c>
      <c r="E56" s="17" t="n">
        <v>632</v>
      </c>
      <c r="F56" s="17" t="n">
        <v>686</v>
      </c>
      <c r="G56" s="17" t="n">
        <v>688</v>
      </c>
      <c r="H56" s="17" t="n">
        <v>811</v>
      </c>
      <c r="I56" s="17" t="n">
        <v>771</v>
      </c>
      <c r="J56" s="17" t="n">
        <v>747</v>
      </c>
      <c r="K56" s="17" t="n">
        <v>859</v>
      </c>
      <c r="L56" s="17" t="n">
        <v>881</v>
      </c>
      <c r="M56" s="112" t="n"/>
      <c r="N56" s="112" t="n"/>
      <c r="O56" s="112" t="n"/>
      <c r="P56" s="112" t="n"/>
      <c r="Q56" s="71">
        <f>SUM(E56:P56)</f>
        <v/>
      </c>
      <c r="S56" s="17" t="n">
        <v>691</v>
      </c>
      <c r="T56" s="17" t="n">
        <v>675</v>
      </c>
      <c r="U56" s="17" t="n">
        <v>747</v>
      </c>
      <c r="V56" s="17" t="n">
        <v>804</v>
      </c>
      <c r="W56" s="17" t="n">
        <v>844</v>
      </c>
      <c r="X56" s="17" t="n">
        <v>860</v>
      </c>
      <c r="Y56" s="17" t="n">
        <v>884</v>
      </c>
      <c r="Z56" s="17" t="n">
        <v>884</v>
      </c>
      <c r="AA56" s="17" t="n">
        <v>852</v>
      </c>
      <c r="AB56" s="17" t="n">
        <v>820</v>
      </c>
      <c r="AC56" s="17" t="n">
        <v>779</v>
      </c>
      <c r="AD56" s="17" t="n">
        <v>739</v>
      </c>
      <c r="AE56" s="71">
        <f>SUM(S56:AD56)</f>
        <v/>
      </c>
    </row>
    <row r="57">
      <c r="A57" s="9" t="inlineStr">
        <is>
          <t>6104</t>
        </is>
      </c>
      <c r="B57" s="115" t="inlineStr">
        <is>
          <t>6104.001</t>
        </is>
      </c>
      <c r="C57" s="115" t="inlineStr">
        <is>
          <t>Demurrage</t>
        </is>
      </c>
      <c r="D57" s="115" t="inlineStr">
        <is>
          <t>Posting</t>
        </is>
      </c>
      <c r="E57" s="17" t="n">
        <v>1543</v>
      </c>
      <c r="F57" s="17" t="n">
        <v>1335</v>
      </c>
      <c r="G57" s="17" t="n">
        <v>1408</v>
      </c>
      <c r="H57" s="17" t="n">
        <v>2150</v>
      </c>
      <c r="I57" s="17" t="n">
        <v>1430</v>
      </c>
      <c r="J57" s="17" t="n">
        <v>1684</v>
      </c>
      <c r="K57" s="17" t="n">
        <v>1833</v>
      </c>
      <c r="L57" s="17" t="n">
        <v>1715</v>
      </c>
      <c r="M57" s="112" t="n"/>
      <c r="N57" s="112" t="n"/>
      <c r="O57" s="112" t="n"/>
      <c r="P57" s="112" t="n"/>
      <c r="Q57" s="71">
        <f>SUM(E57:P57)</f>
        <v/>
      </c>
      <c r="S57" s="17" t="n">
        <v>900</v>
      </c>
      <c r="T57" s="17" t="n">
        <v>900</v>
      </c>
      <c r="U57" s="17" t="n">
        <v>900</v>
      </c>
      <c r="V57" s="17" t="n">
        <v>900</v>
      </c>
      <c r="W57" s="17" t="n">
        <v>900</v>
      </c>
      <c r="X57" s="17" t="n">
        <v>900</v>
      </c>
      <c r="Y57" s="17" t="n">
        <v>900</v>
      </c>
      <c r="Z57" s="17" t="n">
        <v>900</v>
      </c>
      <c r="AA57" s="17" t="n">
        <v>900</v>
      </c>
      <c r="AB57" s="17" t="n">
        <v>900</v>
      </c>
      <c r="AC57" s="17" t="n">
        <v>900</v>
      </c>
      <c r="AD57" s="17" t="n">
        <v>900</v>
      </c>
      <c r="AE57" s="71">
        <f>SUM(S57:AD57)</f>
        <v/>
      </c>
    </row>
    <row r="58">
      <c r="A58" s="9" t="inlineStr">
        <is>
          <t>6105</t>
        </is>
      </c>
      <c r="B58" s="115" t="inlineStr">
        <is>
          <t>6105.001</t>
        </is>
      </c>
      <c r="C58" s="115" t="inlineStr">
        <is>
          <t>Dokumen ekspor &amp; pungutan</t>
        </is>
      </c>
      <c r="D58" s="115" t="inlineStr">
        <is>
          <t>Posting</t>
        </is>
      </c>
      <c r="E58" s="17" t="n">
        <v>383</v>
      </c>
      <c r="F58" s="17" t="n">
        <v>440</v>
      </c>
      <c r="G58" s="17" t="n">
        <v>361</v>
      </c>
      <c r="H58" s="17" t="n">
        <v>436</v>
      </c>
      <c r="I58" s="17" t="n">
        <v>440</v>
      </c>
      <c r="J58" s="17" t="n">
        <v>401</v>
      </c>
      <c r="K58" s="17" t="n">
        <v>422</v>
      </c>
      <c r="L58" s="17" t="n">
        <v>437</v>
      </c>
      <c r="M58" s="112" t="n"/>
      <c r="N58" s="112" t="n"/>
      <c r="O58" s="112" t="n"/>
      <c r="P58" s="112" t="n"/>
      <c r="Q58" s="71">
        <f>SUM(E58:P58)</f>
        <v/>
      </c>
      <c r="S58" s="17" t="n">
        <v>400</v>
      </c>
      <c r="T58" s="17" t="n">
        <v>400</v>
      </c>
      <c r="U58" s="17" t="n">
        <v>400</v>
      </c>
      <c r="V58" s="17" t="n">
        <v>400</v>
      </c>
      <c r="W58" s="17" t="n">
        <v>400</v>
      </c>
      <c r="X58" s="17" t="n">
        <v>400</v>
      </c>
      <c r="Y58" s="17" t="n">
        <v>400</v>
      </c>
      <c r="Z58" s="17" t="n">
        <v>400</v>
      </c>
      <c r="AA58" s="17" t="n">
        <v>400</v>
      </c>
      <c r="AB58" s="17" t="n">
        <v>400</v>
      </c>
      <c r="AC58" s="17" t="n">
        <v>400</v>
      </c>
      <c r="AD58" s="17" t="n">
        <v>400</v>
      </c>
      <c r="AE58" s="71">
        <f>SUM(S58:AD58)</f>
        <v/>
      </c>
    </row>
    <row r="59">
      <c r="A59" s="9" t="inlineStr">
        <is>
          <t>6106</t>
        </is>
      </c>
      <c r="B59" s="115" t="inlineStr">
        <is>
          <t>6106.001</t>
        </is>
      </c>
      <c r="C59" s="115" t="inlineStr">
        <is>
          <t>Pemasaran &amp; promosi</t>
        </is>
      </c>
      <c r="D59" s="115" t="inlineStr">
        <is>
          <t>Posting</t>
        </is>
      </c>
      <c r="E59" s="17" t="n">
        <v>150</v>
      </c>
      <c r="F59" s="17" t="n">
        <v>150</v>
      </c>
      <c r="G59" s="17" t="n">
        <v>150</v>
      </c>
      <c r="H59" s="17" t="n">
        <v>150</v>
      </c>
      <c r="I59" s="17" t="n">
        <v>150</v>
      </c>
      <c r="J59" s="17" t="n">
        <v>150</v>
      </c>
      <c r="K59" s="17" t="n">
        <v>150</v>
      </c>
      <c r="L59" s="17" t="n">
        <v>150</v>
      </c>
      <c r="M59" s="112" t="n"/>
      <c r="N59" s="112" t="n"/>
      <c r="O59" s="112" t="n"/>
      <c r="P59" s="112" t="n"/>
      <c r="Q59" s="71">
        <f>SUM(E59:P59)</f>
        <v/>
      </c>
      <c r="S59" s="17" t="n">
        <v>150</v>
      </c>
      <c r="T59" s="17" t="n">
        <v>150</v>
      </c>
      <c r="U59" s="17" t="n">
        <v>150</v>
      </c>
      <c r="V59" s="17" t="n">
        <v>150</v>
      </c>
      <c r="W59" s="17" t="n">
        <v>150</v>
      </c>
      <c r="X59" s="17" t="n">
        <v>150</v>
      </c>
      <c r="Y59" s="17" t="n">
        <v>150</v>
      </c>
      <c r="Z59" s="17" t="n">
        <v>150</v>
      </c>
      <c r="AA59" s="17" t="n">
        <v>150</v>
      </c>
      <c r="AB59" s="17" t="n">
        <v>150</v>
      </c>
      <c r="AC59" s="17" t="n">
        <v>150</v>
      </c>
      <c r="AD59" s="17" t="n">
        <v>150</v>
      </c>
      <c r="AE59" s="71">
        <f>SUM(S59:AD59)</f>
        <v/>
      </c>
    </row>
    <row r="60">
      <c r="A60" s="9" t="inlineStr">
        <is>
          <t>6201</t>
        </is>
      </c>
      <c r="B60" s="115" t="inlineStr">
        <is>
          <t>6201.001</t>
        </is>
      </c>
      <c r="C60" s="115" t="inlineStr">
        <is>
          <t>Gaji pokok kantor pusat</t>
        </is>
      </c>
      <c r="D60" s="115" t="inlineStr">
        <is>
          <t>Posting</t>
        </is>
      </c>
      <c r="E60" s="17" t="n">
        <v>2250</v>
      </c>
      <c r="F60" s="17" t="n">
        <v>2495</v>
      </c>
      <c r="G60" s="17" t="n">
        <v>2165</v>
      </c>
      <c r="H60" s="17" t="n">
        <v>2181</v>
      </c>
      <c r="I60" s="17" t="n">
        <v>2655</v>
      </c>
      <c r="J60" s="17" t="n">
        <v>2332</v>
      </c>
      <c r="K60" s="17" t="n">
        <v>2716</v>
      </c>
      <c r="L60" s="17" t="n">
        <v>2475</v>
      </c>
      <c r="M60" s="112" t="n"/>
      <c r="N60" s="112" t="n"/>
      <c r="O60" s="112" t="n"/>
      <c r="P60" s="112" t="n"/>
      <c r="Q60" s="71">
        <f>SUM(E60:P60)</f>
        <v/>
      </c>
      <c r="S60" s="17" t="n">
        <v>2406</v>
      </c>
      <c r="T60" s="17" t="n">
        <v>2406</v>
      </c>
      <c r="U60" s="17" t="n">
        <v>2406</v>
      </c>
      <c r="V60" s="17" t="n">
        <v>2406</v>
      </c>
      <c r="W60" s="17" t="n">
        <v>2406</v>
      </c>
      <c r="X60" s="17" t="n">
        <v>2406</v>
      </c>
      <c r="Y60" s="17" t="n">
        <v>2406</v>
      </c>
      <c r="Z60" s="17" t="n">
        <v>2406</v>
      </c>
      <c r="AA60" s="17" t="n">
        <v>2406</v>
      </c>
      <c r="AB60" s="17" t="n">
        <v>2406</v>
      </c>
      <c r="AC60" s="17" t="n">
        <v>2406</v>
      </c>
      <c r="AD60" s="17" t="n">
        <v>2406</v>
      </c>
      <c r="AE60" s="71">
        <f>SUM(S60:AD60)</f>
        <v/>
      </c>
    </row>
    <row r="61">
      <c r="A61" s="9" t="inlineStr">
        <is>
          <t>6201</t>
        </is>
      </c>
      <c r="B61" s="115" t="inlineStr">
        <is>
          <t>6201.002</t>
        </is>
      </c>
      <c r="C61" s="115" t="inlineStr">
        <is>
          <t>Tunjangan &amp; bonus kantor pusat</t>
        </is>
      </c>
      <c r="D61" s="115" t="inlineStr">
        <is>
          <t>Posting</t>
        </is>
      </c>
      <c r="E61" s="17" t="n">
        <v>2239</v>
      </c>
      <c r="F61" s="17" t="n">
        <v>2483</v>
      </c>
      <c r="G61" s="17" t="n">
        <v>2155</v>
      </c>
      <c r="H61" s="17" t="n">
        <v>2170</v>
      </c>
      <c r="I61" s="17" t="n">
        <v>2643</v>
      </c>
      <c r="J61" s="17" t="n">
        <v>2320</v>
      </c>
      <c r="K61" s="17" t="n">
        <v>2703</v>
      </c>
      <c r="L61" s="17" t="n">
        <v>2462</v>
      </c>
      <c r="M61" s="112" t="n"/>
      <c r="N61" s="112" t="n"/>
      <c r="O61" s="112" t="n"/>
      <c r="P61" s="112" t="n"/>
      <c r="Q61" s="71">
        <f>SUM(E61:P61)</f>
        <v/>
      </c>
      <c r="S61" s="17" t="n">
        <v>2394</v>
      </c>
      <c r="T61" s="17" t="n">
        <v>2394</v>
      </c>
      <c r="U61" s="17" t="n">
        <v>2394</v>
      </c>
      <c r="V61" s="17" t="n">
        <v>2394</v>
      </c>
      <c r="W61" s="17" t="n">
        <v>2394</v>
      </c>
      <c r="X61" s="17" t="n">
        <v>2394</v>
      </c>
      <c r="Y61" s="17" t="n">
        <v>2394</v>
      </c>
      <c r="Z61" s="17" t="n">
        <v>2394</v>
      </c>
      <c r="AA61" s="17" t="n">
        <v>2394</v>
      </c>
      <c r="AB61" s="17" t="n">
        <v>2394</v>
      </c>
      <c r="AC61" s="17" t="n">
        <v>2394</v>
      </c>
      <c r="AD61" s="17" t="n">
        <v>2394</v>
      </c>
      <c r="AE61" s="71">
        <f>SUM(S61:AD61)</f>
        <v/>
      </c>
    </row>
    <row r="62">
      <c r="A62" s="9" t="inlineStr">
        <is>
          <t>6202</t>
        </is>
      </c>
      <c r="B62" s="115" t="inlineStr">
        <is>
          <t>6202.001</t>
        </is>
      </c>
      <c r="C62" s="115" t="inlineStr">
        <is>
          <t>Jasa profesional</t>
        </is>
      </c>
      <c r="D62" s="115" t="inlineStr">
        <is>
          <t>Posting</t>
        </is>
      </c>
      <c r="E62" s="17" t="n">
        <v>1273</v>
      </c>
      <c r="F62" s="17" t="n">
        <v>1274</v>
      </c>
      <c r="G62" s="17" t="n">
        <v>1254</v>
      </c>
      <c r="H62" s="17" t="n">
        <v>1223</v>
      </c>
      <c r="I62" s="17" t="n">
        <v>1166</v>
      </c>
      <c r="J62" s="17" t="n">
        <v>1331</v>
      </c>
      <c r="K62" s="17" t="n">
        <v>1169</v>
      </c>
      <c r="L62" s="17" t="n">
        <v>1160</v>
      </c>
      <c r="M62" s="112" t="n"/>
      <c r="N62" s="112" t="n"/>
      <c r="O62" s="112" t="n"/>
      <c r="P62" s="112" t="n"/>
      <c r="Q62" s="71">
        <f>SUM(E62:P62)</f>
        <v/>
      </c>
      <c r="S62" s="17" t="n">
        <v>1200</v>
      </c>
      <c r="T62" s="17" t="n">
        <v>1200</v>
      </c>
      <c r="U62" s="17" t="n">
        <v>1200</v>
      </c>
      <c r="V62" s="17" t="n">
        <v>1200</v>
      </c>
      <c r="W62" s="17" t="n">
        <v>1200</v>
      </c>
      <c r="X62" s="17" t="n">
        <v>1200</v>
      </c>
      <c r="Y62" s="17" t="n">
        <v>1200</v>
      </c>
      <c r="Z62" s="17" t="n">
        <v>1200</v>
      </c>
      <c r="AA62" s="17" t="n">
        <v>1200</v>
      </c>
      <c r="AB62" s="17" t="n">
        <v>1200</v>
      </c>
      <c r="AC62" s="17" t="n">
        <v>1200</v>
      </c>
      <c r="AD62" s="17" t="n">
        <v>1200</v>
      </c>
      <c r="AE62" s="71">
        <f>SUM(S62:AD62)</f>
        <v/>
      </c>
    </row>
    <row r="63">
      <c r="A63" s="9" t="inlineStr">
        <is>
          <t>6203</t>
        </is>
      </c>
      <c r="B63" s="115" t="inlineStr">
        <is>
          <t>6203.001</t>
        </is>
      </c>
      <c r="C63" s="115" t="inlineStr">
        <is>
          <t>Sewa kantor</t>
        </is>
      </c>
      <c r="D63" s="115" t="inlineStr">
        <is>
          <t>Posting</t>
        </is>
      </c>
      <c r="E63" s="17" t="n">
        <v>550</v>
      </c>
      <c r="F63" s="17" t="n">
        <v>550</v>
      </c>
      <c r="G63" s="17" t="n">
        <v>550</v>
      </c>
      <c r="H63" s="17" t="n">
        <v>550</v>
      </c>
      <c r="I63" s="17" t="n">
        <v>550</v>
      </c>
      <c r="J63" s="17" t="n">
        <v>550</v>
      </c>
      <c r="K63" s="17" t="n">
        <v>550</v>
      </c>
      <c r="L63" s="17" t="n">
        <v>550</v>
      </c>
      <c r="M63" s="112" t="n"/>
      <c r="N63" s="112" t="n"/>
      <c r="O63" s="112" t="n"/>
      <c r="P63" s="112" t="n"/>
      <c r="Q63" s="71">
        <f>SUM(E63:P63)</f>
        <v/>
      </c>
      <c r="S63" s="17" t="n">
        <v>550</v>
      </c>
      <c r="T63" s="17" t="n">
        <v>550</v>
      </c>
      <c r="U63" s="17" t="n">
        <v>550</v>
      </c>
      <c r="V63" s="17" t="n">
        <v>550</v>
      </c>
      <c r="W63" s="17" t="n">
        <v>550</v>
      </c>
      <c r="X63" s="17" t="n">
        <v>550</v>
      </c>
      <c r="Y63" s="17" t="n">
        <v>550</v>
      </c>
      <c r="Z63" s="17" t="n">
        <v>550</v>
      </c>
      <c r="AA63" s="17" t="n">
        <v>550</v>
      </c>
      <c r="AB63" s="17" t="n">
        <v>550</v>
      </c>
      <c r="AC63" s="17" t="n">
        <v>550</v>
      </c>
      <c r="AD63" s="17" t="n">
        <v>550</v>
      </c>
      <c r="AE63" s="71">
        <f>SUM(S63:AD63)</f>
        <v/>
      </c>
    </row>
    <row r="64">
      <c r="A64" s="9" t="inlineStr">
        <is>
          <t>6204</t>
        </is>
      </c>
      <c r="B64" s="115" t="inlineStr">
        <is>
          <t>6204.001</t>
        </is>
      </c>
      <c r="C64" s="115" t="inlineStr">
        <is>
          <t>Perjalanan dinas</t>
        </is>
      </c>
      <c r="D64" s="115" t="inlineStr">
        <is>
          <t>Posting</t>
        </is>
      </c>
      <c r="E64" s="17" t="n">
        <v>486</v>
      </c>
      <c r="F64" s="17" t="n">
        <v>484</v>
      </c>
      <c r="G64" s="17" t="n">
        <v>510</v>
      </c>
      <c r="H64" s="17" t="n">
        <v>482</v>
      </c>
      <c r="I64" s="17" t="n">
        <v>425</v>
      </c>
      <c r="J64" s="17" t="n">
        <v>438</v>
      </c>
      <c r="K64" s="17" t="n">
        <v>452</v>
      </c>
      <c r="L64" s="17" t="n">
        <v>476</v>
      </c>
      <c r="M64" s="112" t="n"/>
      <c r="N64" s="112" t="n"/>
      <c r="O64" s="112" t="n"/>
      <c r="P64" s="112" t="n"/>
      <c r="Q64" s="71">
        <f>SUM(E64:P64)</f>
        <v/>
      </c>
      <c r="S64" s="17" t="n">
        <v>450</v>
      </c>
      <c r="T64" s="17" t="n">
        <v>450</v>
      </c>
      <c r="U64" s="17" t="n">
        <v>450</v>
      </c>
      <c r="V64" s="17" t="n">
        <v>450</v>
      </c>
      <c r="W64" s="17" t="n">
        <v>450</v>
      </c>
      <c r="X64" s="17" t="n">
        <v>450</v>
      </c>
      <c r="Y64" s="17" t="n">
        <v>450</v>
      </c>
      <c r="Z64" s="17" t="n">
        <v>450</v>
      </c>
      <c r="AA64" s="17" t="n">
        <v>450</v>
      </c>
      <c r="AB64" s="17" t="n">
        <v>450</v>
      </c>
      <c r="AC64" s="17" t="n">
        <v>450</v>
      </c>
      <c r="AD64" s="17" t="n">
        <v>450</v>
      </c>
      <c r="AE64" s="71">
        <f>SUM(S64:AD64)</f>
        <v/>
      </c>
    </row>
    <row r="65">
      <c r="A65" s="9" t="inlineStr">
        <is>
          <t>6205</t>
        </is>
      </c>
      <c r="B65" s="115" t="inlineStr">
        <is>
          <t>6205.001</t>
        </is>
      </c>
      <c r="C65" s="115" t="inlineStr">
        <is>
          <t>Asuransi</t>
        </is>
      </c>
      <c r="D65" s="115" t="inlineStr">
        <is>
          <t>Posting</t>
        </is>
      </c>
      <c r="E65" s="17" t="n">
        <v>500</v>
      </c>
      <c r="F65" s="17" t="n">
        <v>500</v>
      </c>
      <c r="G65" s="17" t="n">
        <v>500</v>
      </c>
      <c r="H65" s="17" t="n">
        <v>500</v>
      </c>
      <c r="I65" s="17" t="n">
        <v>500</v>
      </c>
      <c r="J65" s="17" t="n">
        <v>500</v>
      </c>
      <c r="K65" s="17" t="n">
        <v>500</v>
      </c>
      <c r="L65" s="17" t="n">
        <v>500</v>
      </c>
      <c r="M65" s="112" t="n"/>
      <c r="N65" s="112" t="n"/>
      <c r="O65" s="112" t="n"/>
      <c r="P65" s="112" t="n"/>
      <c r="Q65" s="71">
        <f>SUM(E65:P65)</f>
        <v/>
      </c>
      <c r="S65" s="17" t="n">
        <v>500</v>
      </c>
      <c r="T65" s="17" t="n">
        <v>500</v>
      </c>
      <c r="U65" s="17" t="n">
        <v>500</v>
      </c>
      <c r="V65" s="17" t="n">
        <v>500</v>
      </c>
      <c r="W65" s="17" t="n">
        <v>500</v>
      </c>
      <c r="X65" s="17" t="n">
        <v>500</v>
      </c>
      <c r="Y65" s="17" t="n">
        <v>500</v>
      </c>
      <c r="Z65" s="17" t="n">
        <v>500</v>
      </c>
      <c r="AA65" s="17" t="n">
        <v>500</v>
      </c>
      <c r="AB65" s="17" t="n">
        <v>500</v>
      </c>
      <c r="AC65" s="17" t="n">
        <v>500</v>
      </c>
      <c r="AD65" s="17" t="n">
        <v>500</v>
      </c>
      <c r="AE65" s="71">
        <f>SUM(S65:AD65)</f>
        <v/>
      </c>
    </row>
    <row r="66">
      <c r="A66" s="9" t="inlineStr">
        <is>
          <t>6206</t>
        </is>
      </c>
      <c r="B66" s="115" t="inlineStr">
        <is>
          <t>6206.001</t>
        </is>
      </c>
      <c r="C66" s="115" t="inlineStr">
        <is>
          <t>Pajak, perizinan &amp; iuran</t>
        </is>
      </c>
      <c r="D66" s="115" t="inlineStr">
        <is>
          <t>Posting</t>
        </is>
      </c>
      <c r="E66" s="17" t="n">
        <v>342</v>
      </c>
      <c r="F66" s="17" t="n">
        <v>385</v>
      </c>
      <c r="G66" s="17" t="n">
        <v>322</v>
      </c>
      <c r="H66" s="17" t="n">
        <v>354</v>
      </c>
      <c r="I66" s="17" t="n">
        <v>360</v>
      </c>
      <c r="J66" s="17" t="n">
        <v>343</v>
      </c>
      <c r="K66" s="17" t="n">
        <v>366</v>
      </c>
      <c r="L66" s="17" t="n">
        <v>381</v>
      </c>
      <c r="M66" s="112" t="n"/>
      <c r="N66" s="112" t="n"/>
      <c r="O66" s="112" t="n"/>
      <c r="P66" s="112" t="n"/>
      <c r="Q66" s="71">
        <f>SUM(E66:P66)</f>
        <v/>
      </c>
      <c r="S66" s="17" t="n">
        <v>350</v>
      </c>
      <c r="T66" s="17" t="n">
        <v>350</v>
      </c>
      <c r="U66" s="17" t="n">
        <v>350</v>
      </c>
      <c r="V66" s="17" t="n">
        <v>350</v>
      </c>
      <c r="W66" s="17" t="n">
        <v>350</v>
      </c>
      <c r="X66" s="17" t="n">
        <v>350</v>
      </c>
      <c r="Y66" s="17" t="n">
        <v>350</v>
      </c>
      <c r="Z66" s="17" t="n">
        <v>350</v>
      </c>
      <c r="AA66" s="17" t="n">
        <v>350</v>
      </c>
      <c r="AB66" s="17" t="n">
        <v>350</v>
      </c>
      <c r="AC66" s="17" t="n">
        <v>350</v>
      </c>
      <c r="AD66" s="17" t="n">
        <v>350</v>
      </c>
      <c r="AE66" s="71">
        <f>SUM(S66:AD66)</f>
        <v/>
      </c>
    </row>
    <row r="67">
      <c r="A67" s="9" t="inlineStr">
        <is>
          <t>6207</t>
        </is>
      </c>
      <c r="B67" s="115" t="inlineStr">
        <is>
          <t>6207.001</t>
        </is>
      </c>
      <c r="C67" s="115" t="inlineStr">
        <is>
          <t>Teknologi informasi &amp; komunikasi</t>
        </is>
      </c>
      <c r="D67" s="115" t="inlineStr">
        <is>
          <t>Posting</t>
        </is>
      </c>
      <c r="E67" s="17" t="n">
        <v>445</v>
      </c>
      <c r="F67" s="17" t="n">
        <v>400</v>
      </c>
      <c r="G67" s="17" t="n">
        <v>439</v>
      </c>
      <c r="H67" s="17" t="n">
        <v>451</v>
      </c>
      <c r="I67" s="17" t="n">
        <v>404</v>
      </c>
      <c r="J67" s="17" t="n">
        <v>386</v>
      </c>
      <c r="K67" s="17" t="n">
        <v>362</v>
      </c>
      <c r="L67" s="17" t="n">
        <v>392</v>
      </c>
      <c r="M67" s="112" t="n"/>
      <c r="N67" s="112" t="n"/>
      <c r="O67" s="112" t="n"/>
      <c r="P67" s="112" t="n"/>
      <c r="Q67" s="71">
        <f>SUM(E67:P67)</f>
        <v/>
      </c>
      <c r="S67" s="17" t="n">
        <v>400</v>
      </c>
      <c r="T67" s="17" t="n">
        <v>400</v>
      </c>
      <c r="U67" s="17" t="n">
        <v>400</v>
      </c>
      <c r="V67" s="17" t="n">
        <v>400</v>
      </c>
      <c r="W67" s="17" t="n">
        <v>400</v>
      </c>
      <c r="X67" s="17" t="n">
        <v>400</v>
      </c>
      <c r="Y67" s="17" t="n">
        <v>400</v>
      </c>
      <c r="Z67" s="17" t="n">
        <v>400</v>
      </c>
      <c r="AA67" s="17" t="n">
        <v>400</v>
      </c>
      <c r="AB67" s="17" t="n">
        <v>400</v>
      </c>
      <c r="AC67" s="17" t="n">
        <v>400</v>
      </c>
      <c r="AD67" s="17" t="n">
        <v>400</v>
      </c>
      <c r="AE67" s="71">
        <f>SUM(S67:AD67)</f>
        <v/>
      </c>
    </row>
    <row r="68">
      <c r="A68" s="9" t="inlineStr">
        <is>
          <t>6208</t>
        </is>
      </c>
      <c r="B68" s="115" t="inlineStr">
        <is>
          <t>6208.001</t>
        </is>
      </c>
      <c r="C68" s="115" t="inlineStr">
        <is>
          <t>Penyusutan aset kantor</t>
        </is>
      </c>
      <c r="D68" s="115" t="inlineStr">
        <is>
          <t>Posting</t>
        </is>
      </c>
      <c r="E68" s="17" t="n">
        <v>300</v>
      </c>
      <c r="F68" s="17" t="n">
        <v>300</v>
      </c>
      <c r="G68" s="17" t="n">
        <v>300</v>
      </c>
      <c r="H68" s="17" t="n">
        <v>300</v>
      </c>
      <c r="I68" s="17" t="n">
        <v>300</v>
      </c>
      <c r="J68" s="17" t="n">
        <v>300</v>
      </c>
      <c r="K68" s="17" t="n">
        <v>300</v>
      </c>
      <c r="L68" s="17" t="n">
        <v>300</v>
      </c>
      <c r="M68" s="112" t="n"/>
      <c r="N68" s="112" t="n"/>
      <c r="O68" s="112" t="n"/>
      <c r="P68" s="112" t="n"/>
      <c r="Q68" s="71">
        <f>SUM(E68:P68)</f>
        <v/>
      </c>
      <c r="S68" s="17" t="n">
        <v>300</v>
      </c>
      <c r="T68" s="17" t="n">
        <v>300</v>
      </c>
      <c r="U68" s="17" t="n">
        <v>300</v>
      </c>
      <c r="V68" s="17" t="n">
        <v>300</v>
      </c>
      <c r="W68" s="17" t="n">
        <v>300</v>
      </c>
      <c r="X68" s="17" t="n">
        <v>300</v>
      </c>
      <c r="Y68" s="17" t="n">
        <v>300</v>
      </c>
      <c r="Z68" s="17" t="n">
        <v>300</v>
      </c>
      <c r="AA68" s="17" t="n">
        <v>300</v>
      </c>
      <c r="AB68" s="17" t="n">
        <v>300</v>
      </c>
      <c r="AC68" s="17" t="n">
        <v>300</v>
      </c>
      <c r="AD68" s="17" t="n">
        <v>300</v>
      </c>
      <c r="AE68" s="71">
        <f>SUM(S68:AD68)</f>
        <v/>
      </c>
    </row>
    <row r="69">
      <c r="A69" s="9" t="inlineStr">
        <is>
          <t>6209</t>
        </is>
      </c>
      <c r="B69" s="115" t="inlineStr">
        <is>
          <t>6209.001</t>
        </is>
      </c>
      <c r="C69" s="115" t="inlineStr">
        <is>
          <t>Alat tulis &amp; cetakan</t>
        </is>
      </c>
      <c r="D69" s="115" t="inlineStr">
        <is>
          <t>Posting</t>
        </is>
      </c>
      <c r="E69" s="17" t="n">
        <v>219</v>
      </c>
      <c r="F69" s="17" t="n">
        <v>209</v>
      </c>
      <c r="G69" s="17" t="n">
        <v>212</v>
      </c>
      <c r="H69" s="17" t="n">
        <v>226</v>
      </c>
      <c r="I69" s="17" t="n">
        <v>227</v>
      </c>
      <c r="J69" s="17" t="n">
        <v>202</v>
      </c>
      <c r="K69" s="17" t="n">
        <v>251</v>
      </c>
      <c r="L69" s="17" t="n">
        <v>234</v>
      </c>
      <c r="M69" s="112" t="n"/>
      <c r="N69" s="112" t="n"/>
      <c r="O69" s="112" t="n"/>
      <c r="P69" s="112" t="n"/>
      <c r="Q69" s="71">
        <f>SUM(E69:P69)</f>
        <v/>
      </c>
      <c r="S69" s="17" t="n">
        <v>220</v>
      </c>
      <c r="T69" s="17" t="n">
        <v>220</v>
      </c>
      <c r="U69" s="17" t="n">
        <v>220</v>
      </c>
      <c r="V69" s="17" t="n">
        <v>220</v>
      </c>
      <c r="W69" s="17" t="n">
        <v>220</v>
      </c>
      <c r="X69" s="17" t="n">
        <v>220</v>
      </c>
      <c r="Y69" s="17" t="n">
        <v>220</v>
      </c>
      <c r="Z69" s="17" t="n">
        <v>220</v>
      </c>
      <c r="AA69" s="17" t="n">
        <v>220</v>
      </c>
      <c r="AB69" s="17" t="n">
        <v>220</v>
      </c>
      <c r="AC69" s="17" t="n">
        <v>220</v>
      </c>
      <c r="AD69" s="17" t="n">
        <v>220</v>
      </c>
      <c r="AE69" s="71">
        <f>SUM(S69:AD69)</f>
        <v/>
      </c>
    </row>
    <row r="70">
      <c r="A70" s="9" t="inlineStr">
        <is>
          <t>6209</t>
        </is>
      </c>
      <c r="B70" s="115" t="inlineStr">
        <is>
          <t>6209.002</t>
        </is>
      </c>
      <c r="C70" s="115" t="inlineStr">
        <is>
          <t>Beban umum lain-lain</t>
        </is>
      </c>
      <c r="D70" s="115" t="inlineStr">
        <is>
          <t>Posting</t>
        </is>
      </c>
      <c r="E70" s="17" t="n">
        <v>277</v>
      </c>
      <c r="F70" s="17" t="n">
        <v>266</v>
      </c>
      <c r="G70" s="17" t="n">
        <v>269</v>
      </c>
      <c r="H70" s="17" t="n">
        <v>286</v>
      </c>
      <c r="I70" s="17" t="n">
        <v>289</v>
      </c>
      <c r="J70" s="17" t="n">
        <v>256</v>
      </c>
      <c r="K70" s="17" t="n">
        <v>319</v>
      </c>
      <c r="L70" s="17" t="n">
        <v>298</v>
      </c>
      <c r="M70" s="112" t="n"/>
      <c r="N70" s="112" t="n"/>
      <c r="O70" s="112" t="n"/>
      <c r="P70" s="112" t="n"/>
      <c r="Q70" s="71">
        <f>SUM(E70:P70)</f>
        <v/>
      </c>
      <c r="S70" s="17" t="n">
        <v>280</v>
      </c>
      <c r="T70" s="17" t="n">
        <v>280</v>
      </c>
      <c r="U70" s="17" t="n">
        <v>280</v>
      </c>
      <c r="V70" s="17" t="n">
        <v>280</v>
      </c>
      <c r="W70" s="17" t="n">
        <v>280</v>
      </c>
      <c r="X70" s="17" t="n">
        <v>280</v>
      </c>
      <c r="Y70" s="17" t="n">
        <v>280</v>
      </c>
      <c r="Z70" s="17" t="n">
        <v>280</v>
      </c>
      <c r="AA70" s="17" t="n">
        <v>280</v>
      </c>
      <c r="AB70" s="17" t="n">
        <v>280</v>
      </c>
      <c r="AC70" s="17" t="n">
        <v>280</v>
      </c>
      <c r="AD70" s="17" t="n">
        <v>280</v>
      </c>
      <c r="AE70" s="71">
        <f>SUM(S70:AD70)</f>
        <v/>
      </c>
    </row>
    <row r="71">
      <c r="A71" s="5" t="n"/>
      <c r="B71" s="5" t="n"/>
      <c r="C71" s="4" t="inlineStr">
        <is>
          <t>PENDAPATAN (BEBAN) LAIN-LAIN</t>
        </is>
      </c>
      <c r="D71" s="114" t="inlineStr">
        <is>
          <t>Header</t>
        </is>
      </c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</row>
    <row r="72">
      <c r="A72" s="9" t="inlineStr">
        <is>
          <t>7101</t>
        </is>
      </c>
      <c r="B72" s="115" t="inlineStr">
        <is>
          <t>7101.001</t>
        </is>
      </c>
      <c r="C72" s="115" t="inlineStr">
        <is>
          <t>Pendapatan bunga</t>
        </is>
      </c>
      <c r="D72" s="115" t="inlineStr">
        <is>
          <t>Posting</t>
        </is>
      </c>
      <c r="E72" s="17" t="n">
        <v>150</v>
      </c>
      <c r="F72" s="17" t="n">
        <v>150</v>
      </c>
      <c r="G72" s="17" t="n">
        <v>150</v>
      </c>
      <c r="H72" s="17" t="n">
        <v>150</v>
      </c>
      <c r="I72" s="17" t="n">
        <v>150</v>
      </c>
      <c r="J72" s="17" t="n">
        <v>150</v>
      </c>
      <c r="K72" s="17" t="n">
        <v>150</v>
      </c>
      <c r="L72" s="17" t="n">
        <v>150</v>
      </c>
      <c r="M72" s="112" t="n"/>
      <c r="N72" s="112" t="n"/>
      <c r="O72" s="112" t="n"/>
      <c r="P72" s="112" t="n"/>
      <c r="Q72" s="71">
        <f>SUM(E72:P72)</f>
        <v/>
      </c>
      <c r="S72" s="17" t="n">
        <v>150</v>
      </c>
      <c r="T72" s="17" t="n">
        <v>150</v>
      </c>
      <c r="U72" s="17" t="n">
        <v>150</v>
      </c>
      <c r="V72" s="17" t="n">
        <v>150</v>
      </c>
      <c r="W72" s="17" t="n">
        <v>150</v>
      </c>
      <c r="X72" s="17" t="n">
        <v>150</v>
      </c>
      <c r="Y72" s="17" t="n">
        <v>150</v>
      </c>
      <c r="Z72" s="17" t="n">
        <v>150</v>
      </c>
      <c r="AA72" s="17" t="n">
        <v>150</v>
      </c>
      <c r="AB72" s="17" t="n">
        <v>150</v>
      </c>
      <c r="AC72" s="17" t="n">
        <v>150</v>
      </c>
      <c r="AD72" s="17" t="n">
        <v>150</v>
      </c>
      <c r="AE72" s="71">
        <f>SUM(S72:AD72)</f>
        <v/>
      </c>
    </row>
    <row r="73">
      <c r="A73" s="9" t="inlineStr">
        <is>
          <t>7201</t>
        </is>
      </c>
      <c r="B73" s="115" t="inlineStr">
        <is>
          <t>7201.001</t>
        </is>
      </c>
      <c r="C73" s="115" t="inlineStr">
        <is>
          <t>Beban keuangan</t>
        </is>
      </c>
      <c r="D73" s="115" t="inlineStr">
        <is>
          <t>Posting</t>
        </is>
      </c>
      <c r="E73" s="17" t="n">
        <v>-2300</v>
      </c>
      <c r="F73" s="17" t="n">
        <v>-2280</v>
      </c>
      <c r="G73" s="17" t="n">
        <v>-2260</v>
      </c>
      <c r="H73" s="17" t="n">
        <v>-2240</v>
      </c>
      <c r="I73" s="17" t="n">
        <v>-2220</v>
      </c>
      <c r="J73" s="17" t="n">
        <v>-2200</v>
      </c>
      <c r="K73" s="17" t="n">
        <v>-2180</v>
      </c>
      <c r="L73" s="17" t="n">
        <v>-2160</v>
      </c>
      <c r="M73" s="112" t="n"/>
      <c r="N73" s="112" t="n"/>
      <c r="O73" s="112" t="n"/>
      <c r="P73" s="112" t="n"/>
      <c r="Q73" s="71">
        <f>SUM(E73:P73)</f>
        <v/>
      </c>
      <c r="S73" s="17" t="n">
        <v>-2300</v>
      </c>
      <c r="T73" s="17" t="n">
        <v>-2280</v>
      </c>
      <c r="U73" s="17" t="n">
        <v>-2260</v>
      </c>
      <c r="V73" s="17" t="n">
        <v>-2240</v>
      </c>
      <c r="W73" s="17" t="n">
        <v>-2220</v>
      </c>
      <c r="X73" s="17" t="n">
        <v>-2200</v>
      </c>
      <c r="Y73" s="17" t="n">
        <v>-2180</v>
      </c>
      <c r="Z73" s="17" t="n">
        <v>-2160</v>
      </c>
      <c r="AA73" s="17" t="n">
        <v>-2140</v>
      </c>
      <c r="AB73" s="17" t="n">
        <v>-2120</v>
      </c>
      <c r="AC73" s="17" t="n">
        <v>-2100</v>
      </c>
      <c r="AD73" s="17" t="n">
        <v>-2080</v>
      </c>
      <c r="AE73" s="71">
        <f>SUM(S73:AD73)</f>
        <v/>
      </c>
    </row>
    <row r="74">
      <c r="A74" s="9" t="inlineStr">
        <is>
          <t>7301</t>
        </is>
      </c>
      <c r="B74" s="115" t="inlineStr">
        <is>
          <t>7301.001</t>
        </is>
      </c>
      <c r="C74" s="115" t="inlineStr">
        <is>
          <t>Laba (rugi) selisih kurs</t>
        </is>
      </c>
      <c r="D74" s="115" t="inlineStr">
        <is>
          <t>Posting</t>
        </is>
      </c>
      <c r="E74" s="17" t="n">
        <v>-154</v>
      </c>
      <c r="F74" s="17" t="n">
        <v>365</v>
      </c>
      <c r="G74" s="17" t="n">
        <v>70</v>
      </c>
      <c r="H74" s="17" t="n">
        <v>-147</v>
      </c>
      <c r="I74" s="17" t="n">
        <v>-65</v>
      </c>
      <c r="J74" s="17" t="n">
        <v>-224</v>
      </c>
      <c r="K74" s="17" t="n">
        <v>-524</v>
      </c>
      <c r="L74" s="17" t="n">
        <v>-784</v>
      </c>
      <c r="M74" s="112" t="n"/>
      <c r="N74" s="112" t="n"/>
      <c r="O74" s="112" t="n"/>
      <c r="P74" s="112" t="n"/>
      <c r="Q74" s="71">
        <f>SUM(E74:P74)</f>
        <v/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71">
        <f>SUM(S74:AD74)</f>
        <v/>
      </c>
    </row>
    <row r="75">
      <c r="A75" s="9" t="inlineStr">
        <is>
          <t>7401</t>
        </is>
      </c>
      <c r="B75" s="115" t="inlineStr">
        <is>
          <t>7401.001</t>
        </is>
      </c>
      <c r="C75" s="115" t="inlineStr">
        <is>
          <t>Lain-lain – neto</t>
        </is>
      </c>
      <c r="D75" s="115" t="inlineStr">
        <is>
          <t>Posting</t>
        </is>
      </c>
      <c r="E75" s="17" t="n">
        <v>-164</v>
      </c>
      <c r="F75" s="17" t="n">
        <v>-196</v>
      </c>
      <c r="G75" s="17" t="n">
        <v>101</v>
      </c>
      <c r="H75" s="17" t="n">
        <v>47</v>
      </c>
      <c r="I75" s="17" t="n">
        <v>-90</v>
      </c>
      <c r="J75" s="17" t="n">
        <v>159</v>
      </c>
      <c r="K75" s="17" t="n">
        <v>-178</v>
      </c>
      <c r="L75" s="17" t="n">
        <v>191</v>
      </c>
      <c r="M75" s="112" t="n"/>
      <c r="N75" s="112" t="n"/>
      <c r="O75" s="112" t="n"/>
      <c r="P75" s="112" t="n"/>
      <c r="Q75" s="71">
        <f>SUM(E75:P75)</f>
        <v/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71">
        <f>SUM(S75:AD75)</f>
        <v/>
      </c>
    </row>
    <row r="76">
      <c r="A76" s="9" t="inlineStr">
        <is>
          <t>8101</t>
        </is>
      </c>
      <c r="B76" s="115" t="inlineStr">
        <is>
          <t>8101.001</t>
        </is>
      </c>
      <c r="C76" s="115" t="inlineStr">
        <is>
          <t>Beban pajak penghasilan</t>
        </is>
      </c>
      <c r="D76" s="115" t="inlineStr">
        <is>
          <t>Posting</t>
        </is>
      </c>
      <c r="E76" s="17" t="n">
        <v>2627</v>
      </c>
      <c r="F76" s="17" t="n">
        <v>2086</v>
      </c>
      <c r="G76" s="17" t="n">
        <v>1178</v>
      </c>
      <c r="H76" s="17" t="n">
        <v>2709</v>
      </c>
      <c r="I76" s="17" t="n">
        <v>3814</v>
      </c>
      <c r="J76" s="17" t="n">
        <v>3166</v>
      </c>
      <c r="K76" s="17" t="n">
        <v>5185</v>
      </c>
      <c r="L76" s="17" t="n">
        <v>6308</v>
      </c>
      <c r="M76" s="112" t="n"/>
      <c r="N76" s="112" t="n"/>
      <c r="O76" s="112" t="n"/>
      <c r="P76" s="112" t="n"/>
      <c r="Q76" s="71">
        <f>SUM(E76:P76)</f>
        <v/>
      </c>
      <c r="S76" s="17" t="n">
        <v>4219</v>
      </c>
      <c r="T76" s="17" t="n">
        <v>4145</v>
      </c>
      <c r="U76" s="17" t="n">
        <v>4875</v>
      </c>
      <c r="V76" s="17" t="n">
        <v>6109</v>
      </c>
      <c r="W76" s="17" t="n">
        <v>7058</v>
      </c>
      <c r="X76" s="17" t="n">
        <v>7537</v>
      </c>
      <c r="Y76" s="17" t="n">
        <v>7996</v>
      </c>
      <c r="Z76" s="17" t="n">
        <v>8158</v>
      </c>
      <c r="AA76" s="17" t="n">
        <v>7739</v>
      </c>
      <c r="AB76" s="17" t="n">
        <v>7146</v>
      </c>
      <c r="AC76" s="17" t="n">
        <v>6399</v>
      </c>
      <c r="AD76" s="17" t="n">
        <v>5614</v>
      </c>
      <c r="AE76" s="71">
        <f>SUM(S76:AD76)</f>
        <v/>
      </c>
    </row>
    <row r="77">
      <c r="A77" s="5" t="n"/>
      <c r="B77" s="5" t="n"/>
      <c r="C77" s="4" t="inlineStr">
        <is>
          <t>MEMO</t>
        </is>
      </c>
      <c r="D77" s="114" t="inlineStr">
        <is>
          <t>Header</t>
        </is>
      </c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</row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>
      <c r="A403" s="4" t="inlineStr">
        <is>
          <t>KONTROL MAPPING GL → MIS</t>
        </is>
      </c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</row>
    <row r="404">
      <c r="C404" s="10" t="inlineStr">
        <is>
          <t>Total akun Posting (semua)</t>
        </is>
      </c>
      <c r="E404" s="19">
        <f>SUMIFS(E$10:E$400,$D$10:$D$400,"Posting")</f>
        <v/>
      </c>
      <c r="F404" s="19">
        <f>SUMIFS(F$10:F$400,$D$10:$D$400,"Posting")</f>
        <v/>
      </c>
      <c r="G404" s="19">
        <f>SUMIFS(G$10:G$400,$D$10:$D$400,"Posting")</f>
        <v/>
      </c>
      <c r="H404" s="19">
        <f>SUMIFS(H$10:H$400,$D$10:$D$400,"Posting")</f>
        <v/>
      </c>
      <c r="I404" s="19">
        <f>SUMIFS(I$10:I$400,$D$10:$D$400,"Posting")</f>
        <v/>
      </c>
      <c r="J404" s="19">
        <f>SUMIFS(J$10:J$400,$D$10:$D$400,"Posting")</f>
        <v/>
      </c>
      <c r="K404" s="19">
        <f>SUMIFS(K$10:K$400,$D$10:$D$400,"Posting")</f>
        <v/>
      </c>
      <c r="L404" s="19">
        <f>SUMIFS(L$10:L$400,$D$10:$D$400,"Posting")</f>
        <v/>
      </c>
      <c r="M404" s="19">
        <f>SUMIFS(M$10:M$400,$D$10:$D$400,"Posting")</f>
        <v/>
      </c>
      <c r="N404" s="19">
        <f>SUMIFS(N$10:N$400,$D$10:$D$400,"Posting")</f>
        <v/>
      </c>
      <c r="O404" s="19">
        <f>SUMIFS(O$10:O$400,$D$10:$D$400,"Posting")</f>
        <v/>
      </c>
      <c r="P404" s="19">
        <f>SUMIFS(P$10:P$400,$D$10:$D$400,"Posting")</f>
        <v/>
      </c>
      <c r="Q404" s="19">
        <f>SUMIFS(Q$10:Q$400,$D$10:$D$400,"Posting")</f>
        <v/>
      </c>
      <c r="S404" s="19">
        <f>SUMIFS(S$10:S$400,$D$10:$D$400,"Posting")</f>
        <v/>
      </c>
      <c r="T404" s="19">
        <f>SUMIFS(T$10:T$400,$D$10:$D$400,"Posting")</f>
        <v/>
      </c>
      <c r="U404" s="19">
        <f>SUMIFS(U$10:U$400,$D$10:$D$400,"Posting")</f>
        <v/>
      </c>
      <c r="V404" s="19">
        <f>SUMIFS(V$10:V$400,$D$10:$D$400,"Posting")</f>
        <v/>
      </c>
      <c r="W404" s="19">
        <f>SUMIFS(W$10:W$400,$D$10:$D$400,"Posting")</f>
        <v/>
      </c>
      <c r="X404" s="19">
        <f>SUMIFS(X$10:X$400,$D$10:$D$400,"Posting")</f>
        <v/>
      </c>
      <c r="Y404" s="19">
        <f>SUMIFS(Y$10:Y$400,$D$10:$D$400,"Posting")</f>
        <v/>
      </c>
      <c r="Z404" s="19">
        <f>SUMIFS(Z$10:Z$400,$D$10:$D$400,"Posting")</f>
        <v/>
      </c>
      <c r="AA404" s="19">
        <f>SUMIFS(AA$10:AA$400,$D$10:$D$400,"Posting")</f>
        <v/>
      </c>
      <c r="AB404" s="19">
        <f>SUMIFS(AB$10:AB$400,$D$10:$D$400,"Posting")</f>
        <v/>
      </c>
      <c r="AC404" s="19">
        <f>SUMIFS(AC$10:AC$400,$D$10:$D$400,"Posting")</f>
        <v/>
      </c>
      <c r="AD404" s="19">
        <f>SUMIFS(AD$10:AD$400,$D$10:$D$400,"Posting")</f>
        <v/>
      </c>
      <c r="AE404" s="19">
        <f>SUMIFS(AE$10:AE$400,$D$10:$D$400,"Posting")</f>
        <v/>
      </c>
    </row>
    <row r="405">
      <c r="C405" s="10" t="inlineStr">
        <is>
          <t>Total akun Posting yang sudah bertag MIS</t>
        </is>
      </c>
      <c r="E405" s="19">
        <f>SUMIFS(E$10:E$400,$D$10:$D$400,"Posting",$A$10:$A$400,"&lt;&gt;")</f>
        <v/>
      </c>
      <c r="F405" s="19">
        <f>SUMIFS(F$10:F$400,$D$10:$D$400,"Posting",$A$10:$A$400,"&lt;&gt;")</f>
        <v/>
      </c>
      <c r="G405" s="19">
        <f>SUMIFS(G$10:G$400,$D$10:$D$400,"Posting",$A$10:$A$400,"&lt;&gt;")</f>
        <v/>
      </c>
      <c r="H405" s="19">
        <f>SUMIFS(H$10:H$400,$D$10:$D$400,"Posting",$A$10:$A$400,"&lt;&gt;")</f>
        <v/>
      </c>
      <c r="I405" s="19">
        <f>SUMIFS(I$10:I$400,$D$10:$D$400,"Posting",$A$10:$A$400,"&lt;&gt;")</f>
        <v/>
      </c>
      <c r="J405" s="19">
        <f>SUMIFS(J$10:J$400,$D$10:$D$400,"Posting",$A$10:$A$400,"&lt;&gt;")</f>
        <v/>
      </c>
      <c r="K405" s="19">
        <f>SUMIFS(K$10:K$400,$D$10:$D$400,"Posting",$A$10:$A$400,"&lt;&gt;")</f>
        <v/>
      </c>
      <c r="L405" s="19">
        <f>SUMIFS(L$10:L$400,$D$10:$D$400,"Posting",$A$10:$A$400,"&lt;&gt;")</f>
        <v/>
      </c>
      <c r="M405" s="19">
        <f>SUMIFS(M$10:M$400,$D$10:$D$400,"Posting",$A$10:$A$400,"&lt;&gt;")</f>
        <v/>
      </c>
      <c r="N405" s="19">
        <f>SUMIFS(N$10:N$400,$D$10:$D$400,"Posting",$A$10:$A$400,"&lt;&gt;")</f>
        <v/>
      </c>
      <c r="O405" s="19">
        <f>SUMIFS(O$10:O$400,$D$10:$D$400,"Posting",$A$10:$A$400,"&lt;&gt;")</f>
        <v/>
      </c>
      <c r="P405" s="19">
        <f>SUMIFS(P$10:P$400,$D$10:$D$400,"Posting",$A$10:$A$400,"&lt;&gt;")</f>
        <v/>
      </c>
      <c r="Q405" s="19">
        <f>SUMIFS(Q$10:Q$400,$D$10:$D$400,"Posting",$A$10:$A$400,"&lt;&gt;")</f>
        <v/>
      </c>
      <c r="S405" s="19">
        <f>SUMIFS(S$10:S$400,$D$10:$D$400,"Posting",$A$10:$A$400,"&lt;&gt;")</f>
        <v/>
      </c>
      <c r="T405" s="19">
        <f>SUMIFS(T$10:T$400,$D$10:$D$400,"Posting",$A$10:$A$400,"&lt;&gt;")</f>
        <v/>
      </c>
      <c r="U405" s="19">
        <f>SUMIFS(U$10:U$400,$D$10:$D$400,"Posting",$A$10:$A$400,"&lt;&gt;")</f>
        <v/>
      </c>
      <c r="V405" s="19">
        <f>SUMIFS(V$10:V$400,$D$10:$D$400,"Posting",$A$10:$A$400,"&lt;&gt;")</f>
        <v/>
      </c>
      <c r="W405" s="19">
        <f>SUMIFS(W$10:W$400,$D$10:$D$400,"Posting",$A$10:$A$400,"&lt;&gt;")</f>
        <v/>
      </c>
      <c r="X405" s="19">
        <f>SUMIFS(X$10:X$400,$D$10:$D$400,"Posting",$A$10:$A$400,"&lt;&gt;")</f>
        <v/>
      </c>
      <c r="Y405" s="19">
        <f>SUMIFS(Y$10:Y$400,$D$10:$D$400,"Posting",$A$10:$A$400,"&lt;&gt;")</f>
        <v/>
      </c>
      <c r="Z405" s="19">
        <f>SUMIFS(Z$10:Z$400,$D$10:$D$400,"Posting",$A$10:$A$400,"&lt;&gt;")</f>
        <v/>
      </c>
      <c r="AA405" s="19">
        <f>SUMIFS(AA$10:AA$400,$D$10:$D$400,"Posting",$A$10:$A$400,"&lt;&gt;")</f>
        <v/>
      </c>
      <c r="AB405" s="19">
        <f>SUMIFS(AB$10:AB$400,$D$10:$D$400,"Posting",$A$10:$A$400,"&lt;&gt;")</f>
        <v/>
      </c>
      <c r="AC405" s="19">
        <f>SUMIFS(AC$10:AC$400,$D$10:$D$400,"Posting",$A$10:$A$400,"&lt;&gt;")</f>
        <v/>
      </c>
      <c r="AD405" s="19">
        <f>SUMIFS(AD$10:AD$400,$D$10:$D$400,"Posting",$A$10:$A$400,"&lt;&gt;")</f>
        <v/>
      </c>
      <c r="AE405" s="19">
        <f>SUMIFS(AE$10:AE$400,$D$10:$D$400,"Posting",$A$10:$A$400,"&lt;&gt;")</f>
        <v/>
      </c>
    </row>
    <row r="406">
      <c r="C406" s="46" t="inlineStr">
        <is>
          <t>Selisih = akun belum dimapping (harus 0)</t>
        </is>
      </c>
      <c r="E406" s="71">
        <f>ROUND(E404-E405,0)</f>
        <v/>
      </c>
      <c r="F406" s="71">
        <f>ROUND(F404-F405,0)</f>
        <v/>
      </c>
      <c r="G406" s="71">
        <f>ROUND(G404-G405,0)</f>
        <v/>
      </c>
      <c r="H406" s="71">
        <f>ROUND(H404-H405,0)</f>
        <v/>
      </c>
      <c r="I406" s="71">
        <f>ROUND(I404-I405,0)</f>
        <v/>
      </c>
      <c r="J406" s="71">
        <f>ROUND(J404-J405,0)</f>
        <v/>
      </c>
      <c r="K406" s="71">
        <f>ROUND(K404-K405,0)</f>
        <v/>
      </c>
      <c r="L406" s="71">
        <f>ROUND(L404-L405,0)</f>
        <v/>
      </c>
      <c r="M406" s="71">
        <f>ROUND(M404-M405,0)</f>
        <v/>
      </c>
      <c r="N406" s="71">
        <f>ROUND(N404-N405,0)</f>
        <v/>
      </c>
      <c r="O406" s="71">
        <f>ROUND(O404-O405,0)</f>
        <v/>
      </c>
      <c r="P406" s="71">
        <f>ROUND(P404-P405,0)</f>
        <v/>
      </c>
      <c r="Q406" s="71">
        <f>ROUND(Q404-Q405,0)</f>
        <v/>
      </c>
      <c r="S406" s="71">
        <f>ROUND(S404-S405,0)</f>
        <v/>
      </c>
      <c r="T406" s="71">
        <f>ROUND(T404-T405,0)</f>
        <v/>
      </c>
      <c r="U406" s="71">
        <f>ROUND(U404-U405,0)</f>
        <v/>
      </c>
      <c r="V406" s="71">
        <f>ROUND(V404-V405,0)</f>
        <v/>
      </c>
      <c r="W406" s="71">
        <f>ROUND(W404-W405,0)</f>
        <v/>
      </c>
      <c r="X406" s="71">
        <f>ROUND(X404-X405,0)</f>
        <v/>
      </c>
      <c r="Y406" s="71">
        <f>ROUND(Y404-Y405,0)</f>
        <v/>
      </c>
      <c r="Z406" s="71">
        <f>ROUND(Z404-Z405,0)</f>
        <v/>
      </c>
      <c r="AA406" s="71">
        <f>ROUND(AA404-AA405,0)</f>
        <v/>
      </c>
      <c r="AB406" s="71">
        <f>ROUND(AB404-AB405,0)</f>
        <v/>
      </c>
      <c r="AC406" s="71">
        <f>ROUND(AC404-AC405,0)</f>
        <v/>
      </c>
      <c r="AD406" s="71">
        <f>ROUND(AD404-AD405,0)</f>
        <v/>
      </c>
      <c r="AE406" s="71">
        <f>ROUND(AE404-AE405,0)</f>
        <v/>
      </c>
    </row>
    <row r="407">
      <c r="C407" s="46" t="inlineStr">
        <is>
          <t>Jumlah akun Posting tanpa Tag MIS (harus 0)</t>
        </is>
      </c>
      <c r="E407" s="71">
        <f>COUNTIFS($D$10:$D$400,"Posting",$A$10:$A$400,"")</f>
        <v/>
      </c>
    </row>
    <row r="408">
      <c r="C408" s="46" t="inlineStr">
        <is>
          <t>Jumlah Tag MIS yang tidak dikenal di C5 (harus 0)</t>
        </is>
      </c>
      <c r="E408" s="70">
        <f>SUMPRODUCT(($D$10:$D$400="Posting")*($A$10:$A$400&lt;&gt;"")*(COUNTIF('C5 GEG LR Aktual'!$A$7:$A$120,$A$10:$A$400)=0))</f>
        <v/>
      </c>
    </row>
  </sheetData>
  <conditionalFormatting sqref="E406:AE406">
    <cfRule type="cellIs" priority="1" operator="notEqual" dxfId="7">
      <formula>0</formula>
    </cfRule>
  </conditionalFormatting>
  <conditionalFormatting sqref="E407">
    <cfRule type="cellIs" priority="2" operator="notEqual" dxfId="7">
      <formula>0</formula>
    </cfRule>
  </conditionalFormatting>
  <conditionalFormatting sqref="E408">
    <cfRule type="cellIs" priority="3" operator="notEqual" dxfId="7">
      <formula>0</formula>
    </cfRule>
  </conditionalFormatting>
  <dataValidations count="2">
    <dataValidation sqref="A10:A400" showDropDown="0" showInputMessage="0" showErrorMessage="0" allowBlank="1" type="list">
      <formula1>'C5 GEG LR Aktual'!$A$7:$A$87</formula1>
    </dataValidation>
    <dataValidation sqref="D10:D400" showDropDown="0" showInputMessage="0" showErrorMessage="0" allowBlank="0" type="list">
      <formula1>"Header,Posting"</formula1>
    </dataValidation>
  </dataValidation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P3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GEG – Kepatuhan Covenant Pinjaman Bank (bulanan, basis YTD)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Padanan sheet "DSCR – Persyaratan Keuangan" di MIS AAT. Batas covenant (sel kuning) sesuaikan dengan perjanjian kredit GEG.</t>
        </is>
      </c>
    </row>
    <row r="3"/>
    <row r="4">
      <c r="D4" s="80" t="n">
        <v>1</v>
      </c>
      <c r="E4" s="80" t="n">
        <v>2</v>
      </c>
      <c r="F4" s="80" t="n">
        <v>3</v>
      </c>
      <c r="G4" s="80" t="n">
        <v>4</v>
      </c>
      <c r="H4" s="80" t="n">
        <v>5</v>
      </c>
      <c r="I4" s="80" t="n">
        <v>6</v>
      </c>
      <c r="J4" s="80" t="n">
        <v>7</v>
      </c>
      <c r="K4" s="80" t="n">
        <v>8</v>
      </c>
      <c r="L4" s="80" t="n">
        <v>9</v>
      </c>
      <c r="M4" s="80" t="n">
        <v>10</v>
      </c>
      <c r="N4" s="80" t="n">
        <v>11</v>
      </c>
      <c r="O4" s="80" t="n">
        <v>12</v>
      </c>
    </row>
    <row r="5">
      <c r="A5" s="16" t="inlineStr">
        <is>
          <t>Keterangan</t>
        </is>
      </c>
      <c r="B5" s="16" t="inlineStr">
        <is>
          <t>Satuan</t>
        </is>
      </c>
      <c r="C5" s="16" t="inlineStr">
        <is>
          <t>Batas</t>
        </is>
      </c>
      <c r="D5" s="16" t="inlineStr">
        <is>
          <t>Jan</t>
        </is>
      </c>
      <c r="E5" s="16" t="inlineStr">
        <is>
          <t>Feb</t>
        </is>
      </c>
      <c r="F5" s="16" t="inlineStr">
        <is>
          <t>Mar</t>
        </is>
      </c>
      <c r="G5" s="16" t="inlineStr">
        <is>
          <t>Apr</t>
        </is>
      </c>
      <c r="H5" s="16" t="inlineStr">
        <is>
          <t>Mei</t>
        </is>
      </c>
      <c r="I5" s="16" t="inlineStr">
        <is>
          <t>Jun</t>
        </is>
      </c>
      <c r="J5" s="16" t="inlineStr">
        <is>
          <t>Jul</t>
        </is>
      </c>
      <c r="K5" s="16" t="inlineStr">
        <is>
          <t>Agu</t>
        </is>
      </c>
      <c r="L5" s="16" t="inlineStr">
        <is>
          <t>Sep</t>
        </is>
      </c>
      <c r="M5" s="16" t="inlineStr">
        <is>
          <t>Okt</t>
        </is>
      </c>
      <c r="N5" s="16" t="inlineStr">
        <is>
          <t>Nov</t>
        </is>
      </c>
      <c r="O5" s="16" t="inlineStr">
        <is>
          <t>Des</t>
        </is>
      </c>
    </row>
    <row r="6">
      <c r="A6" s="4" t="inlineStr">
        <is>
          <t>A. ADJUSTED CURRENT RATIO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10" t="inlineStr">
        <is>
          <t>Aset lancar</t>
        </is>
      </c>
      <c r="B7" s="3" t="inlineStr">
        <is>
          <t>Rp juta</t>
        </is>
      </c>
      <c r="D7" s="28">
        <f>IF(D$4&gt;'C1 GEG Setting'!$C$6,"",'C6 GEG Neraca Aktual'!D15)</f>
        <v/>
      </c>
      <c r="E7" s="28">
        <f>IF(E$4&gt;'C1 GEG Setting'!$C$6,"",'C6 GEG Neraca Aktual'!E15)</f>
        <v/>
      </c>
      <c r="F7" s="28">
        <f>IF(F$4&gt;'C1 GEG Setting'!$C$6,"",'C6 GEG Neraca Aktual'!F15)</f>
        <v/>
      </c>
      <c r="G7" s="28">
        <f>IF(G$4&gt;'C1 GEG Setting'!$C$6,"",'C6 GEG Neraca Aktual'!G15)</f>
        <v/>
      </c>
      <c r="H7" s="28">
        <f>IF(H$4&gt;'C1 GEG Setting'!$C$6,"",'C6 GEG Neraca Aktual'!H15)</f>
        <v/>
      </c>
      <c r="I7" s="28">
        <f>IF(I$4&gt;'C1 GEG Setting'!$C$6,"",'C6 GEG Neraca Aktual'!I15)</f>
        <v/>
      </c>
      <c r="J7" s="28">
        <f>IF(J$4&gt;'C1 GEG Setting'!$C$6,"",'C6 GEG Neraca Aktual'!J15)</f>
        <v/>
      </c>
      <c r="K7" s="28">
        <f>IF(K$4&gt;'C1 GEG Setting'!$C$6,"",'C6 GEG Neraca Aktual'!K15)</f>
        <v/>
      </c>
      <c r="L7" s="28">
        <f>IF(L$4&gt;'C1 GEG Setting'!$C$6,"",'C6 GEG Neraca Aktual'!L15)</f>
        <v/>
      </c>
      <c r="M7" s="28">
        <f>IF(M$4&gt;'C1 GEG Setting'!$C$6,"",'C6 GEG Neraca Aktual'!M15)</f>
        <v/>
      </c>
      <c r="N7" s="28">
        <f>IF(N$4&gt;'C1 GEG Setting'!$C$6,"",'C6 GEG Neraca Aktual'!N15)</f>
        <v/>
      </c>
      <c r="O7" s="28">
        <f>IF(O$4&gt;'C1 GEG Setting'!$C$6,"",'C6 GEG Neraca Aktual'!O15)</f>
        <v/>
      </c>
    </row>
    <row r="8">
      <c r="A8" s="10" t="inlineStr">
        <is>
          <t>Liabilitas jangka pendek</t>
        </is>
      </c>
      <c r="B8" s="3" t="inlineStr">
        <is>
          <t>Rp juta</t>
        </is>
      </c>
      <c r="D8" s="28">
        <f>IF(D$4&gt;'C1 GEG Setting'!$C$6,"",'C6 GEG Neraca Aktual'!D33)</f>
        <v/>
      </c>
      <c r="E8" s="28">
        <f>IF(E$4&gt;'C1 GEG Setting'!$C$6,"",'C6 GEG Neraca Aktual'!E33)</f>
        <v/>
      </c>
      <c r="F8" s="28">
        <f>IF(F$4&gt;'C1 GEG Setting'!$C$6,"",'C6 GEG Neraca Aktual'!F33)</f>
        <v/>
      </c>
      <c r="G8" s="28">
        <f>IF(G$4&gt;'C1 GEG Setting'!$C$6,"",'C6 GEG Neraca Aktual'!G33)</f>
        <v/>
      </c>
      <c r="H8" s="28">
        <f>IF(H$4&gt;'C1 GEG Setting'!$C$6,"",'C6 GEG Neraca Aktual'!H33)</f>
        <v/>
      </c>
      <c r="I8" s="28">
        <f>IF(I$4&gt;'C1 GEG Setting'!$C$6,"",'C6 GEG Neraca Aktual'!I33)</f>
        <v/>
      </c>
      <c r="J8" s="28">
        <f>IF(J$4&gt;'C1 GEG Setting'!$C$6,"",'C6 GEG Neraca Aktual'!J33)</f>
        <v/>
      </c>
      <c r="K8" s="28">
        <f>IF(K$4&gt;'C1 GEG Setting'!$C$6,"",'C6 GEG Neraca Aktual'!K33)</f>
        <v/>
      </c>
      <c r="L8" s="28">
        <f>IF(L$4&gt;'C1 GEG Setting'!$C$6,"",'C6 GEG Neraca Aktual'!L33)</f>
        <v/>
      </c>
      <c r="M8" s="28">
        <f>IF(M$4&gt;'C1 GEG Setting'!$C$6,"",'C6 GEG Neraca Aktual'!M33)</f>
        <v/>
      </c>
      <c r="N8" s="28">
        <f>IF(N$4&gt;'C1 GEG Setting'!$C$6,"",'C6 GEG Neraca Aktual'!N33)</f>
        <v/>
      </c>
      <c r="O8" s="28">
        <f>IF(O$4&gt;'C1 GEG Setting'!$C$6,"",'C6 GEG Neraca Aktual'!O33)</f>
        <v/>
      </c>
    </row>
    <row r="9">
      <c r="A9" s="10" t="inlineStr">
        <is>
          <t>Dikurangi: bagian lancar pinjaman bank JP</t>
        </is>
      </c>
      <c r="B9" s="3" t="inlineStr">
        <is>
          <t>Rp juta</t>
        </is>
      </c>
      <c r="D9" s="28">
        <f>IF(D$4&gt;'C1 GEG Setting'!$C$6,"",'C6 GEG Neraca Aktual'!D32)</f>
        <v/>
      </c>
      <c r="E9" s="28">
        <f>IF(E$4&gt;'C1 GEG Setting'!$C$6,"",'C6 GEG Neraca Aktual'!E32)</f>
        <v/>
      </c>
      <c r="F9" s="28">
        <f>IF(F$4&gt;'C1 GEG Setting'!$C$6,"",'C6 GEG Neraca Aktual'!F32)</f>
        <v/>
      </c>
      <c r="G9" s="28">
        <f>IF(G$4&gt;'C1 GEG Setting'!$C$6,"",'C6 GEG Neraca Aktual'!G32)</f>
        <v/>
      </c>
      <c r="H9" s="28">
        <f>IF(H$4&gt;'C1 GEG Setting'!$C$6,"",'C6 GEG Neraca Aktual'!H32)</f>
        <v/>
      </c>
      <c r="I9" s="28">
        <f>IF(I$4&gt;'C1 GEG Setting'!$C$6,"",'C6 GEG Neraca Aktual'!I32)</f>
        <v/>
      </c>
      <c r="J9" s="28">
        <f>IF(J$4&gt;'C1 GEG Setting'!$C$6,"",'C6 GEG Neraca Aktual'!J32)</f>
        <v/>
      </c>
      <c r="K9" s="28">
        <f>IF(K$4&gt;'C1 GEG Setting'!$C$6,"",'C6 GEG Neraca Aktual'!K32)</f>
        <v/>
      </c>
      <c r="L9" s="28">
        <f>IF(L$4&gt;'C1 GEG Setting'!$C$6,"",'C6 GEG Neraca Aktual'!L32)</f>
        <v/>
      </c>
      <c r="M9" s="28">
        <f>IF(M$4&gt;'C1 GEG Setting'!$C$6,"",'C6 GEG Neraca Aktual'!M32)</f>
        <v/>
      </c>
      <c r="N9" s="28">
        <f>IF(N$4&gt;'C1 GEG Setting'!$C$6,"",'C6 GEG Neraca Aktual'!N32)</f>
        <v/>
      </c>
      <c r="O9" s="28">
        <f>IF(O$4&gt;'C1 GEG Setting'!$C$6,"",'C6 GEG Neraca Aktual'!O32)</f>
        <v/>
      </c>
    </row>
    <row r="10">
      <c r="A10" s="48" t="inlineStr">
        <is>
          <t>Adjusted current ratio</t>
        </is>
      </c>
      <c r="B10" s="49" t="inlineStr">
        <is>
          <t>x</t>
        </is>
      </c>
      <c r="C10" s="116" t="n">
        <v>1.2</v>
      </c>
      <c r="D10" s="117">
        <f>IF(D$4&gt;'C1 GEG Setting'!$C$6,"",IFERROR(D7/(D8-D9),0))</f>
        <v/>
      </c>
      <c r="E10" s="117">
        <f>IF(E$4&gt;'C1 GEG Setting'!$C$6,"",IFERROR(E7/(E8-E9),0))</f>
        <v/>
      </c>
      <c r="F10" s="117">
        <f>IF(F$4&gt;'C1 GEG Setting'!$C$6,"",IFERROR(F7/(F8-F9),0))</f>
        <v/>
      </c>
      <c r="G10" s="117">
        <f>IF(G$4&gt;'C1 GEG Setting'!$C$6,"",IFERROR(G7/(G8-G9),0))</f>
        <v/>
      </c>
      <c r="H10" s="117">
        <f>IF(H$4&gt;'C1 GEG Setting'!$C$6,"",IFERROR(H7/(H8-H9),0))</f>
        <v/>
      </c>
      <c r="I10" s="117">
        <f>IF(I$4&gt;'C1 GEG Setting'!$C$6,"",IFERROR(I7/(I8-I9),0))</f>
        <v/>
      </c>
      <c r="J10" s="117">
        <f>IF(J$4&gt;'C1 GEG Setting'!$C$6,"",IFERROR(J7/(J8-J9),0))</f>
        <v/>
      </c>
      <c r="K10" s="117">
        <f>IF(K$4&gt;'C1 GEG Setting'!$C$6,"",IFERROR(K7/(K8-K9),0))</f>
        <v/>
      </c>
      <c r="L10" s="117">
        <f>IF(L$4&gt;'C1 GEG Setting'!$C$6,"",IFERROR(L7/(L8-L9),0))</f>
        <v/>
      </c>
      <c r="M10" s="117">
        <f>IF(M$4&gt;'C1 GEG Setting'!$C$6,"",IFERROR(M7/(M8-M9),0))</f>
        <v/>
      </c>
      <c r="N10" s="117">
        <f>IF(N$4&gt;'C1 GEG Setting'!$C$6,"",IFERROR(N7/(N8-N9),0))</f>
        <v/>
      </c>
      <c r="O10" s="117">
        <f>IF(O$4&gt;'C1 GEG Setting'!$C$6,"",IFERROR(O7/(O8-O9),0))</f>
        <v/>
      </c>
    </row>
    <row r="11">
      <c r="A11" s="4" t="inlineStr">
        <is>
          <t>B. DEBT TO TANGIBLE NET WORTH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10" t="inlineStr">
        <is>
          <t>Total pinjaman bank</t>
        </is>
      </c>
      <c r="B12" s="3" t="inlineStr">
        <is>
          <t>Rp juta</t>
        </is>
      </c>
      <c r="D12" s="28">
        <f>IF(D$4&gt;'C1 GEG Setting'!$C$6,"",'C6 GEG Neraca Aktual'!D31+'C6 GEG Neraca Aktual'!D32+'C6 GEG Neraca Aktual'!D35)</f>
        <v/>
      </c>
      <c r="E12" s="28">
        <f>IF(E$4&gt;'C1 GEG Setting'!$C$6,"",'C6 GEG Neraca Aktual'!E31+'C6 GEG Neraca Aktual'!E32+'C6 GEG Neraca Aktual'!E35)</f>
        <v/>
      </c>
      <c r="F12" s="28">
        <f>IF(F$4&gt;'C1 GEG Setting'!$C$6,"",'C6 GEG Neraca Aktual'!F31+'C6 GEG Neraca Aktual'!F32+'C6 GEG Neraca Aktual'!F35)</f>
        <v/>
      </c>
      <c r="G12" s="28">
        <f>IF(G$4&gt;'C1 GEG Setting'!$C$6,"",'C6 GEG Neraca Aktual'!G31+'C6 GEG Neraca Aktual'!G32+'C6 GEG Neraca Aktual'!G35)</f>
        <v/>
      </c>
      <c r="H12" s="28">
        <f>IF(H$4&gt;'C1 GEG Setting'!$C$6,"",'C6 GEG Neraca Aktual'!H31+'C6 GEG Neraca Aktual'!H32+'C6 GEG Neraca Aktual'!H35)</f>
        <v/>
      </c>
      <c r="I12" s="28">
        <f>IF(I$4&gt;'C1 GEG Setting'!$C$6,"",'C6 GEG Neraca Aktual'!I31+'C6 GEG Neraca Aktual'!I32+'C6 GEG Neraca Aktual'!I35)</f>
        <v/>
      </c>
      <c r="J12" s="28">
        <f>IF(J$4&gt;'C1 GEG Setting'!$C$6,"",'C6 GEG Neraca Aktual'!J31+'C6 GEG Neraca Aktual'!J32+'C6 GEG Neraca Aktual'!J35)</f>
        <v/>
      </c>
      <c r="K12" s="28">
        <f>IF(K$4&gt;'C1 GEG Setting'!$C$6,"",'C6 GEG Neraca Aktual'!K31+'C6 GEG Neraca Aktual'!K32+'C6 GEG Neraca Aktual'!K35)</f>
        <v/>
      </c>
      <c r="L12" s="28">
        <f>IF(L$4&gt;'C1 GEG Setting'!$C$6,"",'C6 GEG Neraca Aktual'!L31+'C6 GEG Neraca Aktual'!L32+'C6 GEG Neraca Aktual'!L35)</f>
        <v/>
      </c>
      <c r="M12" s="28">
        <f>IF(M$4&gt;'C1 GEG Setting'!$C$6,"",'C6 GEG Neraca Aktual'!M31+'C6 GEG Neraca Aktual'!M32+'C6 GEG Neraca Aktual'!M35)</f>
        <v/>
      </c>
      <c r="N12" s="28">
        <f>IF(N$4&gt;'C1 GEG Setting'!$C$6,"",'C6 GEG Neraca Aktual'!N31+'C6 GEG Neraca Aktual'!N32+'C6 GEG Neraca Aktual'!N35)</f>
        <v/>
      </c>
      <c r="O12" s="28">
        <f>IF(O$4&gt;'C1 GEG Setting'!$C$6,"",'C6 GEG Neraca Aktual'!O31+'C6 GEG Neraca Aktual'!O32+'C6 GEG Neraca Aktual'!O35)</f>
        <v/>
      </c>
    </row>
    <row r="13">
      <c r="A13" s="10" t="inlineStr">
        <is>
          <t>Total ekuitas</t>
        </is>
      </c>
      <c r="B13" s="3" t="inlineStr">
        <is>
          <t>Rp juta</t>
        </is>
      </c>
      <c r="D13" s="28">
        <f>IF(D$4&gt;'C1 GEG Setting'!$C$6,"",'C6 GEG Neraca Aktual'!D46)</f>
        <v/>
      </c>
      <c r="E13" s="28">
        <f>IF(E$4&gt;'C1 GEG Setting'!$C$6,"",'C6 GEG Neraca Aktual'!E46)</f>
        <v/>
      </c>
      <c r="F13" s="28">
        <f>IF(F$4&gt;'C1 GEG Setting'!$C$6,"",'C6 GEG Neraca Aktual'!F46)</f>
        <v/>
      </c>
      <c r="G13" s="28">
        <f>IF(G$4&gt;'C1 GEG Setting'!$C$6,"",'C6 GEG Neraca Aktual'!G46)</f>
        <v/>
      </c>
      <c r="H13" s="28">
        <f>IF(H$4&gt;'C1 GEG Setting'!$C$6,"",'C6 GEG Neraca Aktual'!H46)</f>
        <v/>
      </c>
      <c r="I13" s="28">
        <f>IF(I$4&gt;'C1 GEG Setting'!$C$6,"",'C6 GEG Neraca Aktual'!I46)</f>
        <v/>
      </c>
      <c r="J13" s="28">
        <f>IF(J$4&gt;'C1 GEG Setting'!$C$6,"",'C6 GEG Neraca Aktual'!J46)</f>
        <v/>
      </c>
      <c r="K13" s="28">
        <f>IF(K$4&gt;'C1 GEG Setting'!$C$6,"",'C6 GEG Neraca Aktual'!K46)</f>
        <v/>
      </c>
      <c r="L13" s="28">
        <f>IF(L$4&gt;'C1 GEG Setting'!$C$6,"",'C6 GEG Neraca Aktual'!L46)</f>
        <v/>
      </c>
      <c r="M13" s="28">
        <f>IF(M$4&gt;'C1 GEG Setting'!$C$6,"",'C6 GEG Neraca Aktual'!M46)</f>
        <v/>
      </c>
      <c r="N13" s="28">
        <f>IF(N$4&gt;'C1 GEG Setting'!$C$6,"",'C6 GEG Neraca Aktual'!N46)</f>
        <v/>
      </c>
      <c r="O13" s="28">
        <f>IF(O$4&gt;'C1 GEG Setting'!$C$6,"",'C6 GEG Neraca Aktual'!O46)</f>
        <v/>
      </c>
    </row>
    <row r="14">
      <c r="A14" s="10" t="inlineStr">
        <is>
          <t>Dikurangi: aset eksplorasi &amp; evaluasi (tak berwujud)</t>
        </is>
      </c>
      <c r="B14" s="3" t="inlineStr">
        <is>
          <t>Rp juta</t>
        </is>
      </c>
      <c r="D14" s="28">
        <f>IF(D$4&gt;'C1 GEG Setting'!$C$6,"",'C6 GEG Neraca Aktual'!D19)</f>
        <v/>
      </c>
      <c r="E14" s="28">
        <f>IF(E$4&gt;'C1 GEG Setting'!$C$6,"",'C6 GEG Neraca Aktual'!E19)</f>
        <v/>
      </c>
      <c r="F14" s="28">
        <f>IF(F$4&gt;'C1 GEG Setting'!$C$6,"",'C6 GEG Neraca Aktual'!F19)</f>
        <v/>
      </c>
      <c r="G14" s="28">
        <f>IF(G$4&gt;'C1 GEG Setting'!$C$6,"",'C6 GEG Neraca Aktual'!G19)</f>
        <v/>
      </c>
      <c r="H14" s="28">
        <f>IF(H$4&gt;'C1 GEG Setting'!$C$6,"",'C6 GEG Neraca Aktual'!H19)</f>
        <v/>
      </c>
      <c r="I14" s="28">
        <f>IF(I$4&gt;'C1 GEG Setting'!$C$6,"",'C6 GEG Neraca Aktual'!I19)</f>
        <v/>
      </c>
      <c r="J14" s="28">
        <f>IF(J$4&gt;'C1 GEG Setting'!$C$6,"",'C6 GEG Neraca Aktual'!J19)</f>
        <v/>
      </c>
      <c r="K14" s="28">
        <f>IF(K$4&gt;'C1 GEG Setting'!$C$6,"",'C6 GEG Neraca Aktual'!K19)</f>
        <v/>
      </c>
      <c r="L14" s="28">
        <f>IF(L$4&gt;'C1 GEG Setting'!$C$6,"",'C6 GEG Neraca Aktual'!L19)</f>
        <v/>
      </c>
      <c r="M14" s="28">
        <f>IF(M$4&gt;'C1 GEG Setting'!$C$6,"",'C6 GEG Neraca Aktual'!M19)</f>
        <v/>
      </c>
      <c r="N14" s="28">
        <f>IF(N$4&gt;'C1 GEG Setting'!$C$6,"",'C6 GEG Neraca Aktual'!N19)</f>
        <v/>
      </c>
      <c r="O14" s="28">
        <f>IF(O$4&gt;'C1 GEG Setting'!$C$6,"",'C6 GEG Neraca Aktual'!O19)</f>
        <v/>
      </c>
    </row>
    <row r="15">
      <c r="A15" s="48" t="inlineStr">
        <is>
          <t>Debt to tangible net worth</t>
        </is>
      </c>
      <c r="B15" s="49" t="inlineStr">
        <is>
          <t>x</t>
        </is>
      </c>
      <c r="C15" s="116" t="n">
        <v>2</v>
      </c>
      <c r="D15" s="117">
        <f>IF(D$4&gt;'C1 GEG Setting'!$C$6,"",IFERROR(D12/(D13-D14),0))</f>
        <v/>
      </c>
      <c r="E15" s="117">
        <f>IF(E$4&gt;'C1 GEG Setting'!$C$6,"",IFERROR(E12/(E13-E14),0))</f>
        <v/>
      </c>
      <c r="F15" s="117">
        <f>IF(F$4&gt;'C1 GEG Setting'!$C$6,"",IFERROR(F12/(F13-F14),0))</f>
        <v/>
      </c>
      <c r="G15" s="117">
        <f>IF(G$4&gt;'C1 GEG Setting'!$C$6,"",IFERROR(G12/(G13-G14),0))</f>
        <v/>
      </c>
      <c r="H15" s="117">
        <f>IF(H$4&gt;'C1 GEG Setting'!$C$6,"",IFERROR(H12/(H13-H14),0))</f>
        <v/>
      </c>
      <c r="I15" s="117">
        <f>IF(I$4&gt;'C1 GEG Setting'!$C$6,"",IFERROR(I12/(I13-I14),0))</f>
        <v/>
      </c>
      <c r="J15" s="117">
        <f>IF(J$4&gt;'C1 GEG Setting'!$C$6,"",IFERROR(J12/(J13-J14),0))</f>
        <v/>
      </c>
      <c r="K15" s="117">
        <f>IF(K$4&gt;'C1 GEG Setting'!$C$6,"",IFERROR(K12/(K13-K14),0))</f>
        <v/>
      </c>
      <c r="L15" s="117">
        <f>IF(L$4&gt;'C1 GEG Setting'!$C$6,"",IFERROR(L12/(L13-L14),0))</f>
        <v/>
      </c>
      <c r="M15" s="117">
        <f>IF(M$4&gt;'C1 GEG Setting'!$C$6,"",IFERROR(M12/(M13-M14),0))</f>
        <v/>
      </c>
      <c r="N15" s="117">
        <f>IF(N$4&gt;'C1 GEG Setting'!$C$6,"",IFERROR(N12/(N13-N14),0))</f>
        <v/>
      </c>
      <c r="O15" s="117">
        <f>IF(O$4&gt;'C1 GEG Setting'!$C$6,"",IFERROR(O12/(O13-O14),0))</f>
        <v/>
      </c>
    </row>
    <row r="16">
      <c r="A16" s="4" t="inlineStr">
        <is>
          <t>C. DEBT SERVICE COVERAGE RATIO (YTD)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10" t="inlineStr">
        <is>
          <t>EBITDA YTD</t>
        </is>
      </c>
      <c r="B17" s="3" t="inlineStr">
        <is>
          <t>Rp juta</t>
        </is>
      </c>
      <c r="D17" s="28">
        <f>IF(D$4&gt;'C1 GEG Setting'!$C$6,"",SUM('C5 GEG LR Aktual'!$D$86:D86))</f>
        <v/>
      </c>
      <c r="E17" s="28">
        <f>IF(E$4&gt;'C1 GEG Setting'!$C$6,"",SUM('C5 GEG LR Aktual'!$D$86:E86))</f>
        <v/>
      </c>
      <c r="F17" s="28">
        <f>IF(F$4&gt;'C1 GEG Setting'!$C$6,"",SUM('C5 GEG LR Aktual'!$D$86:F86))</f>
        <v/>
      </c>
      <c r="G17" s="28">
        <f>IF(G$4&gt;'C1 GEG Setting'!$C$6,"",SUM('C5 GEG LR Aktual'!$D$86:G86))</f>
        <v/>
      </c>
      <c r="H17" s="28">
        <f>IF(H$4&gt;'C1 GEG Setting'!$C$6,"",SUM('C5 GEG LR Aktual'!$D$86:H86))</f>
        <v/>
      </c>
      <c r="I17" s="28">
        <f>IF(I$4&gt;'C1 GEG Setting'!$C$6,"",SUM('C5 GEG LR Aktual'!$D$86:I86))</f>
        <v/>
      </c>
      <c r="J17" s="28">
        <f>IF(J$4&gt;'C1 GEG Setting'!$C$6,"",SUM('C5 GEG LR Aktual'!$D$86:J86))</f>
        <v/>
      </c>
      <c r="K17" s="28">
        <f>IF(K$4&gt;'C1 GEG Setting'!$C$6,"",SUM('C5 GEG LR Aktual'!$D$86:K86))</f>
        <v/>
      </c>
      <c r="L17" s="28">
        <f>IF(L$4&gt;'C1 GEG Setting'!$C$6,"",SUM('C5 GEG LR Aktual'!$D$86:L86))</f>
        <v/>
      </c>
      <c r="M17" s="28">
        <f>IF(M$4&gt;'C1 GEG Setting'!$C$6,"",SUM('C5 GEG LR Aktual'!$D$86:M86))</f>
        <v/>
      </c>
      <c r="N17" s="28">
        <f>IF(N$4&gt;'C1 GEG Setting'!$C$6,"",SUM('C5 GEG LR Aktual'!$D$86:N86))</f>
        <v/>
      </c>
      <c r="O17" s="28">
        <f>IF(O$4&gt;'C1 GEG Setting'!$C$6,"",SUM('C5 GEG LR Aktual'!$D$86:O86))</f>
        <v/>
      </c>
    </row>
    <row r="18">
      <c r="A18" s="10" t="inlineStr">
        <is>
          <t>Beban bunga pinjaman YTD</t>
        </is>
      </c>
      <c r="B18" s="3" t="inlineStr">
        <is>
          <t>Rp juta</t>
        </is>
      </c>
      <c r="D18" s="28">
        <f>IF(D$4&gt;'C1 GEG Setting'!$C$6,"",-SUM('C5 GEG LR Aktual'!$D$77:D77))</f>
        <v/>
      </c>
      <c r="E18" s="28">
        <f>IF(E$4&gt;'C1 GEG Setting'!$C$6,"",-SUM('C5 GEG LR Aktual'!$D$77:E77))</f>
        <v/>
      </c>
      <c r="F18" s="28">
        <f>IF(F$4&gt;'C1 GEG Setting'!$C$6,"",-SUM('C5 GEG LR Aktual'!$D$77:F77))</f>
        <v/>
      </c>
      <c r="G18" s="28">
        <f>IF(G$4&gt;'C1 GEG Setting'!$C$6,"",-SUM('C5 GEG LR Aktual'!$D$77:G77))</f>
        <v/>
      </c>
      <c r="H18" s="28">
        <f>IF(H$4&gt;'C1 GEG Setting'!$C$6,"",-SUM('C5 GEG LR Aktual'!$D$77:H77))</f>
        <v/>
      </c>
      <c r="I18" s="28">
        <f>IF(I$4&gt;'C1 GEG Setting'!$C$6,"",-SUM('C5 GEG LR Aktual'!$D$77:I77))</f>
        <v/>
      </c>
      <c r="J18" s="28">
        <f>IF(J$4&gt;'C1 GEG Setting'!$C$6,"",-SUM('C5 GEG LR Aktual'!$D$77:J77))</f>
        <v/>
      </c>
      <c r="K18" s="28">
        <f>IF(K$4&gt;'C1 GEG Setting'!$C$6,"",-SUM('C5 GEG LR Aktual'!$D$77:K77))</f>
        <v/>
      </c>
      <c r="L18" s="28">
        <f>IF(L$4&gt;'C1 GEG Setting'!$C$6,"",-SUM('C5 GEG LR Aktual'!$D$77:L77))</f>
        <v/>
      </c>
      <c r="M18" s="28">
        <f>IF(M$4&gt;'C1 GEG Setting'!$C$6,"",-SUM('C5 GEG LR Aktual'!$D$77:M77))</f>
        <v/>
      </c>
      <c r="N18" s="28">
        <f>IF(N$4&gt;'C1 GEG Setting'!$C$6,"",-SUM('C5 GEG LR Aktual'!$D$77:N77))</f>
        <v/>
      </c>
      <c r="O18" s="28">
        <f>IF(O$4&gt;'C1 GEG Setting'!$C$6,"",-SUM('C5 GEG LR Aktual'!$D$77:O77))</f>
        <v/>
      </c>
    </row>
    <row r="19">
      <c r="A19" s="10" t="inlineStr">
        <is>
          <t>Pembayaran pokok pinjaman YTD</t>
        </is>
      </c>
      <c r="B19" s="3" t="inlineStr">
        <is>
          <t>Rp juta</t>
        </is>
      </c>
      <c r="D19" s="28">
        <f>IF(D$4&gt;'C1 GEG Setting'!$C$6,"",-SUM('C17 GEG Arus Kas Langsung'!$D$40:D40))</f>
        <v/>
      </c>
      <c r="E19" s="28">
        <f>IF(E$4&gt;'C1 GEG Setting'!$C$6,"",-SUM('C17 GEG Arus Kas Langsung'!$D$40:E40))</f>
        <v/>
      </c>
      <c r="F19" s="28">
        <f>IF(F$4&gt;'C1 GEG Setting'!$C$6,"",-SUM('C17 GEG Arus Kas Langsung'!$D$40:F40))</f>
        <v/>
      </c>
      <c r="G19" s="28">
        <f>IF(G$4&gt;'C1 GEG Setting'!$C$6,"",-SUM('C17 GEG Arus Kas Langsung'!$D$40:G40))</f>
        <v/>
      </c>
      <c r="H19" s="28">
        <f>IF(H$4&gt;'C1 GEG Setting'!$C$6,"",-SUM('C17 GEG Arus Kas Langsung'!$D$40:H40))</f>
        <v/>
      </c>
      <c r="I19" s="28">
        <f>IF(I$4&gt;'C1 GEG Setting'!$C$6,"",-SUM('C17 GEG Arus Kas Langsung'!$D$40:I40))</f>
        <v/>
      </c>
      <c r="J19" s="28">
        <f>IF(J$4&gt;'C1 GEG Setting'!$C$6,"",-SUM('C17 GEG Arus Kas Langsung'!$D$40:J40))</f>
        <v/>
      </c>
      <c r="K19" s="28">
        <f>IF(K$4&gt;'C1 GEG Setting'!$C$6,"",-SUM('C17 GEG Arus Kas Langsung'!$D$40:K40))</f>
        <v/>
      </c>
      <c r="L19" s="28">
        <f>IF(L$4&gt;'C1 GEG Setting'!$C$6,"",-SUM('C17 GEG Arus Kas Langsung'!$D$40:L40))</f>
        <v/>
      </c>
      <c r="M19" s="28">
        <f>IF(M$4&gt;'C1 GEG Setting'!$C$6,"",-SUM('C17 GEG Arus Kas Langsung'!$D$40:M40))</f>
        <v/>
      </c>
      <c r="N19" s="28">
        <f>IF(N$4&gt;'C1 GEG Setting'!$C$6,"",-SUM('C17 GEG Arus Kas Langsung'!$D$40:N40))</f>
        <v/>
      </c>
      <c r="O19" s="28">
        <f>IF(O$4&gt;'C1 GEG Setting'!$C$6,"",-SUM('C17 GEG Arus Kas Langsung'!$D$40:O40))</f>
        <v/>
      </c>
    </row>
    <row r="20">
      <c r="A20" s="10" t="inlineStr">
        <is>
          <t>Total debt service YTD</t>
        </is>
      </c>
      <c r="B20" s="3" t="inlineStr">
        <is>
          <t>Rp juta</t>
        </is>
      </c>
      <c r="D20" s="28">
        <f>IF(D$4&gt;'C1 GEG Setting'!$C$6,"",D18+D19)</f>
        <v/>
      </c>
      <c r="E20" s="28">
        <f>IF(E$4&gt;'C1 GEG Setting'!$C$6,"",E18+E19)</f>
        <v/>
      </c>
      <c r="F20" s="28">
        <f>IF(F$4&gt;'C1 GEG Setting'!$C$6,"",F18+F19)</f>
        <v/>
      </c>
      <c r="G20" s="28">
        <f>IF(G$4&gt;'C1 GEG Setting'!$C$6,"",G18+G19)</f>
        <v/>
      </c>
      <c r="H20" s="28">
        <f>IF(H$4&gt;'C1 GEG Setting'!$C$6,"",H18+H19)</f>
        <v/>
      </c>
      <c r="I20" s="28">
        <f>IF(I$4&gt;'C1 GEG Setting'!$C$6,"",I18+I19)</f>
        <v/>
      </c>
      <c r="J20" s="28">
        <f>IF(J$4&gt;'C1 GEG Setting'!$C$6,"",J18+J19)</f>
        <v/>
      </c>
      <c r="K20" s="28">
        <f>IF(K$4&gt;'C1 GEG Setting'!$C$6,"",K18+K19)</f>
        <v/>
      </c>
      <c r="L20" s="28">
        <f>IF(L$4&gt;'C1 GEG Setting'!$C$6,"",L18+L19)</f>
        <v/>
      </c>
      <c r="M20" s="28">
        <f>IF(M$4&gt;'C1 GEG Setting'!$C$6,"",M18+M19)</f>
        <v/>
      </c>
      <c r="N20" s="28">
        <f>IF(N$4&gt;'C1 GEG Setting'!$C$6,"",N18+N19)</f>
        <v/>
      </c>
      <c r="O20" s="28">
        <f>IF(O$4&gt;'C1 GEG Setting'!$C$6,"",O18+O19)</f>
        <v/>
      </c>
    </row>
    <row r="21">
      <c r="A21" s="48" t="inlineStr">
        <is>
          <t>Debt service coverage ratio (EBITDA ÷ debt service)</t>
        </is>
      </c>
      <c r="B21" s="49" t="inlineStr">
        <is>
          <t>x</t>
        </is>
      </c>
      <c r="C21" s="116" t="n">
        <v>1.25</v>
      </c>
      <c r="D21" s="117">
        <f>IF(D$4&gt;'C1 GEG Setting'!$C$6,"",IFERROR(D17/D20,0))</f>
        <v/>
      </c>
      <c r="E21" s="117">
        <f>IF(E$4&gt;'C1 GEG Setting'!$C$6,"",IFERROR(E17/E20,0))</f>
        <v/>
      </c>
      <c r="F21" s="117">
        <f>IF(F$4&gt;'C1 GEG Setting'!$C$6,"",IFERROR(F17/F20,0))</f>
        <v/>
      </c>
      <c r="G21" s="117">
        <f>IF(G$4&gt;'C1 GEG Setting'!$C$6,"",IFERROR(G17/G20,0))</f>
        <v/>
      </c>
      <c r="H21" s="117">
        <f>IF(H$4&gt;'C1 GEG Setting'!$C$6,"",IFERROR(H17/H20,0))</f>
        <v/>
      </c>
      <c r="I21" s="117">
        <f>IF(I$4&gt;'C1 GEG Setting'!$C$6,"",IFERROR(I17/I20,0))</f>
        <v/>
      </c>
      <c r="J21" s="117">
        <f>IF(J$4&gt;'C1 GEG Setting'!$C$6,"",IFERROR(J17/J20,0))</f>
        <v/>
      </c>
      <c r="K21" s="117">
        <f>IF(K$4&gt;'C1 GEG Setting'!$C$6,"",IFERROR(K17/K20,0))</f>
        <v/>
      </c>
      <c r="L21" s="117">
        <f>IF(L$4&gt;'C1 GEG Setting'!$C$6,"",IFERROR(L17/L20,0))</f>
        <v/>
      </c>
      <c r="M21" s="117">
        <f>IF(M$4&gt;'C1 GEG Setting'!$C$6,"",IFERROR(M17/M20,0))</f>
        <v/>
      </c>
      <c r="N21" s="117">
        <f>IF(N$4&gt;'C1 GEG Setting'!$C$6,"",IFERROR(N17/N20,0))</f>
        <v/>
      </c>
      <c r="O21" s="117">
        <f>IF(O$4&gt;'C1 GEG Setting'!$C$6,"",IFERROR(O17/O20,0))</f>
        <v/>
      </c>
    </row>
    <row r="22">
      <c r="A22" s="48" t="inlineStr">
        <is>
          <t>Interest coverage ratio (EBITDA ÷ bunga)</t>
        </is>
      </c>
      <c r="B22" s="49" t="inlineStr">
        <is>
          <t>x</t>
        </is>
      </c>
      <c r="C22" s="116" t="n">
        <v>3</v>
      </c>
      <c r="D22" s="117">
        <f>IF(D$4&gt;'C1 GEG Setting'!$C$6,"",IFERROR(D17/D18,0))</f>
        <v/>
      </c>
      <c r="E22" s="117">
        <f>IF(E$4&gt;'C1 GEG Setting'!$C$6,"",IFERROR(E17/E18,0))</f>
        <v/>
      </c>
      <c r="F22" s="117">
        <f>IF(F$4&gt;'C1 GEG Setting'!$C$6,"",IFERROR(F17/F18,0))</f>
        <v/>
      </c>
      <c r="G22" s="117">
        <f>IF(G$4&gt;'C1 GEG Setting'!$C$6,"",IFERROR(G17/G18,0))</f>
        <v/>
      </c>
      <c r="H22" s="117">
        <f>IF(H$4&gt;'C1 GEG Setting'!$C$6,"",IFERROR(H17/H18,0))</f>
        <v/>
      </c>
      <c r="I22" s="117">
        <f>IF(I$4&gt;'C1 GEG Setting'!$C$6,"",IFERROR(I17/I18,0))</f>
        <v/>
      </c>
      <c r="J22" s="117">
        <f>IF(J$4&gt;'C1 GEG Setting'!$C$6,"",IFERROR(J17/J18,0))</f>
        <v/>
      </c>
      <c r="K22" s="117">
        <f>IF(K$4&gt;'C1 GEG Setting'!$C$6,"",IFERROR(K17/K18,0))</f>
        <v/>
      </c>
      <c r="L22" s="117">
        <f>IF(L$4&gt;'C1 GEG Setting'!$C$6,"",IFERROR(L17/L18,0))</f>
        <v/>
      </c>
      <c r="M22" s="117">
        <f>IF(M$4&gt;'C1 GEG Setting'!$C$6,"",IFERROR(M17/M18,0))</f>
        <v/>
      </c>
      <c r="N22" s="117">
        <f>IF(N$4&gt;'C1 GEG Setting'!$C$6,"",IFERROR(N17/N18,0))</f>
        <v/>
      </c>
      <c r="O22" s="117">
        <f>IF(O$4&gt;'C1 GEG Setting'!$C$6,"",IFERROR(O17/O18,0))</f>
        <v/>
      </c>
    </row>
    <row r="23">
      <c r="A23" s="48" t="inlineStr">
        <is>
          <t>Net debt ÷ EBITDA disetahunkan</t>
        </is>
      </c>
      <c r="B23" s="49" t="inlineStr">
        <is>
          <t>x</t>
        </is>
      </c>
      <c r="C23" s="116" t="n">
        <v>3</v>
      </c>
      <c r="D23" s="117">
        <f>IF(D$4&gt;'C1 GEG Setting'!$C$6,"",IFERROR((D12-'C6 GEG Neraca Aktual'!D8)/(D17*12/D$4),0))</f>
        <v/>
      </c>
      <c r="E23" s="117">
        <f>IF(E$4&gt;'C1 GEG Setting'!$C$6,"",IFERROR((E12-'C6 GEG Neraca Aktual'!E8)/(E17*12/E$4),0))</f>
        <v/>
      </c>
      <c r="F23" s="117">
        <f>IF(F$4&gt;'C1 GEG Setting'!$C$6,"",IFERROR((F12-'C6 GEG Neraca Aktual'!F8)/(F17*12/F$4),0))</f>
        <v/>
      </c>
      <c r="G23" s="117">
        <f>IF(G$4&gt;'C1 GEG Setting'!$C$6,"",IFERROR((G12-'C6 GEG Neraca Aktual'!G8)/(G17*12/G$4),0))</f>
        <v/>
      </c>
      <c r="H23" s="117">
        <f>IF(H$4&gt;'C1 GEG Setting'!$C$6,"",IFERROR((H12-'C6 GEG Neraca Aktual'!H8)/(H17*12/H$4),0))</f>
        <v/>
      </c>
      <c r="I23" s="117">
        <f>IF(I$4&gt;'C1 GEG Setting'!$C$6,"",IFERROR((I12-'C6 GEG Neraca Aktual'!I8)/(I17*12/I$4),0))</f>
        <v/>
      </c>
      <c r="J23" s="117">
        <f>IF(J$4&gt;'C1 GEG Setting'!$C$6,"",IFERROR((J12-'C6 GEG Neraca Aktual'!J8)/(J17*12/J$4),0))</f>
        <v/>
      </c>
      <c r="K23" s="117">
        <f>IF(K$4&gt;'C1 GEG Setting'!$C$6,"",IFERROR((K12-'C6 GEG Neraca Aktual'!K8)/(K17*12/K$4),0))</f>
        <v/>
      </c>
      <c r="L23" s="117">
        <f>IF(L$4&gt;'C1 GEG Setting'!$C$6,"",IFERROR((L12-'C6 GEG Neraca Aktual'!L8)/(L17*12/L$4),0))</f>
        <v/>
      </c>
      <c r="M23" s="117">
        <f>IF(M$4&gt;'C1 GEG Setting'!$C$6,"",IFERROR((M12-'C6 GEG Neraca Aktual'!M8)/(M17*12/M$4),0))</f>
        <v/>
      </c>
      <c r="N23" s="117">
        <f>IF(N$4&gt;'C1 GEG Setting'!$C$6,"",IFERROR((N12-'C6 GEG Neraca Aktual'!N8)/(N17*12/N$4),0))</f>
        <v/>
      </c>
      <c r="O23" s="117">
        <f>IF(O$4&gt;'C1 GEG Setting'!$C$6,"",IFERROR((O12-'C6 GEG Neraca Aktual'!O8)/(O17*12/O$4),0))</f>
        <v/>
      </c>
    </row>
    <row r="24"/>
    <row r="25">
      <c r="A25" s="4" t="inlineStr">
        <is>
          <t>HASIL KEPATUHAN (MEET / NOT MEET)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10" t="inlineStr">
        <is>
          <t>Adjusted current ratio ≥ batas</t>
        </is>
      </c>
      <c r="C26" s="110">
        <f>C10</f>
        <v/>
      </c>
      <c r="D26" s="11">
        <f>IF(D10="","",IF(D10&gt;=$C10,"MEET","NOT MEET"))</f>
        <v/>
      </c>
      <c r="E26" s="11">
        <f>IF(E10="","",IF(E10&gt;=$C10,"MEET","NOT MEET"))</f>
        <v/>
      </c>
      <c r="F26" s="11">
        <f>IF(F10="","",IF(F10&gt;=$C10,"MEET","NOT MEET"))</f>
        <v/>
      </c>
      <c r="G26" s="11">
        <f>IF(G10="","",IF(G10&gt;=$C10,"MEET","NOT MEET"))</f>
        <v/>
      </c>
      <c r="H26" s="11">
        <f>IF(H10="","",IF(H10&gt;=$C10,"MEET","NOT MEET"))</f>
        <v/>
      </c>
      <c r="I26" s="11">
        <f>IF(I10="","",IF(I10&gt;=$C10,"MEET","NOT MEET"))</f>
        <v/>
      </c>
      <c r="J26" s="11">
        <f>IF(J10="","",IF(J10&gt;=$C10,"MEET","NOT MEET"))</f>
        <v/>
      </c>
      <c r="K26" s="11">
        <f>IF(K10="","",IF(K10&gt;=$C10,"MEET","NOT MEET"))</f>
        <v/>
      </c>
      <c r="L26" s="11">
        <f>IF(L10="","",IF(L10&gt;=$C10,"MEET","NOT MEET"))</f>
        <v/>
      </c>
      <c r="M26" s="11">
        <f>IF(M10="","",IF(M10&gt;=$C10,"MEET","NOT MEET"))</f>
        <v/>
      </c>
      <c r="N26" s="11">
        <f>IF(N10="","",IF(N10&gt;=$C10,"MEET","NOT MEET"))</f>
        <v/>
      </c>
      <c r="O26" s="11">
        <f>IF(O10="","",IF(O10&gt;=$C10,"MEET","NOT MEET"))</f>
        <v/>
      </c>
    </row>
    <row r="27">
      <c r="A27" s="10" t="inlineStr">
        <is>
          <t>Debt to tangible net worth ≤ batas</t>
        </is>
      </c>
      <c r="C27" s="110">
        <f>C15</f>
        <v/>
      </c>
      <c r="D27" s="11">
        <f>IF(D15="","",IF(AND(D15&gt;=0,D15&lt;=$C15),"MEET","NOT MEET"))</f>
        <v/>
      </c>
      <c r="E27" s="11">
        <f>IF(E15="","",IF(AND(E15&gt;=0,E15&lt;=$C15),"MEET","NOT MEET"))</f>
        <v/>
      </c>
      <c r="F27" s="11">
        <f>IF(F15="","",IF(AND(F15&gt;=0,F15&lt;=$C15),"MEET","NOT MEET"))</f>
        <v/>
      </c>
      <c r="G27" s="11">
        <f>IF(G15="","",IF(AND(G15&gt;=0,G15&lt;=$C15),"MEET","NOT MEET"))</f>
        <v/>
      </c>
      <c r="H27" s="11">
        <f>IF(H15="","",IF(AND(H15&gt;=0,H15&lt;=$C15),"MEET","NOT MEET"))</f>
        <v/>
      </c>
      <c r="I27" s="11">
        <f>IF(I15="","",IF(AND(I15&gt;=0,I15&lt;=$C15),"MEET","NOT MEET"))</f>
        <v/>
      </c>
      <c r="J27" s="11">
        <f>IF(J15="","",IF(AND(J15&gt;=0,J15&lt;=$C15),"MEET","NOT MEET"))</f>
        <v/>
      </c>
      <c r="K27" s="11">
        <f>IF(K15="","",IF(AND(K15&gt;=0,K15&lt;=$C15),"MEET","NOT MEET"))</f>
        <v/>
      </c>
      <c r="L27" s="11">
        <f>IF(L15="","",IF(AND(L15&gt;=0,L15&lt;=$C15),"MEET","NOT MEET"))</f>
        <v/>
      </c>
      <c r="M27" s="11">
        <f>IF(M15="","",IF(AND(M15&gt;=0,M15&lt;=$C15),"MEET","NOT MEET"))</f>
        <v/>
      </c>
      <c r="N27" s="11">
        <f>IF(N15="","",IF(AND(N15&gt;=0,N15&lt;=$C15),"MEET","NOT MEET"))</f>
        <v/>
      </c>
      <c r="O27" s="11">
        <f>IF(O15="","",IF(AND(O15&gt;=0,O15&lt;=$C15),"MEET","NOT MEET"))</f>
        <v/>
      </c>
    </row>
    <row r="28">
      <c r="A28" s="10" t="inlineStr">
        <is>
          <t>Debt service coverage ratio (EBITDA ÷ debt service) ≥ batas</t>
        </is>
      </c>
      <c r="C28" s="110">
        <f>C21</f>
        <v/>
      </c>
      <c r="D28" s="11">
        <f>IF(D21="","",IF(D21&gt;=$C21,"MEET","NOT MEET"))</f>
        <v/>
      </c>
      <c r="E28" s="11">
        <f>IF(E21="","",IF(E21&gt;=$C21,"MEET","NOT MEET"))</f>
        <v/>
      </c>
      <c r="F28" s="11">
        <f>IF(F21="","",IF(F21&gt;=$C21,"MEET","NOT MEET"))</f>
        <v/>
      </c>
      <c r="G28" s="11">
        <f>IF(G21="","",IF(G21&gt;=$C21,"MEET","NOT MEET"))</f>
        <v/>
      </c>
      <c r="H28" s="11">
        <f>IF(H21="","",IF(H21&gt;=$C21,"MEET","NOT MEET"))</f>
        <v/>
      </c>
      <c r="I28" s="11">
        <f>IF(I21="","",IF(I21&gt;=$C21,"MEET","NOT MEET"))</f>
        <v/>
      </c>
      <c r="J28" s="11">
        <f>IF(J21="","",IF(J21&gt;=$C21,"MEET","NOT MEET"))</f>
        <v/>
      </c>
      <c r="K28" s="11">
        <f>IF(K21="","",IF(K21&gt;=$C21,"MEET","NOT MEET"))</f>
        <v/>
      </c>
      <c r="L28" s="11">
        <f>IF(L21="","",IF(L21&gt;=$C21,"MEET","NOT MEET"))</f>
        <v/>
      </c>
      <c r="M28" s="11">
        <f>IF(M21="","",IF(M21&gt;=$C21,"MEET","NOT MEET"))</f>
        <v/>
      </c>
      <c r="N28" s="11">
        <f>IF(N21="","",IF(N21&gt;=$C21,"MEET","NOT MEET"))</f>
        <v/>
      </c>
      <c r="O28" s="11">
        <f>IF(O21="","",IF(O21&gt;=$C21,"MEET","NOT MEET"))</f>
        <v/>
      </c>
    </row>
    <row r="29">
      <c r="A29" s="10" t="inlineStr">
        <is>
          <t>Interest coverage ratio (EBITDA ÷ bunga) ≥ batas</t>
        </is>
      </c>
      <c r="C29" s="110">
        <f>C22</f>
        <v/>
      </c>
      <c r="D29" s="11">
        <f>IF(D22="","",IF(D22&gt;=$C22,"MEET","NOT MEET"))</f>
        <v/>
      </c>
      <c r="E29" s="11">
        <f>IF(E22="","",IF(E22&gt;=$C22,"MEET","NOT MEET"))</f>
        <v/>
      </c>
      <c r="F29" s="11">
        <f>IF(F22="","",IF(F22&gt;=$C22,"MEET","NOT MEET"))</f>
        <v/>
      </c>
      <c r="G29" s="11">
        <f>IF(G22="","",IF(G22&gt;=$C22,"MEET","NOT MEET"))</f>
        <v/>
      </c>
      <c r="H29" s="11">
        <f>IF(H22="","",IF(H22&gt;=$C22,"MEET","NOT MEET"))</f>
        <v/>
      </c>
      <c r="I29" s="11">
        <f>IF(I22="","",IF(I22&gt;=$C22,"MEET","NOT MEET"))</f>
        <v/>
      </c>
      <c r="J29" s="11">
        <f>IF(J22="","",IF(J22&gt;=$C22,"MEET","NOT MEET"))</f>
        <v/>
      </c>
      <c r="K29" s="11">
        <f>IF(K22="","",IF(K22&gt;=$C22,"MEET","NOT MEET"))</f>
        <v/>
      </c>
      <c r="L29" s="11">
        <f>IF(L22="","",IF(L22&gt;=$C22,"MEET","NOT MEET"))</f>
        <v/>
      </c>
      <c r="M29" s="11">
        <f>IF(M22="","",IF(M22&gt;=$C22,"MEET","NOT MEET"))</f>
        <v/>
      </c>
      <c r="N29" s="11">
        <f>IF(N22="","",IF(N22&gt;=$C22,"MEET","NOT MEET"))</f>
        <v/>
      </c>
      <c r="O29" s="11">
        <f>IF(O22="","",IF(O22&gt;=$C22,"MEET","NOT MEET"))</f>
        <v/>
      </c>
    </row>
    <row r="30">
      <c r="A30" s="10" t="inlineStr">
        <is>
          <t>Net debt ÷ EBITDA disetahunkan ≤ batas</t>
        </is>
      </c>
      <c r="C30" s="110">
        <f>C23</f>
        <v/>
      </c>
      <c r="D30" s="11">
        <f>IF(D23="","",IF(AND(D23&gt;=0,D23&lt;=$C23),"MEET","NOT MEET"))</f>
        <v/>
      </c>
      <c r="E30" s="11">
        <f>IF(E23="","",IF(AND(E23&gt;=0,E23&lt;=$C23),"MEET","NOT MEET"))</f>
        <v/>
      </c>
      <c r="F30" s="11">
        <f>IF(F23="","",IF(AND(F23&gt;=0,F23&lt;=$C23),"MEET","NOT MEET"))</f>
        <v/>
      </c>
      <c r="G30" s="11">
        <f>IF(G23="","",IF(AND(G23&gt;=0,G23&lt;=$C23),"MEET","NOT MEET"))</f>
        <v/>
      </c>
      <c r="H30" s="11">
        <f>IF(H23="","",IF(AND(H23&gt;=0,H23&lt;=$C23),"MEET","NOT MEET"))</f>
        <v/>
      </c>
      <c r="I30" s="11">
        <f>IF(I23="","",IF(AND(I23&gt;=0,I23&lt;=$C23),"MEET","NOT MEET"))</f>
        <v/>
      </c>
      <c r="J30" s="11">
        <f>IF(J23="","",IF(AND(J23&gt;=0,J23&lt;=$C23),"MEET","NOT MEET"))</f>
        <v/>
      </c>
      <c r="K30" s="11">
        <f>IF(K23="","",IF(AND(K23&gt;=0,K23&lt;=$C23),"MEET","NOT MEET"))</f>
        <v/>
      </c>
      <c r="L30" s="11">
        <f>IF(L23="","",IF(AND(L23&gt;=0,L23&lt;=$C23),"MEET","NOT MEET"))</f>
        <v/>
      </c>
      <c r="M30" s="11">
        <f>IF(M23="","",IF(AND(M23&gt;=0,M23&lt;=$C23),"MEET","NOT MEET"))</f>
        <v/>
      </c>
      <c r="N30" s="11">
        <f>IF(N23="","",IF(AND(N23&gt;=0,N23&lt;=$C23),"MEET","NOT MEET"))</f>
        <v/>
      </c>
      <c r="O30" s="11">
        <f>IF(O23="","",IF(AND(O23&gt;=0,O23&lt;=$C23),"MEET","NOT MEET"))</f>
        <v/>
      </c>
    </row>
    <row r="31"/>
    <row r="32">
      <c r="A32" s="3" t="inlineStr">
        <is>
          <t>Covenant diuji sesuai perjanjian kredit (umumnya semesteran/tahunan atas LK audit); pemantauan bulanan ini sebagai peringatan dini.</t>
        </is>
      </c>
    </row>
  </sheetData>
  <conditionalFormatting sqref="D26:O30">
    <cfRule type="cellIs" priority="1" operator="equal" dxfId="0">
      <formula>"MEET"</formula>
    </cfRule>
    <cfRule type="cellIs" priority="2" operator="equal" dxfId="1">
      <formula>"NOT MEET"</formula>
    </cfRule>
  </conditionalFormatting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K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52" customWidth="1" min="4" max="4"/>
    <col width="2" customWidth="1" min="5" max="5"/>
    <col width="2" customWidth="1" min="6" max="6"/>
    <col width="12" customWidth="1" min="7" max="7"/>
    <col width="12" customWidth="1" min="8" max="8"/>
  </cols>
  <sheetData>
    <row r="1">
      <c r="A1" s="1" t="inlineStr">
        <is>
          <t>GEG – Bridge EBITDA: Budget → Aktual (Bulan Ini &amp; YTD)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>
        <f>"Bulan laporan: "&amp;'C1 GEG Setting'!$C$7&amp;" "&amp;'C1 GEG Setting'!$C$5&amp;" | Padanan sheet 'Bridge AAT': memisahkan efek volume, harga, kurs dan tiap kelompok biaya"</f>
        <v/>
      </c>
    </row>
    <row r="3"/>
    <row r="4">
      <c r="A4" s="16" t="inlineStr">
        <is>
          <t>Komponen bridge</t>
        </is>
      </c>
      <c r="B4" s="16" t="inlineStr">
        <is>
          <t>Bulan ini (Rp juta)</t>
        </is>
      </c>
      <c r="C4" s="16" t="inlineStr">
        <is>
          <t>YTD (Rp juta)</t>
        </is>
      </c>
      <c r="D4" s="16" t="inlineStr">
        <is>
          <t>Penjelasan</t>
        </is>
      </c>
      <c r="E4" s="16" t="inlineStr"/>
      <c r="F4" s="16" t="inlineStr"/>
      <c r="G4" s="118" t="inlineStr">
        <is>
          <t>Grafik: +</t>
        </is>
      </c>
      <c r="H4" s="118" t="inlineStr">
        <is>
          <t>Grafik: –</t>
        </is>
      </c>
    </row>
    <row r="5">
      <c r="A5" s="48" t="inlineStr">
        <is>
          <t>EBITDA Budget</t>
        </is>
      </c>
      <c r="B5" s="50">
        <f>'C8 GEG Lap LR'!E85</f>
        <v/>
      </c>
      <c r="C5" s="50">
        <f>'C8 GEG Lap LR'!K85</f>
        <v/>
      </c>
      <c r="D5" s="49" t="inlineStr">
        <is>
          <t>Titik awal</t>
        </is>
      </c>
    </row>
    <row r="6">
      <c r="A6" s="10" t="inlineStr">
        <is>
          <t>Efek volume penjualan</t>
        </is>
      </c>
      <c r="B6" s="28">
        <f>('C9 GEG Lap Ops'!D18-'C9 GEG Lap Ops'!E18)*'C8 GEG Lap LR'!E10/'C9 GEG Lap Ops'!E18</f>
        <v/>
      </c>
      <c r="C6" s="28">
        <f>('C9 GEG Lap Ops'!J18-'C9 GEG Lap Ops'!K18)*'C8 GEG Lap LR'!K10/'C9 GEG Lap Ops'!K18</f>
        <v/>
      </c>
      <c r="D6" s="3" t="inlineStr">
        <is>
          <t>Δton × harga/ton budget</t>
        </is>
      </c>
      <c r="G6" s="119">
        <f>MAX(0,C6)</f>
        <v/>
      </c>
      <c r="H6" s="119">
        <f>MIN(0,C6)</f>
        <v/>
      </c>
    </row>
    <row r="7">
      <c r="A7" s="10" t="inlineStr">
        <is>
          <t>Efek harga jual (USD)</t>
        </is>
      </c>
      <c r="B7" s="28">
        <f>'C9 GEG Lap Ops'!D18*('C8 GEG Lap LR'!D10/'C9 GEG Lap Ops'!D18/'C9 GEG Lap Ops'!D24-'C8 GEG Lap LR'!E10/'C9 GEG Lap Ops'!E18/'C9 GEG Lap Ops'!E24)*'C9 GEG Lap Ops'!E24</f>
        <v/>
      </c>
      <c r="C7" s="28">
        <f>'C9 GEG Lap Ops'!J18*('C8 GEG Lap LR'!J10/'C9 GEG Lap Ops'!J18/'C9 GEG Lap Ops'!J24-'C8 GEG Lap LR'!K10/'C9 GEG Lap Ops'!K18/'C9 GEG Lap Ops'!K24)*'C9 GEG Lap Ops'!K24</f>
        <v/>
      </c>
      <c r="D7" s="3" t="inlineStr">
        <is>
          <t>Ton aktual × ΔUSD/t × kurs budget</t>
        </is>
      </c>
      <c r="G7" s="119">
        <f>MAX(0,C7)</f>
        <v/>
      </c>
      <c r="H7" s="119">
        <f>MIN(0,C7)</f>
        <v/>
      </c>
    </row>
    <row r="8">
      <c r="A8" s="10" t="inlineStr">
        <is>
          <t>Efek kurs</t>
        </is>
      </c>
      <c r="B8" s="28">
        <f>'C8 GEG Lap LR'!D10*(1-'C9 GEG Lap Ops'!E24/'C9 GEG Lap Ops'!D24)</f>
        <v/>
      </c>
      <c r="C8" s="28">
        <f>'C8 GEG Lap LR'!J10*(1-'C9 GEG Lap Ops'!K24/'C9 GEG Lap Ops'!J24)</f>
        <v/>
      </c>
      <c r="D8" s="3" t="inlineStr">
        <is>
          <t>Pendapatan aktual × Δkurs</t>
        </is>
      </c>
      <c r="G8" s="119">
        <f>MAX(0,C8)</f>
        <v/>
      </c>
      <c r="H8" s="119">
        <f>MIN(0,C8)</f>
        <v/>
      </c>
    </row>
    <row r="9">
      <c r="A9" s="10" t="inlineStr">
        <is>
          <t>Penalti kualitas &amp; pendapatan jasa</t>
        </is>
      </c>
      <c r="B9" s="28">
        <f>('C8 GEG Lap LR'!D11+'C8 GEG Lap LR'!D12)-('C8 GEG Lap LR'!E11+'C8 GEG Lap LR'!E12)</f>
        <v/>
      </c>
      <c r="C9" s="28">
        <f>('C8 GEG Lap LR'!J11+'C8 GEG Lap LR'!J12)-('C8 GEG Lap LR'!K11+'C8 GEG Lap LR'!K12)</f>
        <v/>
      </c>
      <c r="D9" s="3" t="inlineStr">
        <is>
          <t>Kualitas produk &amp; utilisasi aset</t>
        </is>
      </c>
      <c r="G9" s="119">
        <f>MAX(0,C9)</f>
        <v/>
      </c>
      <c r="H9" s="119">
        <f>MIN(0,C9)</f>
        <v/>
      </c>
    </row>
    <row r="10">
      <c r="A10" s="10" t="inlineStr">
        <is>
          <t>Biaya penambangan</t>
        </is>
      </c>
      <c r="B10" s="28">
        <f>-('C8 GEG Lap LR'!D24-'C8 GEG Lap LR'!E24)</f>
        <v/>
      </c>
      <c r="C10" s="28">
        <f>-('C8 GEG Lap LR'!J24-'C8 GEG Lap LR'!K24)</f>
        <v/>
      </c>
      <c r="D10" s="3" t="inlineStr">
        <is>
          <t>OB, BBM, peledakan, coal getting, biaya tetap tambang</t>
        </is>
      </c>
      <c r="G10" s="119">
        <f>MAX(0,C10)</f>
        <v/>
      </c>
      <c r="H10" s="119">
        <f>MIN(0,C10)</f>
        <v/>
      </c>
    </row>
    <row r="11">
      <c r="A11" s="10" t="inlineStr">
        <is>
          <t>Pengolahan &amp; logistik</t>
        </is>
      </c>
      <c r="B11" s="28">
        <f>-('C8 GEG Lap LR'!D30-'C8 GEG Lap LR'!E30)</f>
        <v/>
      </c>
      <c r="C11" s="28">
        <f>-('C8 GEG Lap LR'!J30-'C8 GEG Lap LR'!K30)</f>
        <v/>
      </c>
      <c r="D11" s="3" t="inlineStr">
        <is>
          <t>CPP, hauling, pelabuhan, barging</t>
        </is>
      </c>
      <c r="G11" s="119">
        <f>MAX(0,C11)</f>
        <v/>
      </c>
      <c r="H11" s="119">
        <f>MIN(0,C11)</f>
        <v/>
      </c>
    </row>
    <row r="12">
      <c r="A12" s="10" t="inlineStr">
        <is>
          <t>Royalti / PNBP</t>
        </is>
      </c>
      <c r="B12" s="28">
        <f>-('C8 GEG Lap LR'!D32-'C8 GEG Lap LR'!E32)</f>
        <v/>
      </c>
      <c r="C12" s="28">
        <f>-('C8 GEG Lap LR'!J32-'C8 GEG Lap LR'!K32)</f>
        <v/>
      </c>
      <c r="D12" s="3" t="inlineStr">
        <is>
          <t>Mengikuti harga &amp; volume</t>
        </is>
      </c>
      <c r="G12" s="119">
        <f>MAX(0,C12)</f>
        <v/>
      </c>
      <c r="H12" s="119">
        <f>MIN(0,C12)</f>
        <v/>
      </c>
    </row>
    <row r="13">
      <c r="A13" s="10" t="inlineStr">
        <is>
          <t>Overhead site</t>
        </is>
      </c>
      <c r="B13" s="28">
        <f>-('C8 GEG Lap LR'!D40-'C8 GEG Lap LR'!E40)</f>
        <v/>
      </c>
      <c r="C13" s="28">
        <f>-('C8 GEG Lap LR'!J40-'C8 GEG Lap LR'!K40)</f>
        <v/>
      </c>
      <c r="D13" s="3" t="inlineStr"/>
      <c r="G13" s="119">
        <f>MAX(0,C13)</f>
        <v/>
      </c>
      <c r="H13" s="119">
        <f>MIN(0,C13)</f>
        <v/>
      </c>
    </row>
    <row r="14">
      <c r="A14" s="10" t="inlineStr">
        <is>
          <t>Perubahan persediaan</t>
        </is>
      </c>
      <c r="B14" s="28">
        <f>-('C8 GEG Lap LR'!D47-'C8 GEG Lap LR'!E47)</f>
        <v/>
      </c>
      <c r="C14" s="28">
        <f>-('C8 GEG Lap LR'!J47-'C8 GEG Lap LR'!K47)</f>
        <v/>
      </c>
      <c r="D14" s="3" t="inlineStr">
        <is>
          <t>Selisih produksi vs penjualan</t>
        </is>
      </c>
      <c r="G14" s="119">
        <f>MAX(0,C14)</f>
        <v/>
      </c>
      <c r="H14" s="119">
        <f>MIN(0,C14)</f>
        <v/>
      </c>
    </row>
    <row r="15">
      <c r="A15" s="10" t="inlineStr">
        <is>
          <t>Beban penjualan</t>
        </is>
      </c>
      <c r="B15" s="28">
        <f>-('C8 GEG Lap LR'!D59-'C8 GEG Lap LR'!E59)</f>
        <v/>
      </c>
      <c r="C15" s="28">
        <f>-('C8 GEG Lap LR'!J59-'C8 GEG Lap LR'!K59)</f>
        <v/>
      </c>
      <c r="D15" s="3" t="inlineStr"/>
      <c r="G15" s="119">
        <f>MAX(0,C15)</f>
        <v/>
      </c>
      <c r="H15" s="119">
        <f>MIN(0,C15)</f>
        <v/>
      </c>
    </row>
    <row r="16">
      <c r="A16" s="10" t="inlineStr">
        <is>
          <t>G&amp;A excl. penyusutan</t>
        </is>
      </c>
      <c r="B16" s="28">
        <f>-(('C8 GEG Lap LR'!D70-'C8 GEG Lap LR'!D68)-('C8 GEG Lap LR'!E70-'C8 GEG Lap LR'!E68))</f>
        <v/>
      </c>
      <c r="C16" s="28">
        <f>-(('C8 GEG Lap LR'!J70-'C8 GEG Lap LR'!J68)-('C8 GEG Lap LR'!K70-'C8 GEG Lap LR'!K68))</f>
        <v/>
      </c>
      <c r="D16" s="3" t="inlineStr"/>
      <c r="G16" s="119">
        <f>MAX(0,C16)</f>
        <v/>
      </c>
      <c r="H16" s="119">
        <f>MIN(0,C16)</f>
        <v/>
      </c>
    </row>
    <row r="17">
      <c r="A17" s="48" t="inlineStr">
        <is>
          <t>EBITDA Aktual (hasil bridge)</t>
        </is>
      </c>
      <c r="B17" s="58">
        <f>SUM(B5:B16)</f>
        <v/>
      </c>
      <c r="C17" s="58">
        <f>SUM(C5:C16)</f>
        <v/>
      </c>
      <c r="D17" s="49" t="inlineStr"/>
    </row>
    <row r="18">
      <c r="A18" s="37" t="inlineStr">
        <is>
          <t>Cek vs laporan laba rugi C8 (harus 0)</t>
        </is>
      </c>
      <c r="B18" s="111">
        <f>ROUND(B17-'C8 GEG Lap LR'!D85,0)</f>
        <v/>
      </c>
      <c r="C18" s="111">
        <f>ROUND(C17-'C8 GEG Lap LR'!J85,0)</f>
        <v/>
      </c>
      <c r="D18" s="3" t="inlineStr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>
      <c r="A42" s="3" t="inlineStr">
        <is>
          <t>Angka positif (hijau) menambah EBITDA dibanding budget; negatif (merah) mengurangi. Efek harga &amp; kurs = faktor pasar; biaya = faktor yang dikendalikan manajemen.</t>
        </is>
      </c>
    </row>
  </sheetData>
  <conditionalFormatting sqref="B6:B16">
    <cfRule type="cellIs" priority="1" operator="lessThan" dxfId="6">
      <formula>0</formula>
    </cfRule>
    <cfRule type="cellIs" priority="2" operator="greaterThan" dxfId="8">
      <formula>0</formula>
    </cfRule>
  </conditionalFormatting>
  <conditionalFormatting sqref="C6:C16">
    <cfRule type="cellIs" priority="3" operator="lessThan" dxfId="6">
      <formula>0</formula>
    </cfRule>
    <cfRule type="cellIs" priority="4" operator="greaterThan" dxfId="8">
      <formula>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2" customWidth="1" min="3" max="3"/>
    <col width="18" customWidth="1" min="4" max="4"/>
    <col width="14" customWidth="1" min="5" max="5"/>
    <col width="60" customWidth="1" min="6" max="6"/>
  </cols>
  <sheetData>
    <row r="1">
      <c r="A1" s="1" t="inlineStr">
        <is>
          <t>GEG – Kontrol &amp; Rekonsiliasi Data (checklist sebelum laporan dikirim)</t>
        </is>
      </c>
      <c r="B1" s="2" t="n"/>
      <c r="C1" s="2" t="n"/>
      <c r="D1" s="2" t="n"/>
      <c r="E1" s="2" t="n"/>
      <c r="F1" s="2" t="n"/>
    </row>
    <row r="2">
      <c r="A2" s="3" t="inlineStr">
        <is>
          <t>Padanan sheet "Check" di MIS AAT. Semua baris harus berstatus OK sebelum paket laporan bulanan dikirim ke Direksi.</t>
        </is>
      </c>
    </row>
    <row r="4">
      <c r="A4" s="16" t="inlineStr">
        <is>
          <t>No</t>
        </is>
      </c>
      <c r="B4" s="16" t="inlineStr">
        <is>
          <t>Sheet</t>
        </is>
      </c>
      <c r="C4" s="16" t="inlineStr">
        <is>
          <t>Kontrol</t>
        </is>
      </c>
      <c r="D4" s="16" t="inlineStr">
        <is>
          <t>Nilai selisih / jumlah</t>
        </is>
      </c>
      <c r="E4" s="16" t="inlineStr">
        <is>
          <t>Status</t>
        </is>
      </c>
      <c r="F4" s="16" t="inlineStr">
        <is>
          <t>Tindakan bila CEK</t>
        </is>
      </c>
    </row>
    <row r="5">
      <c r="A5" s="61" t="n">
        <v>1</v>
      </c>
      <c r="B5" s="8" t="inlineStr">
        <is>
          <t>A3 Neraca Contoh</t>
        </is>
      </c>
      <c r="C5" s="10" t="inlineStr">
        <is>
          <t>Cek keseimbangan (harus 0)</t>
        </is>
      </c>
      <c r="D5" s="28">
        <f>IFERROR(MAX(ABS(MAX('A3 Neraca Contoh'!D54:E54)),ABS(MIN('A3 Neraca Contoh'!D54:E54))),0)</f>
        <v/>
      </c>
      <c r="E5" s="120">
        <f>IF(ROUND(D5,2)=0,"OK","CEK")</f>
        <v/>
      </c>
      <c r="F5" s="3" t="inlineStr">
        <is>
          <t>Telusuri baris kontrol di sheet terkait; perbaiki input/mapping lalu cek ulang.</t>
        </is>
      </c>
    </row>
    <row r="6">
      <c r="A6" s="61" t="n">
        <v>2</v>
      </c>
      <c r="B6" s="8" t="inlineStr">
        <is>
          <t>B4 Efisiensi Biaya</t>
        </is>
      </c>
      <c r="C6" s="10" t="inlineStr">
        <is>
          <t>Cek: Δ total = efek volume + efek tarif (harus 0)</t>
        </is>
      </c>
      <c r="D6" s="28">
        <f>IFERROR(MAX(ABS(MAX('B4 Efisiensi Biaya'!J21:J21)),ABS(MIN('B4 Efisiensi Biaya'!J21:J21))),0)</f>
        <v/>
      </c>
      <c r="E6" s="120">
        <f>IF(ROUND(D6,2)=0,"OK","CEK")</f>
        <v/>
      </c>
      <c r="F6" s="3" t="inlineStr">
        <is>
          <t>Telusuri baris kontrol di sheet terkait; perbaiki input/mapping lalu cek ulang.</t>
        </is>
      </c>
    </row>
    <row r="7">
      <c r="A7" s="61" t="n">
        <v>3</v>
      </c>
      <c r="B7" s="8" t="inlineStr">
        <is>
          <t>C6 GEG Neraca Aktual</t>
        </is>
      </c>
      <c r="C7" s="10" t="inlineStr">
        <is>
          <t>Cek keseimbangan (harus 0)</t>
        </is>
      </c>
      <c r="D7" s="28">
        <f>IFERROR(MAX(ABS(MAX('C6 GEG Neraca Aktual'!D48:O48)),ABS(MIN('C6 GEG Neraca Aktual'!D48:O48))),0)</f>
        <v/>
      </c>
      <c r="E7" s="120">
        <f>IF(ROUND(D7,2)=0,"OK","CEK")</f>
        <v/>
      </c>
      <c r="F7" s="3" t="inlineStr">
        <is>
          <t>Telusuri baris kontrol di sheet terkait; perbaiki input/mapping lalu cek ulang.</t>
        </is>
      </c>
    </row>
    <row r="8">
      <c r="A8" s="61" t="n">
        <v>4</v>
      </c>
      <c r="B8" s="8" t="inlineStr">
        <is>
          <t>C7 GEG Arus Kas</t>
        </is>
      </c>
      <c r="C8" s="10" t="inlineStr">
        <is>
          <t>Cek vs kas di neraca (harus 0)</t>
        </is>
      </c>
      <c r="D8" s="28">
        <f>IFERROR(MAX(ABS(MAX('C7 GEG Arus Kas'!D42:P42)),ABS(MIN('C7 GEG Arus Kas'!D42:P42))),0)</f>
        <v/>
      </c>
      <c r="E8" s="120">
        <f>IF(ROUND(D8,2)=0,"OK","CEK")</f>
        <v/>
      </c>
      <c r="F8" s="3" t="inlineStr">
        <is>
          <t>Telusuri baris kontrol di sheet terkait; perbaiki input/mapping lalu cek ulang.</t>
        </is>
      </c>
    </row>
    <row r="9">
      <c r="A9" s="61" t="n">
        <v>5</v>
      </c>
      <c r="B9" s="8" t="inlineStr">
        <is>
          <t>C17 GEG Arus Kas Langsung</t>
        </is>
      </c>
      <c r="C9" s="10" t="inlineStr">
        <is>
          <t>Cek: kas akhir vs neraca C6 (harus 0)</t>
        </is>
      </c>
      <c r="D9" s="28">
        <f>IFERROR(MAX(ABS(MAX('C17 GEG Arus Kas Langsung'!D49:O49)),ABS(MIN('C17 GEG Arus Kas Langsung'!D49:O49))),0)</f>
        <v/>
      </c>
      <c r="E9" s="120">
        <f>IF(ROUND(D9,2)=0,"OK","CEK")</f>
        <v/>
      </c>
      <c r="F9" s="3" t="inlineStr">
        <is>
          <t>Telusuri baris kontrol di sheet terkait; perbaiki input/mapping lalu cek ulang.</t>
        </is>
      </c>
    </row>
    <row r="10">
      <c r="A10" s="61" t="n">
        <v>6</v>
      </c>
      <c r="B10" s="8" t="inlineStr">
        <is>
          <t>C13 GEG Financial Highlight</t>
        </is>
      </c>
      <c r="C10" s="10" t="inlineStr">
        <is>
          <t>Cek: EBITDA vs laporan laba rugi C8 (harus 0)</t>
        </is>
      </c>
      <c r="D10" s="28">
        <f>IFERROR(MAX(ABS(MAX('C13 GEG Financial Highlight'!D42:J42)),ABS(MIN('C13 GEG Financial Highlight'!D42:J42))),0)</f>
        <v/>
      </c>
      <c r="E10" s="120">
        <f>IF(ROUND(D10,2)=0,"OK","CEK")</f>
        <v/>
      </c>
      <c r="F10" s="3" t="inlineStr">
        <is>
          <t>Telusuri baris kontrol di sheet terkait; perbaiki input/mapping lalu cek ulang.</t>
        </is>
      </c>
    </row>
    <row r="11">
      <c r="A11" s="61" t="n">
        <v>7</v>
      </c>
      <c r="B11" s="8" t="inlineStr">
        <is>
          <t>C16 GEG Pit dan Pembeli</t>
        </is>
      </c>
      <c r="C11" s="10" t="inlineStr">
        <is>
          <t>Cek vs C3 (harus 0)</t>
        </is>
      </c>
      <c r="D11" s="28">
        <f>IFERROR(MAX(ABS(MAX('C16 GEG Pit dan Pembeli'!D12:O12)),ABS(MIN('C16 GEG Pit dan Pembeli'!D12:O12))),0)</f>
        <v/>
      </c>
      <c r="E11" s="120">
        <f>IF(ROUND(D11,2)=0,"OK","CEK")</f>
        <v/>
      </c>
      <c r="F11" s="3" t="inlineStr">
        <is>
          <t>Telusuri baris kontrol di sheet terkait; perbaiki input/mapping lalu cek ulang.</t>
        </is>
      </c>
    </row>
    <row r="12">
      <c r="A12" s="61" t="n">
        <v>8</v>
      </c>
      <c r="B12" s="8" t="inlineStr">
        <is>
          <t>C16 GEG Pit dan Pembeli</t>
        </is>
      </c>
      <c r="C12" s="10" t="inlineStr">
        <is>
          <t>Cek vs C3 (harus 0)</t>
        </is>
      </c>
      <c r="D12" s="28">
        <f>IFERROR(MAX(ABS(MAX('C16 GEG Pit dan Pembeli'!D20:O20)),ABS(MIN('C16 GEG Pit dan Pembeli'!D20:O20))),0)</f>
        <v/>
      </c>
      <c r="E12" s="120">
        <f>IF(ROUND(D12,2)=0,"OK","CEK")</f>
        <v/>
      </c>
      <c r="F12" s="3" t="inlineStr">
        <is>
          <t>Telusuri baris kontrol di sheet terkait; perbaiki input/mapping lalu cek ulang.</t>
        </is>
      </c>
    </row>
    <row r="13">
      <c r="A13" s="61" t="n">
        <v>9</v>
      </c>
      <c r="B13" s="8" t="inlineStr">
        <is>
          <t>C16 GEG Pit dan Pembeli</t>
        </is>
      </c>
      <c r="C13" s="10" t="inlineStr">
        <is>
          <t>Cek vs C3 (harus 0)</t>
        </is>
      </c>
      <c r="D13" s="28">
        <f>IFERROR(MAX(ABS(MAX('C16 GEG Pit dan Pembeli'!D35:O35)),ABS(MIN('C16 GEG Pit dan Pembeli'!D35:O35))),0)</f>
        <v/>
      </c>
      <c r="E13" s="120">
        <f>IF(ROUND(D13,2)=0,"OK","CEK")</f>
        <v/>
      </c>
      <c r="F13" s="3" t="inlineStr">
        <is>
          <t>Telusuri baris kontrol di sheet terkait; perbaiki input/mapping lalu cek ulang.</t>
        </is>
      </c>
    </row>
    <row r="14">
      <c r="A14" s="61" t="n">
        <v>10</v>
      </c>
      <c r="B14" s="8" t="inlineStr">
        <is>
          <t>C16 GEG Pit dan Pembeli</t>
        </is>
      </c>
      <c r="C14" s="10" t="inlineStr">
        <is>
          <t>Cek vs C3 (harus 0)</t>
        </is>
      </c>
      <c r="D14" s="28">
        <f>IFERROR(MAX(ABS(MAX('C16 GEG Pit dan Pembeli'!D39:O39)),ABS(MIN('C16 GEG Pit dan Pembeli'!D39:O39))),0)</f>
        <v/>
      </c>
      <c r="E14" s="120">
        <f>IF(ROUND(D14,2)=0,"OK","CEK")</f>
        <v/>
      </c>
      <c r="F14" s="3" t="inlineStr">
        <is>
          <t>Telusuri baris kontrol di sheet terkait; perbaiki input/mapping lalu cek ulang.</t>
        </is>
      </c>
    </row>
    <row r="15">
      <c r="A15" s="61" t="n">
        <v>11</v>
      </c>
      <c r="B15" s="8" t="inlineStr">
        <is>
          <t>C16 GEG Pit dan Pembeli</t>
        </is>
      </c>
      <c r="C15" s="10" t="inlineStr">
        <is>
          <t>Cek vs C3 (harus 0)</t>
        </is>
      </c>
      <c r="D15" s="28">
        <f>IFERROR(MAX(ABS(MAX('C16 GEG Pit dan Pembeli'!D43:O43)),ABS(MIN('C16 GEG Pit dan Pembeli'!D43:O43))),0)</f>
        <v/>
      </c>
      <c r="E15" s="120">
        <f>IF(ROUND(D15,2)=0,"OK","CEK")</f>
        <v/>
      </c>
      <c r="F15" s="3" t="inlineStr">
        <is>
          <t>Telusuri baris kontrol di sheet terkait; perbaiki input/mapping lalu cek ulang.</t>
        </is>
      </c>
    </row>
    <row r="16">
      <c r="A16" s="61" t="n">
        <v>12</v>
      </c>
      <c r="B16" s="8" t="inlineStr">
        <is>
          <t>C18 GEG Cost per BCM dan MT</t>
        </is>
      </c>
      <c r="C16" s="10" t="inlineStr">
        <is>
          <t>Cek: total efek – selisih cost OB per MT (harus 0)</t>
        </is>
      </c>
      <c r="D16" s="28">
        <f>IFERROR(MAX(ABS(MAX('C18 GEG Cost per BCM dan MT'!E59:J59)),ABS(MIN('C18 GEG Cost per BCM dan MT'!E59:J59))),0)</f>
        <v/>
      </c>
      <c r="E16" s="120">
        <f>IF(ROUND(D16,2)=0,"OK","CEK")</f>
        <v/>
      </c>
      <c r="F16" s="3" t="inlineStr">
        <is>
          <t>Telusuri baris kontrol di sheet terkait; perbaiki input/mapping lalu cek ulang.</t>
        </is>
      </c>
    </row>
    <row r="17">
      <c r="A17" s="61" t="n">
        <v>13</v>
      </c>
      <c r="B17" s="8" t="inlineStr">
        <is>
          <t>C19 GEG GL Trial Balance</t>
        </is>
      </c>
      <c r="C17" s="10" t="inlineStr">
        <is>
          <t>Selisih = akun belum dimapping (harus 0)</t>
        </is>
      </c>
      <c r="D17" s="28">
        <f>IFERROR(MAX(ABS(MAX('C19 GEG GL Trial Balance'!E406:AE406)),ABS(MIN('C19 GEG GL Trial Balance'!E406:AE406))),0)</f>
        <v/>
      </c>
      <c r="E17" s="120">
        <f>IF(ROUND(D17,2)=0,"OK","CEK")</f>
        <v/>
      </c>
      <c r="F17" s="3" t="inlineStr">
        <is>
          <t>Telusuri baris kontrol di sheet terkait; perbaiki input/mapping lalu cek ulang.</t>
        </is>
      </c>
    </row>
    <row r="18">
      <c r="A18" s="61" t="n">
        <v>14</v>
      </c>
      <c r="B18" s="8" t="inlineStr">
        <is>
          <t>C19 GEG GL Trial Balance</t>
        </is>
      </c>
      <c r="C18" s="10" t="inlineStr">
        <is>
          <t>Jumlah akun Posting tanpa Tag MIS (harus 0)</t>
        </is>
      </c>
      <c r="D18" s="28">
        <f>IFERROR(MAX(ABS(MAX('C19 GEG GL Trial Balance'!E407:E407)),ABS(MIN('C19 GEG GL Trial Balance'!E407:E407))),0)</f>
        <v/>
      </c>
      <c r="E18" s="120">
        <f>IF(ROUND(D18,2)=0,"OK","CEK")</f>
        <v/>
      </c>
      <c r="F18" s="3" t="inlineStr">
        <is>
          <t>Telusuri baris kontrol di sheet terkait; perbaiki input/mapping lalu cek ulang.</t>
        </is>
      </c>
    </row>
    <row r="19">
      <c r="A19" s="61" t="n">
        <v>15</v>
      </c>
      <c r="B19" s="8" t="inlineStr">
        <is>
          <t>C19 GEG GL Trial Balance</t>
        </is>
      </c>
      <c r="C19" s="10" t="inlineStr">
        <is>
          <t>Jumlah Tag MIS yang tidak dikenal di C5 (harus 0)</t>
        </is>
      </c>
      <c r="D19" s="28">
        <f>IFERROR(MAX(ABS(MAX('C19 GEG GL Trial Balance'!E408:E408)),ABS(MIN('C19 GEG GL Trial Balance'!E408:E408))),0)</f>
        <v/>
      </c>
      <c r="E19" s="120">
        <f>IF(ROUND(D19,2)=0,"OK","CEK")</f>
        <v/>
      </c>
      <c r="F19" s="3" t="inlineStr">
        <is>
          <t>Telusuri baris kontrol di sheet terkait; perbaiki input/mapping lalu cek ulang.</t>
        </is>
      </c>
    </row>
    <row r="20">
      <c r="A20" s="61" t="n">
        <v>16</v>
      </c>
      <c r="B20" s="8" t="inlineStr">
        <is>
          <t>C11 GEG KPI Scorecard</t>
        </is>
      </c>
      <c r="C20" s="10" t="inlineStr">
        <is>
          <t>Total bobot KPI = 100% (selisih harus 0)</t>
        </is>
      </c>
      <c r="D20" s="39">
        <f>ROUND(ABS('C11 GEG KPI Scorecard'!G41-1),6)</f>
        <v/>
      </c>
      <c r="E20" s="120">
        <f>IF(ROUND(D20,2)=0,"OK","CEK")</f>
        <v/>
      </c>
      <c r="F20" s="3" t="inlineStr">
        <is>
          <t>Telusuri baris kontrol di sheet terkait; perbaiki input/mapping lalu cek ulang.</t>
        </is>
      </c>
    </row>
    <row r="21">
      <c r="A21" s="61" t="n">
        <v>17</v>
      </c>
      <c r="B21" s="8" t="inlineStr">
        <is>
          <t>C20 GEG Covenant Bank</t>
        </is>
      </c>
      <c r="C21" s="10" t="inlineStr">
        <is>
          <t>Jumlah covenant NOT MEET bulan laporan (informasi)</t>
        </is>
      </c>
      <c r="D21" s="28">
        <f>SUMPRODUCT(--(INDEX('C20 GEG Covenant Bank'!$D$26:$O$30,0,'C1 GEG Setting'!$C$6)="NOT MEET"))</f>
        <v/>
      </c>
      <c r="E21" s="120">
        <f>IF(ROUND(D21,2)=0,"OK","PERHATIAN")</f>
        <v/>
      </c>
      <c r="F21" s="3" t="inlineStr">
        <is>
          <t>Bahas dengan Treasury &amp; bank bila berlanjut.</t>
        </is>
      </c>
    </row>
    <row r="23">
      <c r="C23" s="46" t="inlineStr">
        <is>
          <t>STATUS KESELURUHAN</t>
        </is>
      </c>
      <c r="E23" s="121">
        <f>IF(COUNTIF(E5:E21,"CEK")=0,"SIAP KIRIM","BELUM SIAP")</f>
        <v/>
      </c>
    </row>
  </sheetData>
  <conditionalFormatting sqref="E5:E21">
    <cfRule type="cellIs" priority="1" operator="equal" dxfId="0">
      <formula>"OK"</formula>
    </cfRule>
    <cfRule type="cellIs" priority="2" operator="equal" dxfId="1">
      <formula>"CEK"</formula>
    </cfRule>
    <cfRule type="cellIs" priority="3" operator="equal" dxfId="2">
      <formula>"PERHATIAN"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2026-09-28T09:02:26Z</dcterms:created>
  <dcterms:modified xmlns:dcterms="http://purl.org/dc/terms/" xmlns:xsi="http://www.w3.org/2001/XMLSchema-instance" xsi:type="dcterms:W3CDTF">2026-09-28T09:02:28Z</dcterms:modified>
</cp:coreProperties>
</file>