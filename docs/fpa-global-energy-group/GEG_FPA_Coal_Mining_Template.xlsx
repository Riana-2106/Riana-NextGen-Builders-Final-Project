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1 Asumsi Contoh" sheetId="2" state="visible" r:id="rId2"/>
    <sheet name="A2 Laba Rugi Contoh" sheetId="3" state="visible" r:id="rId3"/>
    <sheet name="A3 Neraca Contoh" sheetId="4" state="visible" r:id="rId4"/>
    <sheet name="A4 Arus Kas Contoh" sheetId="5" state="visible" r:id="rId5"/>
    <sheet name="B1 Struktur Rev-Cost" sheetId="6" state="visible" r:id="rId6"/>
    <sheet name="B2 COP dan KPI" sheetId="7" state="visible" r:id="rId7"/>
    <sheet name="B3 KPI Cost vs Revenue" sheetId="8" state="visible" r:id="rId8"/>
    <sheet name="B4 Efisiensi Biaya" sheetId="9" state="visible" r:id="rId9"/>
    <sheet name="B5 Benchmark Emiten" sheetId="10" state="visible" r:id="rId10"/>
    <sheet name="C0 GEG Petunjuk" sheetId="11" state="visible" r:id="rId11"/>
    <sheet name="C1 GEG Setting" sheetId="12" state="visible" r:id="rId12"/>
    <sheet name="C2 GEG Ops Budget" sheetId="13" state="visible" r:id="rId13"/>
    <sheet name="C3 GEG Ops Aktual" sheetId="14" state="visible" r:id="rId14"/>
    <sheet name="C4 GEG LR Budget" sheetId="15" state="visible" r:id="rId15"/>
    <sheet name="C5 GEG LR Aktual" sheetId="16" state="visible" r:id="rId16"/>
    <sheet name="C6 GEG Neraca Aktual" sheetId="17" state="visible" r:id="rId17"/>
    <sheet name="C7 GEG Arus Kas" sheetId="18" state="visible" r:id="rId18"/>
    <sheet name="C8 GEG Lap LR" sheetId="19" state="visible" r:id="rId19"/>
    <sheet name="C9 GEG Lap Ops" sheetId="20" state="visible" r:id="rId20"/>
    <sheet name="C10 GEG COP" sheetId="21" state="visible" r:id="rId21"/>
    <sheet name="C11 GEG KPI Scorecard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&quot;-&quot;"/>
    <numFmt numFmtId="165" formatCode="#,##0.00;(#,##0.00);&quot;-&quot;"/>
    <numFmt numFmtId="166" formatCode="0.0%;(0.0%);&quot;-&quot;"/>
    <numFmt numFmtId="167" formatCode="#,##0.000;(#,##0.000);&quot;-&quot;"/>
    <numFmt numFmtId="168" formatCode="0.00%;(0.00%);&quot;-&quot;"/>
    <numFmt numFmtId="169" formatCode="0.00&quot;x&quot;;(0.00&quot;x&quot;);&quot;-&quot;"/>
    <numFmt numFmtId="170" formatCode="#,##0.0;(#,##0.0);&quot;-&quot;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i val="1"/>
      <color rgb="00000000"/>
      <sz val="10"/>
    </font>
    <font>
      <name val="Arial"/>
      <b val="1"/>
      <color rgb="00008000"/>
      <sz val="10"/>
    </font>
    <font>
      <name val="Arial"/>
      <i val="1"/>
      <color rgb="00000000"/>
      <sz val="10"/>
    </font>
    <font>
      <name val="Arial"/>
      <color rgb="00595959"/>
      <sz val="10"/>
    </font>
    <font>
      <name val="Arial"/>
      <color rgb="00404040"/>
      <sz val="10"/>
    </font>
    <font>
      <name val="Arial"/>
      <color rgb="00808080"/>
      <sz val="10"/>
    </font>
    <font>
      <name val="Arial"/>
      <i val="1"/>
      <color rgb="00404040"/>
      <sz val="10"/>
    </font>
    <font>
      <name val="Arial"/>
      <i val="1"/>
      <color rgb="00C00000"/>
      <sz val="10"/>
    </font>
    <font>
      <name val="Arial"/>
      <b val="1"/>
      <color rgb="001F3864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top style="thin">
        <color rgb="00808080"/>
      </top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2" fillId="0" borderId="0" pivotButton="0" quotePrefix="0" xfId="0"/>
    <xf numFmtId="0" fontId="6" fillId="5" borderId="0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5" fillId="7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0" fontId="5" fillId="0" borderId="0" applyAlignment="1" pivotButton="0" quotePrefix="0" xfId="0">
      <alignment vertical="top" wrapText="1"/>
    </xf>
    <xf numFmtId="0" fontId="3" fillId="3" borderId="0" applyAlignment="1" pivotButton="0" quotePrefix="0" xfId="0">
      <alignment horizontal="center" vertical="center" wrapText="1"/>
    </xf>
    <xf numFmtId="164" fontId="6" fillId="5" borderId="0" pivotButton="0" quotePrefix="0" xfId="0"/>
    <xf numFmtId="165" fontId="6" fillId="5" borderId="0" pivotButton="0" quotePrefix="0" xfId="0"/>
    <xf numFmtId="164" fontId="5" fillId="0" borderId="0" pivotButton="0" quotePrefix="0" xfId="0"/>
    <xf numFmtId="0" fontId="4" fillId="0" borderId="1" pivotButton="0" quotePrefix="0" xfId="0"/>
    <xf numFmtId="0" fontId="2" fillId="0" borderId="1" pivotButton="0" quotePrefix="0" xfId="0"/>
    <xf numFmtId="164" fontId="4" fillId="0" borderId="1" pivotButton="0" quotePrefix="0" xfId="0"/>
    <xf numFmtId="0" fontId="0" fillId="0" borderId="1" pivotButton="0" quotePrefix="0" xfId="0"/>
    <xf numFmtId="166" fontId="5" fillId="0" borderId="0" pivotButton="0" quotePrefix="0" xfId="0"/>
    <xf numFmtId="166" fontId="6" fillId="5" borderId="0" pivotButton="0" quotePrefix="0" xfId="0"/>
    <xf numFmtId="167" fontId="6" fillId="5" borderId="0" pivotButton="0" quotePrefix="0" xfId="0"/>
    <xf numFmtId="168" fontId="6" fillId="5" borderId="0" pivotButton="0" quotePrefix="0" xfId="0"/>
    <xf numFmtId="164" fontId="7" fillId="0" borderId="0" pivotButton="0" quotePrefix="0" xfId="0"/>
    <xf numFmtId="166" fontId="10" fillId="0" borderId="0" pivotButton="0" quotePrefix="0" xfId="0"/>
    <xf numFmtId="166" fontId="10" fillId="0" borderId="1" pivotButton="0" quotePrefix="0" xfId="0"/>
    <xf numFmtId="0" fontId="4" fillId="6" borderId="1" pivotButton="0" quotePrefix="0" xfId="0"/>
    <xf numFmtId="0" fontId="0" fillId="6" borderId="1" pivotButton="0" quotePrefix="0" xfId="0"/>
    <xf numFmtId="164" fontId="4" fillId="6" borderId="1" pivotButton="0" quotePrefix="0" xfId="0"/>
    <xf numFmtId="166" fontId="10" fillId="6" borderId="1" pivotButton="0" quotePrefix="0" xfId="0"/>
    <xf numFmtId="0" fontId="8" fillId="0" borderId="0" pivotButton="0" quotePrefix="0" xfId="0"/>
    <xf numFmtId="164" fontId="9" fillId="0" borderId="1" pivotButton="0" quotePrefix="0" xfId="0"/>
    <xf numFmtId="0" fontId="10" fillId="0" borderId="0" pivotButton="0" quotePrefix="0" xfId="0"/>
    <xf numFmtId="164" fontId="10" fillId="0" borderId="0" pivotButton="0" quotePrefix="0" xfId="0"/>
    <xf numFmtId="165" fontId="7" fillId="0" borderId="0" pivotButton="0" quotePrefix="0" xfId="0"/>
    <xf numFmtId="165" fontId="9" fillId="6" borderId="1" pivotButton="0" quotePrefix="0" xfId="0"/>
    <xf numFmtId="166" fontId="4" fillId="6" borderId="1" pivotButton="0" quotePrefix="0" xfId="0"/>
    <xf numFmtId="166" fontId="7" fillId="0" borderId="0" pivotButton="0" quotePrefix="0" xfId="0"/>
    <xf numFmtId="165" fontId="4" fillId="6" borderId="1" pivotButton="0" quotePrefix="0" xfId="0"/>
    <xf numFmtId="166" fontId="6" fillId="7" borderId="0" pivotButton="0" quotePrefix="0" xfId="0"/>
    <xf numFmtId="0" fontId="11" fillId="0" borderId="0" pivotButton="0" quotePrefix="0" xfId="0"/>
    <xf numFmtId="0" fontId="4" fillId="0" borderId="0" pivotButton="0" quotePrefix="0" xfId="0"/>
    <xf numFmtId="165" fontId="5" fillId="0" borderId="0" pivotButton="0" quotePrefix="0" xfId="0"/>
    <xf numFmtId="0" fontId="4" fillId="6" borderId="0" pivotButton="0" quotePrefix="0" xfId="0"/>
    <xf numFmtId="0" fontId="2" fillId="6" borderId="0" pivotButton="0" quotePrefix="0" xfId="0"/>
    <xf numFmtId="164" fontId="9" fillId="6" borderId="0" pivotButton="0" quotePrefix="0" xfId="0"/>
    <xf numFmtId="164" fontId="7" fillId="6" borderId="0" pivotButton="0" quotePrefix="0" xfId="0"/>
    <xf numFmtId="165" fontId="9" fillId="6" borderId="0" pivotButton="0" quotePrefix="0" xfId="0"/>
    <xf numFmtId="165" fontId="5" fillId="6" borderId="0" pivotButton="0" quotePrefix="0" xfId="0"/>
    <xf numFmtId="166" fontId="5" fillId="6" borderId="0" pivotButton="0" quotePrefix="0" xfId="0"/>
    <xf numFmtId="0" fontId="5" fillId="6" borderId="0" applyAlignment="1" pivotButton="0" quotePrefix="0" xfId="0">
      <alignment horizontal="center"/>
    </xf>
    <xf numFmtId="167" fontId="7" fillId="0" borderId="0" pivotButton="0" quotePrefix="0" xfId="0"/>
    <xf numFmtId="167" fontId="5" fillId="0" borderId="0" pivotButton="0" quotePrefix="0" xfId="0"/>
    <xf numFmtId="164" fontId="4" fillId="6" borderId="0" pivotButton="0" quotePrefix="0" xfId="0"/>
    <xf numFmtId="164" fontId="7" fillId="0" borderId="0" applyAlignment="1" pivotButton="0" quotePrefix="0" xfId="0">
      <alignment horizontal="center"/>
    </xf>
    <xf numFmtId="165" fontId="4" fillId="0" borderId="0" pivotButton="0" quotePrefix="0" xfId="0"/>
    <xf numFmtId="164" fontId="5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166" fontId="5" fillId="5" borderId="0" pivotButton="0" quotePrefix="0" xfId="0"/>
    <xf numFmtId="169" fontId="7" fillId="0" borderId="0" pivotButton="0" quotePrefix="0" xfId="0"/>
    <xf numFmtId="169" fontId="6" fillId="5" borderId="0" pivotButton="0" quotePrefix="0" xfId="0"/>
    <xf numFmtId="166" fontId="4" fillId="0" borderId="0" pivotButton="0" quotePrefix="0" xfId="0"/>
    <xf numFmtId="0" fontId="14" fillId="0" borderId="0" pivotButton="0" quotePrefix="0" xfId="0"/>
    <xf numFmtId="168" fontId="5" fillId="0" borderId="0" pivotButton="0" quotePrefix="0" xfId="0"/>
    <xf numFmtId="0" fontId="4" fillId="6" borderId="1" applyAlignment="1" pivotButton="0" quotePrefix="0" xfId="0">
      <alignment horizontal="center"/>
    </xf>
    <xf numFmtId="164" fontId="9" fillId="0" borderId="0" pivotButton="0" quotePrefix="0" xfId="0"/>
    <xf numFmtId="164" fontId="4" fillId="0" borderId="0" pivotButton="0" quotePrefix="0" xfId="0"/>
    <xf numFmtId="0" fontId="0" fillId="6" borderId="0" pivotButton="0" quotePrefix="0" xfId="0"/>
    <xf numFmtId="165" fontId="4" fillId="6" borderId="0" pivotButton="0" quotePrefix="0" xfId="0"/>
    <xf numFmtId="166" fontId="4" fillId="6" borderId="0" pivotButton="0" quotePrefix="0" xfId="0"/>
    <xf numFmtId="0" fontId="15" fillId="0" borderId="0" pivotButton="0" quotePrefix="0" xfId="0"/>
    <xf numFmtId="0" fontId="5" fillId="5" borderId="0" pivotButton="0" quotePrefix="0" xfId="0"/>
    <xf numFmtId="1" fontId="6" fillId="5" borderId="0" pivotButton="0" quotePrefix="0" xfId="0"/>
    <xf numFmtId="164" fontId="6" fillId="7" borderId="0" pivotButton="0" quotePrefix="0" xfId="0"/>
    <xf numFmtId="170" fontId="6" fillId="5" borderId="0" pivotButton="0" quotePrefix="0" xfId="0"/>
    <xf numFmtId="164" fontId="13" fillId="0" borderId="0" applyAlignment="1" pivotButton="0" quotePrefix="0" xfId="0">
      <alignment horizontal="center"/>
    </xf>
    <xf numFmtId="170" fontId="4" fillId="0" borderId="0" pivotButton="0" quotePrefix="0" xfId="0"/>
    <xf numFmtId="0" fontId="11" fillId="6" borderId="1" pivotButton="0" quotePrefix="0" xfId="0"/>
    <xf numFmtId="164" fontId="13" fillId="6" borderId="1" applyAlignment="1" pivotButton="0" quotePrefix="0" xfId="0">
      <alignment horizontal="center"/>
    </xf>
    <xf numFmtId="164" fontId="9" fillId="6" borderId="1" pivotButton="0" quotePrefix="0" xfId="0"/>
    <xf numFmtId="166" fontId="5" fillId="6" borderId="1" pivotButton="0" quotePrefix="0" xfId="0"/>
    <xf numFmtId="0" fontId="5" fillId="6" borderId="1" applyAlignment="1" pivotButton="0" quotePrefix="0" xfId="0">
      <alignment horizontal="center"/>
    </xf>
    <xf numFmtId="164" fontId="7" fillId="6" borderId="1" pivotButton="0" quotePrefix="0" xfId="0"/>
    <xf numFmtId="170" fontId="7" fillId="0" borderId="0" pivotButton="0" quotePrefix="0" xfId="0"/>
    <xf numFmtId="170" fontId="5" fillId="0" borderId="0" pivotButton="0" quotePrefix="0" xfId="0"/>
    <xf numFmtId="168" fontId="7" fillId="0" borderId="0" pivotButton="0" quotePrefix="0" xfId="0"/>
    <xf numFmtId="165" fontId="4" fillId="7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A1 Asumsi Contoh'!A1" TargetMode="External" Id="rId1" /><Relationship Type="http://schemas.openxmlformats.org/officeDocument/2006/relationships/hyperlink" Target="#'A2 Laba Rugi Contoh'!A1" TargetMode="External" Id="rId2" /><Relationship Type="http://schemas.openxmlformats.org/officeDocument/2006/relationships/hyperlink" Target="#'A3 Neraca Contoh'!A1" TargetMode="External" Id="rId3" /><Relationship Type="http://schemas.openxmlformats.org/officeDocument/2006/relationships/hyperlink" Target="#'A4 Arus Kas Contoh'!A1" TargetMode="External" Id="rId4" /><Relationship Type="http://schemas.openxmlformats.org/officeDocument/2006/relationships/hyperlink" Target="#'B1 Struktur Rev-Cost'!A1" TargetMode="External" Id="rId5" /><Relationship Type="http://schemas.openxmlformats.org/officeDocument/2006/relationships/hyperlink" Target="#'B2 COP dan KPI'!A1" TargetMode="External" Id="rId6" /><Relationship Type="http://schemas.openxmlformats.org/officeDocument/2006/relationships/hyperlink" Target="#'B3 KPI Cost vs Revenue'!A1" TargetMode="External" Id="rId7" /><Relationship Type="http://schemas.openxmlformats.org/officeDocument/2006/relationships/hyperlink" Target="#'B4 Efisiensi Biaya'!A1" TargetMode="External" Id="rId8" /><Relationship Type="http://schemas.openxmlformats.org/officeDocument/2006/relationships/hyperlink" Target="#'B5 Benchmark Emiten'!A1" TargetMode="External" Id="rId9" /><Relationship Type="http://schemas.openxmlformats.org/officeDocument/2006/relationships/hyperlink" Target="#'C0 GEG Petunjuk'!A1" TargetMode="External" Id="rId10" /><Relationship Type="http://schemas.openxmlformats.org/officeDocument/2006/relationships/hyperlink" Target="#'C1 GEG Setting'!A1" TargetMode="External" Id="rId11" /><Relationship Type="http://schemas.openxmlformats.org/officeDocument/2006/relationships/hyperlink" Target="#'C2 GEG Ops Budget'!A1" TargetMode="External" Id="rId12" /><Relationship Type="http://schemas.openxmlformats.org/officeDocument/2006/relationships/hyperlink" Target="#'C3 GEG Ops Aktual'!A1" TargetMode="External" Id="rId13" /><Relationship Type="http://schemas.openxmlformats.org/officeDocument/2006/relationships/hyperlink" Target="#'C4 GEG LR Budget'!A1" TargetMode="External" Id="rId14" /><Relationship Type="http://schemas.openxmlformats.org/officeDocument/2006/relationships/hyperlink" Target="#'C5 GEG LR Aktual'!A1" TargetMode="External" Id="rId15" /><Relationship Type="http://schemas.openxmlformats.org/officeDocument/2006/relationships/hyperlink" Target="#'C6 GEG Neraca Aktual'!A1" TargetMode="External" Id="rId16" /><Relationship Type="http://schemas.openxmlformats.org/officeDocument/2006/relationships/hyperlink" Target="#'C7 GEG Arus Kas'!A1" TargetMode="External" Id="rId17" /><Relationship Type="http://schemas.openxmlformats.org/officeDocument/2006/relationships/hyperlink" Target="#'C8 GEG Lap LR'!A1" TargetMode="External" Id="rId18" /><Relationship Type="http://schemas.openxmlformats.org/officeDocument/2006/relationships/hyperlink" Target="#'C9 GEG Lap Ops'!A1" TargetMode="External" Id="rId19" /><Relationship Type="http://schemas.openxmlformats.org/officeDocument/2006/relationships/hyperlink" Target="#'C10 GEG COP'!A1" TargetMode="External" Id="rId20" /><Relationship Type="http://schemas.openxmlformats.org/officeDocument/2006/relationships/hyperlink" Target="#'C11 GEG KPI Scorecard'!A1" TargetMode="External" Id="rId2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4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0" customWidth="1" min="2" max="2"/>
    <col width="2" customWidth="1" min="3" max="3"/>
  </cols>
  <sheetData>
    <row r="1">
      <c r="A1" s="1" t="inlineStr">
        <is>
          <t>Paket FP&amp;A Tambang Batubara – Global Energy Group</t>
        </is>
      </c>
      <c r="B1" s="2" t="n"/>
      <c r="C1" s="2" t="n"/>
    </row>
    <row r="2">
      <c r="A2" s="3" t="inlineStr">
        <is>
          <t>Disusun oleh FP&amp;A | Laporan keuangan contoh, analisa struktur biaya &amp; KPI, dan template pelaporan bulanan GEG</t>
        </is>
      </c>
    </row>
    <row r="4">
      <c r="A4" s="4" t="inlineStr">
        <is>
          <t>DAFTAR ISI</t>
        </is>
      </c>
      <c r="B4" s="5" t="n"/>
      <c r="C4" s="5" t="n"/>
    </row>
    <row r="5">
      <c r="A5" s="6" t="inlineStr">
        <is>
          <t>BAGIAN A – CONTOH LAPORAN KEUANGAN LENGKAP (perusahaan fiktif, format emiten batubara Tbk, PSAK)</t>
        </is>
      </c>
    </row>
    <row r="6">
      <c r="A6" s="7" t="inlineStr">
        <is>
          <t>A1 Asumsi Contoh</t>
        </is>
      </c>
      <c r="B6" s="8" t="inlineStr">
        <is>
          <t>Asumsi &amp; driver: harga, kurs, volume, SR, tarif kontraktor, BBM, logistik, royalti, overhead, capex, modal kerja</t>
        </is>
      </c>
    </row>
    <row r="7">
      <c r="A7" s="7" t="inlineStr">
        <is>
          <t>A2 Laba Rugi Contoh</t>
        </is>
      </c>
      <c r="B7" s="8" t="inlineStr">
        <is>
          <t>Laba rugi rinci: breakdown pendapatan (ekspor/DMO/non-DMO/penalti/jasa), BPP (tambang, logistik, royalti, overhead, D&amp;A), beban penjualan, G&amp;A, lain-lain</t>
        </is>
      </c>
    </row>
    <row r="8">
      <c r="A8" s="7" t="inlineStr">
        <is>
          <t>A3 Neraca Contoh</t>
        </is>
      </c>
      <c r="B8" s="8" t="inlineStr">
        <is>
          <t>Neraca 3 periode, terhubung dengan laba rugi &amp; arus kas (cek keseimbangan = 0)</t>
        </is>
      </c>
    </row>
    <row r="9">
      <c r="A9" s="7" t="inlineStr">
        <is>
          <t>A4 Arus Kas Contoh</t>
        </is>
      </c>
      <c r="B9" s="8" t="inlineStr">
        <is>
          <t>Arus kas metode tidak langsung + rekonsiliasi metode langsung</t>
        </is>
      </c>
    </row>
    <row r="10">
      <c r="A10" s="6" t="inlineStr">
        <is>
          <t>BAGIAN B – ANALISA UNTUK MANAJEMEN</t>
        </is>
      </c>
    </row>
    <row r="11">
      <c r="A11" s="7" t="inlineStr">
        <is>
          <t>B1 Struktur Rev-Cost</t>
        </is>
      </c>
      <c r="B11" s="8" t="inlineStr">
        <is>
          <t>Struktur pendapatan (bauran pasar, ASP) &amp; struktur biaya (porsi, sifat tetap/variabel, pemicu), titik impas</t>
        </is>
      </c>
    </row>
    <row r="12">
      <c r="A12" s="7" t="inlineStr">
        <is>
          <t>B2 COP dan KPI</t>
        </is>
      </c>
      <c r="B12" s="8" t="inlineStr">
        <is>
          <t>Cost of production per unit (USD/bcm, USD/t, USD/t-km, cash cost, AISC) + penilaian KPI COP dengan skor</t>
        </is>
      </c>
    </row>
    <row r="13">
      <c r="A13" s="7" t="inlineStr">
        <is>
          <t>B3 KPI Cost vs Revenue</t>
        </is>
      </c>
      <c r="B13" s="8" t="inlineStr">
        <is>
          <t>27 KPI cost vs revenue (jaws, rasio biaya, marjin, harga impas, leverage, konversi kas) + kesimpulan otomatis</t>
        </is>
      </c>
    </row>
    <row r="14">
      <c r="A14" s="7" t="inlineStr">
        <is>
          <t>B4 Efisiensi Biaya</t>
        </is>
      </c>
      <c r="B14" s="8" t="inlineStr">
        <is>
          <t>Varians biaya: efek volume vs tarif vs kurs; jembatan pendapatan &amp; EBITDA (pasar vs manajemen); inisiatif penghematan</t>
        </is>
      </c>
    </row>
    <row r="15">
      <c r="A15" s="7" t="inlineStr">
        <is>
          <t>B5 Benchmark Emiten</t>
        </is>
      </c>
      <c r="B15" s="8" t="inlineStr">
        <is>
          <t>Emiten batubara BEI sebagai acuan &amp; kisaran KPI industri (indikatif)</t>
        </is>
      </c>
    </row>
    <row r="16">
      <c r="A16" s="6" t="inlineStr">
        <is>
          <t>BAGIAN C – TEMPLATE PELAPORAN BULANAN GLOBAL ENERGY GROUP</t>
        </is>
      </c>
    </row>
    <row r="17">
      <c r="A17" s="7" t="inlineStr">
        <is>
          <t>C0 GEG Petunjuk</t>
        </is>
      </c>
      <c r="B17" s="8" t="inlineStr">
        <is>
          <t>Petunjuk, kode warna, jadwal closing bulanan</t>
        </is>
      </c>
    </row>
    <row r="18">
      <c r="A18" s="7" t="inlineStr">
        <is>
          <t>C1 GEG Setting</t>
        </is>
      </c>
      <c r="B18" s="8" t="inlineStr">
        <is>
          <t>Pengaturan bulan laporan &amp; skala KPI</t>
        </is>
      </c>
    </row>
    <row r="19">
      <c r="A19" s="7" t="inlineStr">
        <is>
          <t>C2 GEG Ops Budget</t>
        </is>
      </c>
      <c r="B19" s="8" t="inlineStr">
        <is>
          <t>Input budget operasional bulanan</t>
        </is>
      </c>
    </row>
    <row r="20">
      <c r="A20" s="7" t="inlineStr">
        <is>
          <t>C3 GEG Ops Aktual</t>
        </is>
      </c>
      <c r="B20" s="8" t="inlineStr">
        <is>
          <t>Input aktual operasional bulanan</t>
        </is>
      </c>
    </row>
    <row r="21">
      <c r="A21" s="7" t="inlineStr">
        <is>
          <t>C4 GEG LR Budget</t>
        </is>
      </c>
      <c r="B21" s="8" t="inlineStr">
        <is>
          <t>Input budget laba rugi bulanan (kode akun)</t>
        </is>
      </c>
    </row>
    <row r="22">
      <c r="A22" s="7" t="inlineStr">
        <is>
          <t>C5 GEG LR Aktual</t>
        </is>
      </c>
      <c r="B22" s="8" t="inlineStr">
        <is>
          <t>Input aktual laba rugi bulanan (kode akun)</t>
        </is>
      </c>
    </row>
    <row r="23">
      <c r="A23" s="7" t="inlineStr">
        <is>
          <t>C6 GEG Neraca Aktual</t>
        </is>
      </c>
      <c r="B23" s="8" t="inlineStr">
        <is>
          <t>Input neraca akhir bulan</t>
        </is>
      </c>
    </row>
    <row r="24">
      <c r="A24" s="7" t="inlineStr">
        <is>
          <t>C7 GEG Arus Kas</t>
        </is>
      </c>
      <c r="B24" s="8" t="inlineStr">
        <is>
          <t>Arus kas bulanan otomatis</t>
        </is>
      </c>
    </row>
    <row r="25">
      <c r="A25" s="7" t="inlineStr">
        <is>
          <t>C8 GEG Lap LR</t>
        </is>
      </c>
      <c r="B25" s="8" t="inlineStr">
        <is>
          <t>Laporan laba rugi MTD &amp; YTD vs budget</t>
        </is>
      </c>
    </row>
    <row r="26">
      <c r="A26" s="7" t="inlineStr">
        <is>
          <t>C9 GEG Lap Ops</t>
        </is>
      </c>
      <c r="B26" s="8" t="inlineStr">
        <is>
          <t>Laporan operasional MTD &amp; YTD vs budget</t>
        </is>
      </c>
    </row>
    <row r="27">
      <c r="A27" s="7" t="inlineStr">
        <is>
          <t>C10 GEG COP</t>
        </is>
      </c>
      <c r="B27" s="8" t="inlineStr">
        <is>
          <t>Cost of production per unit vs budget</t>
        </is>
      </c>
    </row>
    <row r="28">
      <c r="A28" s="7" t="inlineStr">
        <is>
          <t>C11 GEG KPI Scorecard</t>
        </is>
      </c>
      <c r="B28" s="8" t="inlineStr">
        <is>
          <t>KPI scorecard manajemen (skor &amp; predikat)</t>
        </is>
      </c>
    </row>
    <row r="30">
      <c r="A30" s="4" t="inlineStr">
        <is>
          <t>KODE WARNA</t>
        </is>
      </c>
      <c r="B30" s="5" t="n"/>
      <c r="C30" s="5" t="n"/>
    </row>
    <row r="31">
      <c r="A31" s="9" t="inlineStr">
        <is>
          <t>1.234</t>
        </is>
      </c>
      <c r="B31" s="10" t="inlineStr">
        <is>
          <t>Teks biru / sel kuning muda = input (hardcode) – ganti dengan data Anda</t>
        </is>
      </c>
    </row>
    <row r="32">
      <c r="A32" s="11" t="inlineStr">
        <is>
          <t>1.234</t>
        </is>
      </c>
      <c r="B32" s="10" t="inlineStr">
        <is>
          <t>Teks hitam = rumus</t>
        </is>
      </c>
    </row>
    <row r="33">
      <c r="A33" s="12" t="inlineStr">
        <is>
          <t>1.234</t>
        </is>
      </c>
      <c r="B33" s="10" t="inlineStr">
        <is>
          <t>Teks hijau = tautan antar-sheet</t>
        </is>
      </c>
    </row>
    <row r="34">
      <c r="A34" s="13" t="inlineStr">
        <is>
          <t>1.234</t>
        </is>
      </c>
      <c r="B34" s="10" t="inlineStr">
        <is>
          <t>Sel kuning terang = parameter kunci / selector</t>
        </is>
      </c>
    </row>
    <row r="36">
      <c r="A36" s="4" t="inlineStr">
        <is>
          <t>CATATAN PENTING</t>
        </is>
      </c>
      <c r="B36" s="5" t="n"/>
      <c r="C36" s="5" t="n"/>
    </row>
    <row r="37">
      <c r="A37" s="14" t="inlineStr">
        <is>
          <t>•</t>
        </is>
      </c>
      <c r="B37" s="15" t="inlineStr">
        <is>
          <t>Bagian A &amp; B memakai perusahaan FIKTIF "PT Batubara Contoh Tbk" dengan format penyajian yang lazim di emiten batubara BEI. Angka ilustratif, BUKAN data emiten mana pun.</t>
        </is>
      </c>
    </row>
    <row r="38">
      <c r="A38" s="14" t="inlineStr">
        <is>
          <t>•</t>
        </is>
      </c>
      <c r="B38" s="15" t="inlineStr">
        <is>
          <t>Laporan keuangan asli emiten (PTBA, ITMG, AADI, BUMI, BYAN, dll.) dapat diunduh di www.idx.co.id untuk pembanding angka riil.</t>
        </is>
      </c>
    </row>
    <row r="39">
      <c r="A39" s="14" t="inlineStr">
        <is>
          <t>•</t>
        </is>
      </c>
      <c r="B39" s="15" t="inlineStr">
        <is>
          <t>Bagian C terisi DATA CONTOH (Jan–Agu 2026) agar semua rumus terlihat bekerja. Ganti seluruh sel input dengan data GEG.</t>
        </is>
      </c>
    </row>
    <row r="40">
      <c r="A40" s="14" t="inlineStr">
        <is>
          <t>•</t>
        </is>
      </c>
      <c r="B40" s="15" t="inlineStr">
        <is>
          <t>Satuan uang: Rp juta. Harga &amp; tarif: USD. Volume: ton / bcm. Kurs dipakai untuk konversi per unit.</t>
        </is>
      </c>
    </row>
    <row r="41">
      <c r="A41" s="14" t="inlineStr">
        <is>
          <t>•</t>
        </is>
      </c>
      <c r="B41" s="15" t="inlineStr">
        <is>
          <t>Semua angka di laporan, COP dan KPI adalah rumus – bila input diubah, seluruh laporan ikut terhitung ulang.</t>
        </is>
      </c>
    </row>
  </sheetData>
  <hyperlinks>
    <hyperlink xmlns:r="http://schemas.openxmlformats.org/officeDocument/2006/relationships" ref="A6" r:id="rId1"/>
    <hyperlink xmlns:r="http://schemas.openxmlformats.org/officeDocument/2006/relationships" ref="A7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  <hyperlink xmlns:r="http://schemas.openxmlformats.org/officeDocument/2006/relationships" ref="A24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E10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8" customWidth="1" min="2" max="2"/>
    <col width="15" customWidth="1" min="3" max="3"/>
    <col width="15" customWidth="1" min="4" max="4"/>
    <col width="62" customWidth="1" min="5" max="5"/>
  </cols>
  <sheetData>
    <row r="1">
      <c r="A1" s="1" t="inlineStr">
        <is>
          <t>PT Batubara Contoh Tbk (fiktif) – Asumsi &amp; Pemicu (Driver) Operasional</t>
        </is>
      </c>
      <c r="B1" s="2" t="n"/>
      <c r="C1" s="2" t="n"/>
      <c r="D1" s="2" t="n"/>
      <c r="E1" s="2" t="n"/>
    </row>
    <row r="2">
      <c r="A2" s="3" t="inlineStr">
        <is>
          <t>Lembar input model contoh. Teks biru/sel kuning = input; hitam = rumus; hijau = tautan antar-sheet. Satuan uang: Rp juta.</t>
        </is>
      </c>
    </row>
    <row r="5">
      <c r="A5" s="16" t="inlineStr">
        <is>
          <t>Parameter</t>
        </is>
      </c>
      <c r="B5" s="16" t="inlineStr">
        <is>
          <t>Satuan</t>
        </is>
      </c>
      <c r="C5" s="16" t="inlineStr">
        <is>
          <t>FY2024</t>
        </is>
      </c>
      <c r="D5" s="16" t="inlineStr">
        <is>
          <t>FY2025</t>
        </is>
      </c>
      <c r="E5" s="16" t="inlineStr">
        <is>
          <t>Keterangan / sumber</t>
        </is>
      </c>
    </row>
    <row r="6">
      <c r="A6" s="4" t="inlineStr">
        <is>
          <t>1. MAKRO &amp; HARGA</t>
        </is>
      </c>
      <c r="B6" s="5" t="n"/>
      <c r="C6" s="5" t="n"/>
      <c r="D6" s="5" t="n"/>
      <c r="E6" s="5" t="n"/>
    </row>
    <row r="7">
      <c r="A7" s="10" t="inlineStr">
        <is>
          <t xml:space="preserve">   Kurs rata-rata</t>
        </is>
      </c>
      <c r="B7" s="3" t="inlineStr">
        <is>
          <t>Rp/USD</t>
        </is>
      </c>
      <c r="C7" s="17" t="n">
        <v>15850</v>
      </c>
      <c r="D7" s="17" t="n">
        <v>16250</v>
      </c>
      <c r="E7" s="3" t="inlineStr">
        <is>
          <t>Asumsi ilustratif, mendekati rata-rata JISDOR tahun berjalan</t>
        </is>
      </c>
    </row>
    <row r="8">
      <c r="A8" s="10" t="inlineStr">
        <is>
          <t xml:space="preserve">   Harga indeks acuan setara CV produk (HBA/ICI)</t>
        </is>
      </c>
      <c r="B8" s="3" t="inlineStr">
        <is>
          <t>USD/t</t>
        </is>
      </c>
      <c r="C8" s="18" t="n">
        <v>72</v>
      </c>
      <c r="D8" s="18" t="n">
        <v>64</v>
      </c>
      <c r="E8" s="3" t="inlineStr">
        <is>
          <t>Ilustratif; gunakan HBA (Kepmen ESDM) / ICI sesuai CV</t>
        </is>
      </c>
    </row>
    <row r="9">
      <c r="A9" s="10" t="inlineStr">
        <is>
          <t xml:space="preserve">   ASP – Ekspor (FOB/CIF)</t>
        </is>
      </c>
      <c r="B9" s="3" t="inlineStr">
        <is>
          <t>USD/t</t>
        </is>
      </c>
      <c r="C9" s="18" t="n">
        <v>70</v>
      </c>
      <c r="D9" s="18" t="n">
        <v>62</v>
      </c>
      <c r="E9" s="3" t="inlineStr">
        <is>
          <t>Harga realisasi rata-rata tertimbang</t>
        </is>
      </c>
    </row>
    <row r="10">
      <c r="A10" s="10" t="inlineStr">
        <is>
          <t xml:space="preserve">   ASP – Domestik DMO (kelistrikan/PLN)</t>
        </is>
      </c>
      <c r="B10" s="3" t="inlineStr">
        <is>
          <t>USD/t</t>
        </is>
      </c>
      <c r="C10" s="18" t="n">
        <v>50</v>
      </c>
      <c r="D10" s="18" t="n">
        <v>50</v>
      </c>
      <c r="E10" s="3" t="inlineStr">
        <is>
          <t>Harga DMO dibatasi (cap USD 70/t @6.322 GAR), disesuaikan CV</t>
        </is>
      </c>
    </row>
    <row r="11">
      <c r="A11" s="10" t="inlineStr">
        <is>
          <t xml:space="preserve">   ASP – Domestik non-DMO (industri)</t>
        </is>
      </c>
      <c r="B11" s="3" t="inlineStr">
        <is>
          <t>USD/t</t>
        </is>
      </c>
      <c r="C11" s="18" t="n">
        <v>65</v>
      </c>
      <c r="D11" s="18" t="n">
        <v>58</v>
      </c>
    </row>
    <row r="12">
      <c r="A12" s="10" t="inlineStr">
        <is>
          <t xml:space="preserve">   Nilai kalori rata-rata produk</t>
        </is>
      </c>
      <c r="B12" s="3" t="inlineStr">
        <is>
          <t>kcal/kg GAR</t>
        </is>
      </c>
      <c r="C12" s="17" t="n">
        <v>4600</v>
      </c>
      <c r="D12" s="17" t="n">
        <v>4600</v>
      </c>
    </row>
    <row r="13">
      <c r="A13" s="4" t="inlineStr">
        <is>
          <t>2. VOLUME OPERASI</t>
        </is>
      </c>
      <c r="B13" s="5" t="n"/>
      <c r="C13" s="5" t="n"/>
      <c r="D13" s="5" t="n"/>
      <c r="E13" s="5" t="n"/>
    </row>
    <row r="14">
      <c r="A14" s="10" t="inlineStr">
        <is>
          <t xml:space="preserve">   Produksi batubara (ROM)</t>
        </is>
      </c>
      <c r="B14" s="3" t="inlineStr">
        <is>
          <t>ton</t>
        </is>
      </c>
      <c r="C14" s="17" t="n">
        <v>10800000</v>
      </c>
      <c r="D14" s="17" t="n">
        <v>11800000</v>
      </c>
    </row>
    <row r="15">
      <c r="A15" s="10" t="inlineStr">
        <is>
          <t xml:space="preserve">   Stripping ratio (SR)</t>
        </is>
      </c>
      <c r="B15" s="3" t="inlineStr">
        <is>
          <t>bcm/ton</t>
        </is>
      </c>
      <c r="C15" s="18" t="n">
        <v>7.8</v>
      </c>
      <c r="D15" s="18" t="n">
        <v>7.4</v>
      </c>
      <c r="E15" s="3" t="inlineStr">
        <is>
          <t>Sesuai rencana tambang (RKAB)</t>
        </is>
      </c>
    </row>
    <row r="16">
      <c r="A16" s="10" t="inlineStr">
        <is>
          <t xml:space="preserve">   Pengupasan tanah penutup (OB removal)</t>
        </is>
      </c>
      <c r="B16" s="3" t="inlineStr">
        <is>
          <t>bcm</t>
        </is>
      </c>
      <c r="C16" s="19">
        <f>C14*C15</f>
        <v/>
      </c>
      <c r="D16" s="19">
        <f>D14*D15</f>
        <v/>
      </c>
    </row>
    <row r="17">
      <c r="A17" s="10" t="inlineStr">
        <is>
          <t xml:space="preserve">   Jarak hauling tambang – pelabuhan</t>
        </is>
      </c>
      <c r="B17" s="3" t="inlineStr">
        <is>
          <t>km</t>
        </is>
      </c>
      <c r="C17" s="17" t="n">
        <v>42</v>
      </c>
      <c r="D17" s="17" t="n">
        <v>42</v>
      </c>
    </row>
    <row r="18">
      <c r="A18" s="10" t="inlineStr">
        <is>
          <t xml:space="preserve">   Penjualan – Ekspor</t>
        </is>
      </c>
      <c r="B18" s="3" t="inlineStr">
        <is>
          <t>ton</t>
        </is>
      </c>
      <c r="C18" s="17" t="n">
        <v>6900000</v>
      </c>
      <c r="D18" s="17" t="n">
        <v>7600000</v>
      </c>
    </row>
    <row r="19">
      <c r="A19" s="10" t="inlineStr">
        <is>
          <t xml:space="preserve">   Penjualan – Domestik DMO</t>
        </is>
      </c>
      <c r="B19" s="3" t="inlineStr">
        <is>
          <t>ton</t>
        </is>
      </c>
      <c r="C19" s="17" t="n">
        <v>2700000</v>
      </c>
      <c r="D19" s="17" t="n">
        <v>2900000</v>
      </c>
    </row>
    <row r="20">
      <c r="A20" s="10" t="inlineStr">
        <is>
          <t xml:space="preserve">   Penjualan – Domestik non-DMO</t>
        </is>
      </c>
      <c r="B20" s="3" t="inlineStr">
        <is>
          <t>ton</t>
        </is>
      </c>
      <c r="C20" s="17" t="n">
        <v>1100000</v>
      </c>
      <c r="D20" s="17" t="n">
        <v>1150000</v>
      </c>
    </row>
    <row r="21">
      <c r="A21" s="20" t="inlineStr">
        <is>
          <t xml:space="preserve">   Total penjualan</t>
        </is>
      </c>
      <c r="B21" s="21" t="inlineStr">
        <is>
          <t>ton</t>
        </is>
      </c>
      <c r="C21" s="22">
        <f>SUM(C18:C20)</f>
        <v/>
      </c>
      <c r="D21" s="22">
        <f>SUM(D18:D20)</f>
        <v/>
      </c>
      <c r="E21" s="23" t="n"/>
    </row>
    <row r="22">
      <c r="A22" s="10" t="inlineStr">
        <is>
          <t xml:space="preserve">   Porsi DMO terhadap total penjualan</t>
        </is>
      </c>
      <c r="B22" s="3" t="inlineStr">
        <is>
          <t>%</t>
        </is>
      </c>
      <c r="C22" s="24">
        <f>IFERROR(C19/C21,0)</f>
        <v/>
      </c>
      <c r="D22" s="24">
        <f>IFERROR(D19/D21,0)</f>
        <v/>
      </c>
      <c r="E22" s="3" t="inlineStr">
        <is>
          <t>Kewajiban DMO minimal 25% (Kepmen ESDM)</t>
        </is>
      </c>
    </row>
    <row r="23">
      <c r="A23" s="10" t="inlineStr">
        <is>
          <t xml:space="preserve">   Stok batubara awal tahun</t>
        </is>
      </c>
      <c r="B23" s="3" t="inlineStr">
        <is>
          <t>ton</t>
        </is>
      </c>
      <c r="C23" s="17" t="n">
        <v>450000</v>
      </c>
      <c r="D23" s="19">
        <f>C24</f>
        <v/>
      </c>
      <c r="E23" s="3" t="inlineStr">
        <is>
          <t>2025 = stok akhir 2024</t>
        </is>
      </c>
    </row>
    <row r="24">
      <c r="A24" s="10" t="inlineStr">
        <is>
          <t xml:space="preserve">   Stok batubara akhir tahun</t>
        </is>
      </c>
      <c r="B24" s="3" t="inlineStr">
        <is>
          <t>ton</t>
        </is>
      </c>
      <c r="C24" s="19">
        <f>C23+C14-C21</f>
        <v/>
      </c>
      <c r="D24" s="19">
        <f>D23+D14-D21</f>
        <v/>
      </c>
    </row>
    <row r="25">
      <c r="A25" s="10" t="inlineStr">
        <is>
          <t xml:space="preserve">   Jumlah karyawan organik</t>
        </is>
      </c>
      <c r="B25" s="3" t="inlineStr">
        <is>
          <t>orang</t>
        </is>
      </c>
      <c r="C25" s="17" t="n">
        <v>1150</v>
      </c>
      <c r="D25" s="17" t="n">
        <v>1180</v>
      </c>
    </row>
    <row r="26">
      <c r="A26" s="4" t="inlineStr">
        <is>
          <t>3. TARIF BIAYA TAMBANG &amp; LOGISTIK</t>
        </is>
      </c>
      <c r="B26" s="5" t="n"/>
      <c r="C26" s="5" t="n"/>
      <c r="D26" s="5" t="n"/>
      <c r="E26" s="5" t="n"/>
    </row>
    <row r="27">
      <c r="A27" s="10" t="inlineStr">
        <is>
          <t xml:space="preserve">   Tarif kontraktor OB (excl. BBM)</t>
        </is>
      </c>
      <c r="B27" s="3" t="inlineStr">
        <is>
          <t>USD/bcm</t>
        </is>
      </c>
      <c r="C27" s="18" t="n">
        <v>1.85</v>
      </c>
      <c r="D27" s="18" t="n">
        <v>1.8</v>
      </c>
      <c r="E27" s="3" t="inlineStr">
        <is>
          <t>BBM disuplai pemilik (owner-supplied fuel)</t>
        </is>
      </c>
    </row>
    <row r="28">
      <c r="A28" s="10" t="inlineStr">
        <is>
          <t xml:space="preserve">   Tarif coal getting</t>
        </is>
      </c>
      <c r="B28" s="3" t="inlineStr">
        <is>
          <t>USD/ton</t>
        </is>
      </c>
      <c r="C28" s="18" t="n">
        <v>0.95</v>
      </c>
      <c r="D28" s="18" t="n">
        <v>0.95</v>
      </c>
    </row>
    <row r="29">
      <c r="A29" s="10" t="inlineStr">
        <is>
          <t xml:space="preserve">   Rasio BBM (fuel ratio)</t>
        </is>
      </c>
      <c r="B29" s="3" t="inlineStr">
        <is>
          <t>liter/bcm</t>
        </is>
      </c>
      <c r="C29" s="18" t="n">
        <v>0.95</v>
      </c>
      <c r="D29" s="18" t="n">
        <v>0.9</v>
      </c>
    </row>
    <row r="30">
      <c r="A30" s="10" t="inlineStr">
        <is>
          <t xml:space="preserve">   Harga BBM solar industri</t>
        </is>
      </c>
      <c r="B30" s="3" t="inlineStr">
        <is>
          <t>Rp/liter</t>
        </is>
      </c>
      <c r="C30" s="17" t="n">
        <v>13500</v>
      </c>
      <c r="D30" s="17" t="n">
        <v>13000</v>
      </c>
    </row>
    <row r="31">
      <c r="A31" s="10" t="inlineStr">
        <is>
          <t xml:space="preserve">   Porsi OB yang diledakkan</t>
        </is>
      </c>
      <c r="B31" s="3" t="inlineStr">
        <is>
          <t>%</t>
        </is>
      </c>
      <c r="C31" s="25" t="n">
        <v>0.4</v>
      </c>
      <c r="D31" s="25" t="n">
        <v>0.4</v>
      </c>
    </row>
    <row r="32">
      <c r="A32" s="10" t="inlineStr">
        <is>
          <t xml:space="preserve">   Tarif drill &amp; blast</t>
        </is>
      </c>
      <c r="B32" s="3" t="inlineStr">
        <is>
          <t>USD/bcm</t>
        </is>
      </c>
      <c r="C32" s="18" t="n">
        <v>0.45</v>
      </c>
      <c r="D32" s="18" t="n">
        <v>0.45</v>
      </c>
    </row>
    <row r="33">
      <c r="A33" s="10" t="inlineStr">
        <is>
          <t xml:space="preserve">   Tarif crushing &amp; pengolahan (CPP)</t>
        </is>
      </c>
      <c r="B33" s="3" t="inlineStr">
        <is>
          <t>USD/ton</t>
        </is>
      </c>
      <c r="C33" s="18" t="n">
        <v>0.85</v>
      </c>
      <c r="D33" s="18" t="n">
        <v>0.82</v>
      </c>
    </row>
    <row r="34">
      <c r="A34" s="10" t="inlineStr">
        <is>
          <t xml:space="preserve">   Tarif hauling</t>
        </is>
      </c>
      <c r="B34" s="3" t="inlineStr">
        <is>
          <t>USD/ton-km</t>
        </is>
      </c>
      <c r="C34" s="26" t="n">
        <v>0.105</v>
      </c>
      <c r="D34" s="26" t="n">
        <v>0.1</v>
      </c>
    </row>
    <row r="35">
      <c r="A35" s="10" t="inlineStr">
        <is>
          <t xml:space="preserve">   Tarif pelabuhan &amp; stockpile</t>
        </is>
      </c>
      <c r="B35" s="3" t="inlineStr">
        <is>
          <t>USD/ton</t>
        </is>
      </c>
      <c r="C35" s="18" t="n">
        <v>1.25</v>
      </c>
      <c r="D35" s="18" t="n">
        <v>1.2</v>
      </c>
      <c r="E35" s="3" t="inlineStr">
        <is>
          <t>Basis ton penjualan</t>
        </is>
      </c>
    </row>
    <row r="36">
      <c r="A36" s="10" t="inlineStr">
        <is>
          <t xml:space="preserve">   Tarif tongkang &amp; transshipment</t>
        </is>
      </c>
      <c r="B36" s="3" t="inlineStr">
        <is>
          <t>USD/ton</t>
        </is>
      </c>
      <c r="C36" s="18" t="n">
        <v>4.1</v>
      </c>
      <c r="D36" s="18" t="n">
        <v>3.95</v>
      </c>
      <c r="E36" s="3" t="inlineStr">
        <is>
          <t>Basis ton penjualan</t>
        </is>
      </c>
    </row>
    <row r="37">
      <c r="A37" s="10" t="inlineStr">
        <is>
          <t xml:space="preserve">   Tarif royalti efektif (PNBP)</t>
        </is>
      </c>
      <c r="B37" s="3" t="inlineStr">
        <is>
          <t>% pendapatan</t>
        </is>
      </c>
      <c r="C37" s="25" t="n">
        <v>0.07000000000000001</v>
      </c>
      <c r="D37" s="25" t="n">
        <v>0.065</v>
      </c>
      <c r="E37" s="3" t="inlineStr">
        <is>
          <t>IUP: bertingkat per CV &amp; HBA (PP 26/2022); IUPK: PP 15/2022</t>
        </is>
      </c>
    </row>
    <row r="38">
      <c r="A38" s="10" t="inlineStr">
        <is>
          <t xml:space="preserve">   Penyesuaian harga / penalti kualitas</t>
        </is>
      </c>
      <c r="B38" s="3" t="inlineStr">
        <is>
          <t>% pendapatan</t>
        </is>
      </c>
      <c r="C38" s="27" t="n">
        <v>0.006</v>
      </c>
      <c r="D38" s="27" t="n">
        <v>0.005</v>
      </c>
      <c r="E38" s="3" t="inlineStr">
        <is>
          <t>Penalti CV, TM, ash, sulfur</t>
        </is>
      </c>
    </row>
    <row r="39">
      <c r="A39" s="4" t="inlineStr">
        <is>
          <t>4. BIAYA TETAP TAMBANG &amp; OVERHEAD SITE (Rp juta)</t>
        </is>
      </c>
      <c r="B39" s="5" t="n"/>
      <c r="C39" s="5" t="n"/>
      <c r="D39" s="5" t="n"/>
      <c r="E39" s="5" t="n"/>
    </row>
    <row r="40">
      <c r="A40" s="10" t="inlineStr">
        <is>
          <t xml:space="preserve">   Sewa alat berat &amp; sarana penunjang</t>
        </is>
      </c>
      <c r="B40" s="3" t="inlineStr">
        <is>
          <t>Rp juta</t>
        </is>
      </c>
      <c r="C40" s="17" t="n">
        <v>120000</v>
      </c>
      <c r="D40" s="17" t="n">
        <v>115000</v>
      </c>
    </row>
    <row r="41">
      <c r="A41" s="10" t="inlineStr">
        <is>
          <t xml:space="preserve">   Pemeliharaan jalan tambang &amp; infrastruktur</t>
        </is>
      </c>
      <c r="B41" s="3" t="inlineStr">
        <is>
          <t>Rp juta</t>
        </is>
      </c>
      <c r="C41" s="17" t="n">
        <v>65000</v>
      </c>
      <c r="D41" s="17" t="n">
        <v>68000</v>
      </c>
    </row>
    <row r="42">
      <c r="A42" s="10" t="inlineStr">
        <is>
          <t xml:space="preserve">   Pengelolaan air tambang (dewatering)</t>
        </is>
      </c>
      <c r="B42" s="3" t="inlineStr">
        <is>
          <t>Rp juta</t>
        </is>
      </c>
      <c r="C42" s="17" t="n">
        <v>48000</v>
      </c>
      <c r="D42" s="17" t="n">
        <v>52000</v>
      </c>
    </row>
    <row r="43">
      <c r="A43" s="10" t="inlineStr">
        <is>
          <t xml:space="preserve">   Survei, geologi &amp; grade control</t>
        </is>
      </c>
      <c r="B43" s="3" t="inlineStr">
        <is>
          <t>Rp juta</t>
        </is>
      </c>
      <c r="C43" s="17" t="n">
        <v>18000</v>
      </c>
      <c r="D43" s="17" t="n">
        <v>19000</v>
      </c>
    </row>
    <row r="44">
      <c r="A44" s="10" t="inlineStr">
        <is>
          <t xml:space="preserve">   Gaji &amp; tunjangan karyawan site</t>
        </is>
      </c>
      <c r="B44" s="3" t="inlineStr">
        <is>
          <t>Rp juta</t>
        </is>
      </c>
      <c r="C44" s="17" t="n">
        <v>210000</v>
      </c>
      <c r="D44" s="17" t="n">
        <v>225000</v>
      </c>
    </row>
    <row r="45">
      <c r="A45" s="10" t="inlineStr">
        <is>
          <t xml:space="preserve">   Camp, mess &amp; katering</t>
        </is>
      </c>
      <c r="B45" s="3" t="inlineStr">
        <is>
          <t>Rp juta</t>
        </is>
      </c>
      <c r="C45" s="17" t="n">
        <v>55000</v>
      </c>
      <c r="D45" s="17" t="n">
        <v>58000</v>
      </c>
    </row>
    <row r="46">
      <c r="A46" s="10" t="inlineStr">
        <is>
          <t xml:space="preserve">   K3 / HSE</t>
        </is>
      </c>
      <c r="B46" s="3" t="inlineStr">
        <is>
          <t>Rp juta</t>
        </is>
      </c>
      <c r="C46" s="17" t="n">
        <v>22000</v>
      </c>
      <c r="D46" s="17" t="n">
        <v>24000</v>
      </c>
    </row>
    <row r="47">
      <c r="A47" s="10" t="inlineStr">
        <is>
          <t xml:space="preserve">   Lingkungan &amp; reklamasi (provisi)</t>
        </is>
      </c>
      <c r="B47" s="3" t="inlineStr">
        <is>
          <t>Rp juta</t>
        </is>
      </c>
      <c r="C47" s="17" t="n">
        <v>60000</v>
      </c>
      <c r="D47" s="17" t="n">
        <v>66000</v>
      </c>
    </row>
    <row r="48">
      <c r="A48" s="10" t="inlineStr">
        <is>
          <t xml:space="preserve">   PPM / CSR</t>
        </is>
      </c>
      <c r="B48" s="3" t="inlineStr">
        <is>
          <t>Rp juta</t>
        </is>
      </c>
      <c r="C48" s="17" t="n">
        <v>30000</v>
      </c>
      <c r="D48" s="17" t="n">
        <v>33000</v>
      </c>
    </row>
    <row r="49">
      <c r="A49" s="10" t="inlineStr">
        <is>
          <t xml:space="preserve">   Iuran tetap &amp; kompensasi lahan</t>
        </is>
      </c>
      <c r="B49" s="3" t="inlineStr">
        <is>
          <t>Rp juta</t>
        </is>
      </c>
      <c r="C49" s="17" t="n">
        <v>25000</v>
      </c>
      <c r="D49" s="17" t="n">
        <v>27000</v>
      </c>
    </row>
    <row r="50">
      <c r="A50" s="4" t="inlineStr">
        <is>
          <t>5. PENYUSUTAN &amp; AMORTISASI (Rp juta)</t>
        </is>
      </c>
      <c r="B50" s="5" t="n"/>
      <c r="C50" s="5" t="n"/>
      <c r="D50" s="5" t="n"/>
      <c r="E50" s="5" t="n"/>
    </row>
    <row r="51">
      <c r="A51" s="10" t="inlineStr">
        <is>
          <t xml:space="preserve">   Penyusutan aset tetap (produksi)</t>
        </is>
      </c>
      <c r="B51" s="3" t="inlineStr">
        <is>
          <t>Rp juta</t>
        </is>
      </c>
      <c r="C51" s="17" t="n">
        <v>310000</v>
      </c>
      <c r="D51" s="17" t="n">
        <v>335000</v>
      </c>
    </row>
    <row r="52">
      <c r="A52" s="10" t="inlineStr">
        <is>
          <t xml:space="preserve">   Amortisasi properti pertambangan</t>
        </is>
      </c>
      <c r="B52" s="3" t="inlineStr">
        <is>
          <t>Rp juta</t>
        </is>
      </c>
      <c r="C52" s="17" t="n">
        <v>140000</v>
      </c>
      <c r="D52" s="17" t="n">
        <v>150000</v>
      </c>
    </row>
    <row r="53">
      <c r="A53" s="10" t="inlineStr">
        <is>
          <t xml:space="preserve">   Amortisasi biaya pengupasan tangguhan</t>
        </is>
      </c>
      <c r="B53" s="3" t="inlineStr">
        <is>
          <t>Rp juta</t>
        </is>
      </c>
      <c r="C53" s="17" t="n">
        <v>90000</v>
      </c>
      <c r="D53" s="17" t="n">
        <v>95000</v>
      </c>
    </row>
    <row r="54">
      <c r="A54" s="10" t="inlineStr">
        <is>
          <t xml:space="preserve">   Penyusutan aset kantor (G&amp;A)</t>
        </is>
      </c>
      <c r="B54" s="3" t="inlineStr">
        <is>
          <t>Rp juta</t>
        </is>
      </c>
      <c r="C54" s="17" t="n">
        <v>12000</v>
      </c>
      <c r="D54" s="17" t="n">
        <v>12500</v>
      </c>
    </row>
    <row r="55">
      <c r="A55" s="4" t="inlineStr">
        <is>
          <t>6. BEBAN PENJUALAN</t>
        </is>
      </c>
      <c r="B55" s="5" t="n"/>
      <c r="C55" s="5" t="n"/>
      <c r="D55" s="5" t="n"/>
      <c r="E55" s="5" t="n"/>
    </row>
    <row r="56">
      <c r="A56" s="10" t="inlineStr">
        <is>
          <t xml:space="preserve">   Porsi ekspor dijual CIF</t>
        </is>
      </c>
      <c r="B56" s="3" t="inlineStr">
        <is>
          <t>%</t>
        </is>
      </c>
      <c r="C56" s="25" t="n">
        <v>0.2</v>
      </c>
      <c r="D56" s="25" t="n">
        <v>0.15</v>
      </c>
    </row>
    <row r="57">
      <c r="A57" s="10" t="inlineStr">
        <is>
          <t xml:space="preserve">   Tarif pengapalan laut (CIF)</t>
        </is>
      </c>
      <c r="B57" s="3" t="inlineStr">
        <is>
          <t>USD/ton</t>
        </is>
      </c>
      <c r="C57" s="18" t="n">
        <v>13</v>
      </c>
      <c r="D57" s="18" t="n">
        <v>11.5</v>
      </c>
    </row>
    <row r="58">
      <c r="A58" s="10" t="inlineStr">
        <is>
          <t xml:space="preserve">   Komisi agen penjualan ekspor</t>
        </is>
      </c>
      <c r="B58" s="3" t="inlineStr">
        <is>
          <t>% pendapatan ekspor</t>
        </is>
      </c>
      <c r="C58" s="25" t="n">
        <v>0.01</v>
      </c>
      <c r="D58" s="25" t="n">
        <v>0.01</v>
      </c>
    </row>
    <row r="59">
      <c r="A59" s="10" t="inlineStr">
        <is>
          <t xml:space="preserve">   Surveyor independen &amp; analisa kualitas</t>
        </is>
      </c>
      <c r="B59" s="3" t="inlineStr">
        <is>
          <t>USD/ton</t>
        </is>
      </c>
      <c r="C59" s="18" t="n">
        <v>0.18</v>
      </c>
      <c r="D59" s="18" t="n">
        <v>0.18</v>
      </c>
    </row>
    <row r="60">
      <c r="A60" s="10" t="inlineStr">
        <is>
          <t xml:space="preserve">   Demurrage</t>
        </is>
      </c>
      <c r="B60" s="3" t="inlineStr">
        <is>
          <t>Rp juta</t>
        </is>
      </c>
      <c r="C60" s="17" t="n">
        <v>38000</v>
      </c>
      <c r="D60" s="17" t="n">
        <v>29000</v>
      </c>
    </row>
    <row r="61">
      <c r="A61" s="10" t="inlineStr">
        <is>
          <t xml:space="preserve">   Dokumen ekspor &amp; pungutan</t>
        </is>
      </c>
      <c r="B61" s="3" t="inlineStr">
        <is>
          <t>Rp juta</t>
        </is>
      </c>
      <c r="C61" s="17" t="n">
        <v>14000</v>
      </c>
      <c r="D61" s="17" t="n">
        <v>15000</v>
      </c>
    </row>
    <row r="62">
      <c r="A62" s="10" t="inlineStr">
        <is>
          <t xml:space="preserve">   Pemasaran &amp; promosi</t>
        </is>
      </c>
      <c r="B62" s="3" t="inlineStr">
        <is>
          <t>Rp juta</t>
        </is>
      </c>
      <c r="C62" s="17" t="n">
        <v>6000</v>
      </c>
      <c r="D62" s="17" t="n">
        <v>6500</v>
      </c>
    </row>
    <row r="63">
      <c r="A63" s="4" t="inlineStr">
        <is>
          <t>7. BEBAN UMUM &amp; ADMINISTRASI (Rp juta)</t>
        </is>
      </c>
      <c r="B63" s="5" t="n"/>
      <c r="C63" s="5" t="n"/>
      <c r="D63" s="5" t="n"/>
      <c r="E63" s="5" t="n"/>
    </row>
    <row r="64">
      <c r="A64" s="10" t="inlineStr">
        <is>
          <t xml:space="preserve">   Gaji &amp; tunjangan kantor pusat</t>
        </is>
      </c>
      <c r="B64" s="3" t="inlineStr">
        <is>
          <t>Rp juta</t>
        </is>
      </c>
      <c r="C64" s="17" t="n">
        <v>185000</v>
      </c>
      <c r="D64" s="17" t="n">
        <v>198000</v>
      </c>
    </row>
    <row r="65">
      <c r="A65" s="10" t="inlineStr">
        <is>
          <t xml:space="preserve">   Jasa profesional (hukum, audit, konsultan)</t>
        </is>
      </c>
      <c r="B65" s="3" t="inlineStr">
        <is>
          <t>Rp juta</t>
        </is>
      </c>
      <c r="C65" s="17" t="n">
        <v>42000</v>
      </c>
      <c r="D65" s="17" t="n">
        <v>45000</v>
      </c>
    </row>
    <row r="66">
      <c r="A66" s="10" t="inlineStr">
        <is>
          <t xml:space="preserve">   Sewa kantor</t>
        </is>
      </c>
      <c r="B66" s="3" t="inlineStr">
        <is>
          <t>Rp juta</t>
        </is>
      </c>
      <c r="C66" s="17" t="n">
        <v>18000</v>
      </c>
      <c r="D66" s="17" t="n">
        <v>18500</v>
      </c>
    </row>
    <row r="67">
      <c r="A67" s="10" t="inlineStr">
        <is>
          <t xml:space="preserve">   Perjalanan dinas</t>
        </is>
      </c>
      <c r="B67" s="3" t="inlineStr">
        <is>
          <t>Rp juta</t>
        </is>
      </c>
      <c r="C67" s="17" t="n">
        <v>16000</v>
      </c>
      <c r="D67" s="17" t="n">
        <v>15000</v>
      </c>
    </row>
    <row r="68">
      <c r="A68" s="10" t="inlineStr">
        <is>
          <t xml:space="preserve">   Asuransi</t>
        </is>
      </c>
      <c r="B68" s="3" t="inlineStr">
        <is>
          <t>Rp juta</t>
        </is>
      </c>
      <c r="C68" s="17" t="n">
        <v>21000</v>
      </c>
      <c r="D68" s="17" t="n">
        <v>22000</v>
      </c>
    </row>
    <row r="69">
      <c r="A69" s="10" t="inlineStr">
        <is>
          <t xml:space="preserve">   Pajak, perizinan &amp; iuran</t>
        </is>
      </c>
      <c r="B69" s="3" t="inlineStr">
        <is>
          <t>Rp juta</t>
        </is>
      </c>
      <c r="C69" s="17" t="n">
        <v>12000</v>
      </c>
      <c r="D69" s="17" t="n">
        <v>13000</v>
      </c>
    </row>
    <row r="70">
      <c r="A70" s="10" t="inlineStr">
        <is>
          <t xml:space="preserve">   Teknologi informasi &amp; komunikasi</t>
        </is>
      </c>
      <c r="B70" s="3" t="inlineStr">
        <is>
          <t>Rp juta</t>
        </is>
      </c>
      <c r="C70" s="17" t="n">
        <v>15000</v>
      </c>
      <c r="D70" s="17" t="n">
        <v>17000</v>
      </c>
    </row>
    <row r="71">
      <c r="A71" s="10" t="inlineStr">
        <is>
          <t xml:space="preserve">   Beban umum lainnya</t>
        </is>
      </c>
      <c r="B71" s="3" t="inlineStr">
        <is>
          <t>Rp juta</t>
        </is>
      </c>
      <c r="C71" s="17" t="n">
        <v>20000</v>
      </c>
      <c r="D71" s="17" t="n">
        <v>19000</v>
      </c>
    </row>
    <row r="72">
      <c r="A72" s="4" t="inlineStr">
        <is>
          <t>8. PENDAPATAN JASA &amp; LAIN-LAIN</t>
        </is>
      </c>
      <c r="B72" s="5" t="n"/>
      <c r="C72" s="5" t="n"/>
      <c r="D72" s="5" t="n"/>
      <c r="E72" s="5" t="n"/>
    </row>
    <row r="73">
      <c r="A73" s="10" t="inlineStr">
        <is>
          <t xml:space="preserve">   Pendapatan jasa pelabuhan/hauling pihak ketiga</t>
        </is>
      </c>
      <c r="B73" s="3" t="inlineStr">
        <is>
          <t>Rp juta</t>
        </is>
      </c>
      <c r="C73" s="17" t="n">
        <v>85000</v>
      </c>
      <c r="D73" s="17" t="n">
        <v>92000</v>
      </c>
    </row>
    <row r="74">
      <c r="A74" s="10" t="inlineStr">
        <is>
          <t xml:space="preserve">   Bunga deposito (atas kas awal tahun)</t>
        </is>
      </c>
      <c r="B74" s="3" t="inlineStr">
        <is>
          <t>%</t>
        </is>
      </c>
      <c r="C74" s="27" t="n">
        <v>0.035</v>
      </c>
      <c r="D74" s="27" t="n">
        <v>0.0325</v>
      </c>
      <c r="E74" s="3" t="inlineStr">
        <is>
          <t>Dihitung atas saldo awal untuk hindari circular</t>
        </is>
      </c>
    </row>
    <row r="75">
      <c r="A75" s="10" t="inlineStr">
        <is>
          <t xml:space="preserve">   Laba (rugi) selisih kurs</t>
        </is>
      </c>
      <c r="B75" s="3" t="inlineStr">
        <is>
          <t>Rp juta</t>
        </is>
      </c>
      <c r="C75" s="17" t="n">
        <v>25000</v>
      </c>
      <c r="D75" s="17" t="n">
        <v>-18000</v>
      </c>
    </row>
    <row r="76">
      <c r="A76" s="10" t="inlineStr">
        <is>
          <t xml:space="preserve">   Bagian laba entitas asosiasi</t>
        </is>
      </c>
      <c r="B76" s="3" t="inlineStr">
        <is>
          <t>Rp juta</t>
        </is>
      </c>
      <c r="C76" s="17" t="n">
        <v>12000</v>
      </c>
      <c r="D76" s="17" t="n">
        <v>14000</v>
      </c>
    </row>
    <row r="77">
      <c r="A77" s="10" t="inlineStr">
        <is>
          <t xml:space="preserve">   Pendapatan (beban) lain-lain – neto</t>
        </is>
      </c>
      <c r="B77" s="3" t="inlineStr">
        <is>
          <t>Rp juta</t>
        </is>
      </c>
      <c r="C77" s="17" t="n">
        <v>5000</v>
      </c>
      <c r="D77" s="17" t="n">
        <v>-3000</v>
      </c>
    </row>
    <row r="78">
      <c r="A78" s="4" t="inlineStr">
        <is>
          <t>9. PENDANAAN, PAJAK &amp; DIVIDEN</t>
        </is>
      </c>
      <c r="B78" s="5" t="n"/>
      <c r="C78" s="5" t="n"/>
      <c r="D78" s="5" t="n"/>
      <c r="E78" s="5" t="n"/>
    </row>
    <row r="79">
      <c r="A79" s="10" t="inlineStr">
        <is>
          <t xml:space="preserve">   Penarikan pinjaman bank jangka panjang</t>
        </is>
      </c>
      <c r="B79" s="3" t="inlineStr">
        <is>
          <t>Rp juta</t>
        </is>
      </c>
      <c r="C79" s="17" t="n">
        <v>0</v>
      </c>
      <c r="D79" s="17" t="n">
        <v>400000</v>
      </c>
    </row>
    <row r="80">
      <c r="A80" s="10" t="inlineStr">
        <is>
          <t xml:space="preserve">   Pembayaran pokok pinjaman</t>
        </is>
      </c>
      <c r="B80" s="3" t="inlineStr">
        <is>
          <t>Rp juta</t>
        </is>
      </c>
      <c r="C80" s="17" t="n">
        <v>350000</v>
      </c>
      <c r="D80" s="17" t="n">
        <v>300000</v>
      </c>
    </row>
    <row r="81">
      <c r="A81" s="10" t="inlineStr">
        <is>
          <t xml:space="preserve">   Jadwal pembayaran pokok tahun berikutnya</t>
        </is>
      </c>
      <c r="B81" s="3" t="inlineStr">
        <is>
          <t>Rp juta</t>
        </is>
      </c>
      <c r="C81" s="17" t="n">
        <v>300000</v>
      </c>
      <c r="D81" s="17" t="n">
        <v>320000</v>
      </c>
      <c r="E81" s="3" t="inlineStr">
        <is>
          <t>Untuk klasifikasi bagian lancar</t>
        </is>
      </c>
    </row>
    <row r="82">
      <c r="A82" s="10" t="inlineStr">
        <is>
          <t xml:space="preserve">   Saldo pinjaman bank jangka panjang akhir tahun</t>
        </is>
      </c>
      <c r="B82" s="3" t="inlineStr">
        <is>
          <t>Rp juta</t>
        </is>
      </c>
      <c r="C82" s="28">
        <f>'A3 Neraca Contoh'!C35+'A3 Neraca Contoh'!C38+C79-C80</f>
        <v/>
      </c>
      <c r="D82" s="19">
        <f>C82+D79-D80</f>
        <v/>
      </c>
    </row>
    <row r="83">
      <c r="A83" s="10" t="inlineStr">
        <is>
          <t xml:space="preserve">   Pinjaman bank jangka pendek (akhir tahun)</t>
        </is>
      </c>
      <c r="B83" s="3" t="inlineStr">
        <is>
          <t>Rp juta</t>
        </is>
      </c>
      <c r="C83" s="17" t="n">
        <v>100000</v>
      </c>
      <c r="D83" s="17" t="n">
        <v>150000</v>
      </c>
    </row>
    <row r="84">
      <c r="A84" s="10" t="inlineStr">
        <is>
          <t xml:space="preserve">   Suku bunga pinjaman rata-rata</t>
        </is>
      </c>
      <c r="B84" s="3" t="inlineStr">
        <is>
          <t>%</t>
        </is>
      </c>
      <c r="C84" s="27" t="n">
        <v>0.08</v>
      </c>
      <c r="D84" s="27" t="n">
        <v>0.0775</v>
      </c>
    </row>
    <row r="85">
      <c r="A85" s="10" t="inlineStr">
        <is>
          <t xml:space="preserve">   Tarif pajak penghasilan badan</t>
        </is>
      </c>
      <c r="B85" s="3" t="inlineStr">
        <is>
          <t>%</t>
        </is>
      </c>
      <c r="C85" s="25" t="n">
        <v>0.22</v>
      </c>
      <c r="D85" s="25" t="n">
        <v>0.22</v>
      </c>
      <c r="E85" s="3" t="inlineStr">
        <is>
          <t>UU HPP</t>
        </is>
      </c>
    </row>
    <row r="86">
      <c r="A86" s="10" t="inlineStr">
        <is>
          <t xml:space="preserve">   Rasio pembayaran dividen (atas laba tahun lalu)</t>
        </is>
      </c>
      <c r="B86" s="3" t="inlineStr">
        <is>
          <t>%</t>
        </is>
      </c>
      <c r="C86" s="25" t="n">
        <v>0.4</v>
      </c>
      <c r="D86" s="25" t="n">
        <v>0.4</v>
      </c>
    </row>
    <row r="87">
      <c r="A87" s="10" t="inlineStr">
        <is>
          <t xml:space="preserve">   Laba bersih tahun sebelumnya</t>
        </is>
      </c>
      <c r="B87" s="3" t="inlineStr">
        <is>
          <t>Rp juta</t>
        </is>
      </c>
      <c r="C87" s="17" t="n">
        <v>2100000</v>
      </c>
      <c r="D87" s="28">
        <f>'A2 Laba Rugi Contoh'!C89</f>
        <v/>
      </c>
      <c r="E87" s="3" t="inlineStr">
        <is>
          <t>2024: laba 2023 (input); 2025: dari A2</t>
        </is>
      </c>
    </row>
    <row r="88">
      <c r="A88" s="10" t="inlineStr">
        <is>
          <t xml:space="preserve">   Dividen tunai dibayar</t>
        </is>
      </c>
      <c r="B88" s="3" t="inlineStr">
        <is>
          <t>Rp juta</t>
        </is>
      </c>
      <c r="C88" s="19">
        <f>C87*C86</f>
        <v/>
      </c>
      <c r="D88" s="19">
        <f>D87*D86</f>
        <v/>
      </c>
    </row>
    <row r="89">
      <c r="A89" s="4" t="inlineStr">
        <is>
          <t>10. BELANJA MODAL (Rp juta)</t>
        </is>
      </c>
      <c r="B89" s="5" t="n"/>
      <c r="C89" s="5" t="n"/>
      <c r="D89" s="5" t="n"/>
      <c r="E89" s="5" t="n"/>
    </row>
    <row r="90">
      <c r="A90" s="10" t="inlineStr">
        <is>
          <t xml:space="preserve">   Capex aset tetap</t>
        </is>
      </c>
      <c r="B90" s="3" t="inlineStr">
        <is>
          <t>Rp juta</t>
        </is>
      </c>
      <c r="C90" s="17" t="n">
        <v>420000</v>
      </c>
      <c r="D90" s="17" t="n">
        <v>560000</v>
      </c>
    </row>
    <row r="91">
      <c r="A91" s="10" t="inlineStr">
        <is>
          <t xml:space="preserve">   Penambahan properti pertambangan</t>
        </is>
      </c>
      <c r="B91" s="3" t="inlineStr">
        <is>
          <t>Rp juta</t>
        </is>
      </c>
      <c r="C91" s="17" t="n">
        <v>150000</v>
      </c>
      <c r="D91" s="17" t="n">
        <v>180000</v>
      </c>
    </row>
    <row r="92">
      <c r="A92" s="10" t="inlineStr">
        <is>
          <t xml:space="preserve">   Biaya pengupasan tangguhan dikapitalisasi</t>
        </is>
      </c>
      <c r="B92" s="3" t="inlineStr">
        <is>
          <t>Rp juta</t>
        </is>
      </c>
      <c r="C92" s="17" t="n">
        <v>110000</v>
      </c>
      <c r="D92" s="17" t="n">
        <v>100000</v>
      </c>
    </row>
    <row r="93">
      <c r="A93" s="10" t="inlineStr">
        <is>
          <t xml:space="preserve">   Belanja eksplorasi &amp; evaluasi</t>
        </is>
      </c>
      <c r="B93" s="3" t="inlineStr">
        <is>
          <t>Rp juta</t>
        </is>
      </c>
      <c r="C93" s="17" t="n">
        <v>5000</v>
      </c>
      <c r="D93" s="17" t="n">
        <v>10000</v>
      </c>
    </row>
    <row r="94">
      <c r="A94" s="4" t="inlineStr">
        <is>
          <t>11. MODAL KERJA &amp; POS NERACA LAIN</t>
        </is>
      </c>
      <c r="B94" s="5" t="n"/>
      <c r="C94" s="5" t="n"/>
      <c r="D94" s="5" t="n"/>
      <c r="E94" s="5" t="n"/>
    </row>
    <row r="95">
      <c r="A95" s="10" t="inlineStr">
        <is>
          <t xml:space="preserve">   Hari piutang (DSO)</t>
        </is>
      </c>
      <c r="B95" s="3" t="inlineStr">
        <is>
          <t>hari</t>
        </is>
      </c>
      <c r="C95" s="17" t="n">
        <v>30</v>
      </c>
      <c r="D95" s="17" t="n">
        <v>32</v>
      </c>
    </row>
    <row r="96">
      <c r="A96" s="10" t="inlineStr">
        <is>
          <t xml:space="preserve">   Hari utang usaha (DPO) atas biaya kas produksi</t>
        </is>
      </c>
      <c r="B96" s="3" t="inlineStr">
        <is>
          <t>hari</t>
        </is>
      </c>
      <c r="C96" s="17" t="n">
        <v>45</v>
      </c>
      <c r="D96" s="17" t="n">
        <v>48</v>
      </c>
    </row>
    <row r="97">
      <c r="A97" s="10" t="inlineStr">
        <is>
          <t xml:space="preserve">   Persediaan suku cadang &amp; BBM</t>
        </is>
      </c>
      <c r="B97" s="3" t="inlineStr">
        <is>
          <t>Rp juta</t>
        </is>
      </c>
      <c r="C97" s="17" t="n">
        <v>210000</v>
      </c>
      <c r="D97" s="17" t="n">
        <v>225000</v>
      </c>
    </row>
    <row r="98">
      <c r="A98" s="10" t="inlineStr">
        <is>
          <t xml:space="preserve">   Piutang lain-lain</t>
        </is>
      </c>
      <c r="B98" s="3" t="inlineStr">
        <is>
          <t>Rp juta</t>
        </is>
      </c>
      <c r="C98" s="17" t="n">
        <v>60000</v>
      </c>
      <c r="D98" s="17" t="n">
        <v>58000</v>
      </c>
    </row>
    <row r="99">
      <c r="A99" s="10" t="inlineStr">
        <is>
          <t xml:space="preserve">   Uang muka &amp; biaya dibayar dimuka</t>
        </is>
      </c>
      <c r="B99" s="3" t="inlineStr">
        <is>
          <t>Rp juta</t>
        </is>
      </c>
      <c r="C99" s="17" t="n">
        <v>95000</v>
      </c>
      <c r="D99" s="17" t="n">
        <v>102000</v>
      </c>
    </row>
    <row r="100">
      <c r="A100" s="10" t="inlineStr">
        <is>
          <t xml:space="preserve">   Pajak dibayar dimuka</t>
        </is>
      </c>
      <c r="B100" s="3" t="inlineStr">
        <is>
          <t>Rp juta</t>
        </is>
      </c>
      <c r="C100" s="17" t="n">
        <v>140000</v>
      </c>
      <c r="D100" s="17" t="n">
        <v>150000</v>
      </c>
    </row>
    <row r="101">
      <c r="A101" s="10" t="inlineStr">
        <is>
          <t xml:space="preserve">   Beban akrual</t>
        </is>
      </c>
      <c r="B101" s="3" t="inlineStr">
        <is>
          <t>Rp juta</t>
        </is>
      </c>
      <c r="C101" s="17" t="n">
        <v>150000</v>
      </c>
      <c r="D101" s="17" t="n">
        <v>162000</v>
      </c>
    </row>
    <row r="102">
      <c r="A102" s="10" t="inlineStr">
        <is>
          <t xml:space="preserve">   Utang royalti (bulan royalti)</t>
        </is>
      </c>
      <c r="B102" s="3" t="inlineStr">
        <is>
          <t>bulan</t>
        </is>
      </c>
      <c r="C102" s="17" t="n">
        <v>1</v>
      </c>
      <c r="D102" s="17" t="n">
        <v>1</v>
      </c>
    </row>
    <row r="103">
      <c r="A103" s="10" t="inlineStr">
        <is>
          <t xml:space="preserve">   Utang pajak (% beban pajak tahun berjalan)</t>
        </is>
      </c>
      <c r="B103" s="3" t="inlineStr">
        <is>
          <t>%</t>
        </is>
      </c>
      <c r="C103" s="25" t="n">
        <v>0.25</v>
      </c>
      <c r="D103" s="25" t="n">
        <v>0.25</v>
      </c>
    </row>
    <row r="104">
      <c r="A104" s="10" t="inlineStr">
        <is>
          <t xml:space="preserve">   Realisasi pengeluaran reklamasi (kas)</t>
        </is>
      </c>
      <c r="B104" s="3" t="inlineStr">
        <is>
          <t>Rp juta</t>
        </is>
      </c>
      <c r="C104" s="17" t="n">
        <v>35000</v>
      </c>
      <c r="D104" s="17" t="n">
        <v>40000</v>
      </c>
    </row>
    <row r="105">
      <c r="A105" s="10" t="inlineStr">
        <is>
          <t xml:space="preserve">   Liabilitas imbalan kerja</t>
        </is>
      </c>
      <c r="B105" s="3" t="inlineStr">
        <is>
          <t>Rp juta</t>
        </is>
      </c>
      <c r="C105" s="17" t="n">
        <v>185000</v>
      </c>
      <c r="D105" s="17" t="n">
        <v>198000</v>
      </c>
    </row>
    <row r="106">
      <c r="A106" s="10" t="inlineStr">
        <is>
          <t xml:space="preserve">   Dana jaminan reklamasi (dibatasi)</t>
        </is>
      </c>
      <c r="B106" s="3" t="inlineStr">
        <is>
          <t>Rp juta</t>
        </is>
      </c>
      <c r="C106" s="17" t="n">
        <v>120000</v>
      </c>
      <c r="D106" s="17" t="n">
        <v>135000</v>
      </c>
    </row>
    <row r="107">
      <c r="A107" s="10" t="inlineStr">
        <is>
          <t xml:space="preserve">   Aset tidak lancar lainnya</t>
        </is>
      </c>
      <c r="B107" s="3" t="inlineStr">
        <is>
          <t>Rp juta</t>
        </is>
      </c>
      <c r="C107" s="17" t="n">
        <v>40000</v>
      </c>
      <c r="D107" s="17" t="n">
        <v>42000</v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F9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24" customWidth="1" min="2" max="2"/>
    <col width="15" customWidth="1" min="3" max="3"/>
    <col width="15" customWidth="1" min="4" max="4"/>
    <col width="11" customWidth="1" min="5" max="5"/>
    <col width="14" customWidth="1" min="6" max="6"/>
  </cols>
  <sheetData>
    <row r="1">
      <c r="A1" s="1" t="inlineStr">
        <is>
          <t>PT Batubara Contoh Tbk (fiktif) – Laporan Laba Rugi Konsolidasian</t>
        </is>
      </c>
      <c r="B1" s="2" t="n"/>
      <c r="C1" s="2" t="n"/>
      <c r="D1" s="2" t="n"/>
      <c r="E1" s="2" t="n"/>
      <c r="F1" s="2" t="n"/>
    </row>
    <row r="2">
      <c r="A2" s="3" t="inlineStr">
        <is>
          <t>Untuk tahun yang berakhir 31 Desember | dalam Rp juta | angka ilustratif, bukan data emiten sebenarnya</t>
        </is>
      </c>
    </row>
    <row r="5">
      <c r="A5" s="16" t="inlineStr">
        <is>
          <t>Uraian</t>
        </is>
      </c>
      <c r="B5" s="16" t="inlineStr">
        <is>
          <t>Basis perhitungan</t>
        </is>
      </c>
      <c r="C5" s="16" t="inlineStr">
        <is>
          <t>FY2024</t>
        </is>
      </c>
      <c r="D5" s="16" t="inlineStr">
        <is>
          <t>FY2025</t>
        </is>
      </c>
      <c r="E5" s="16" t="inlineStr">
        <is>
          <t>Δ% YoY</t>
        </is>
      </c>
      <c r="F5" s="16" t="inlineStr">
        <is>
          <t>% thd pendapatan FY2025</t>
        </is>
      </c>
    </row>
    <row r="6">
      <c r="A6" s="4" t="inlineStr">
        <is>
          <t>PENDAPATAN</t>
        </is>
      </c>
      <c r="B6" s="5" t="n"/>
      <c r="C6" s="5" t="n"/>
      <c r="D6" s="5" t="n"/>
      <c r="E6" s="5" t="n"/>
      <c r="F6" s="5" t="n"/>
    </row>
    <row r="7">
      <c r="A7" s="10" t="inlineStr">
        <is>
          <t xml:space="preserve">   Penjualan batubara – Ekspor</t>
        </is>
      </c>
      <c r="B7" s="3" t="inlineStr">
        <is>
          <t>Vol × ASP × kurs</t>
        </is>
      </c>
      <c r="C7" s="28">
        <f>'A1 Asumsi Contoh'!C18*'A1 Asumsi Contoh'!C9*'A1 Asumsi Contoh'!C7/1000000</f>
        <v/>
      </c>
      <c r="D7" s="28">
        <f>'A1 Asumsi Contoh'!D18*'A1 Asumsi Contoh'!D9*'A1 Asumsi Contoh'!D7/1000000</f>
        <v/>
      </c>
      <c r="E7" s="29">
        <f>IFERROR((D7-C7)/ABS(C7),"")</f>
        <v/>
      </c>
      <c r="F7" s="29">
        <f>IFERROR(D7/D$13,"")</f>
        <v/>
      </c>
    </row>
    <row r="8">
      <c r="A8" s="10" t="inlineStr">
        <is>
          <t xml:space="preserve">   Penjualan batubara – Domestik DMO</t>
        </is>
      </c>
      <c r="B8" s="3" t="inlineStr">
        <is>
          <t>Vol × ASP × kurs</t>
        </is>
      </c>
      <c r="C8" s="28">
        <f>'A1 Asumsi Contoh'!C19*'A1 Asumsi Contoh'!C10*'A1 Asumsi Contoh'!C7/1000000</f>
        <v/>
      </c>
      <c r="D8" s="28">
        <f>'A1 Asumsi Contoh'!D19*'A1 Asumsi Contoh'!D10*'A1 Asumsi Contoh'!D7/1000000</f>
        <v/>
      </c>
      <c r="E8" s="29">
        <f>IFERROR((D8-C8)/ABS(C8),"")</f>
        <v/>
      </c>
      <c r="F8" s="29">
        <f>IFERROR(D8/D$13,"")</f>
        <v/>
      </c>
    </row>
    <row r="9">
      <c r="A9" s="10" t="inlineStr">
        <is>
          <t xml:space="preserve">   Penjualan batubara – Domestik non-DMO</t>
        </is>
      </c>
      <c r="B9" s="3" t="inlineStr">
        <is>
          <t>Vol × ASP × kurs</t>
        </is>
      </c>
      <c r="C9" s="28">
        <f>'A1 Asumsi Contoh'!C20*'A1 Asumsi Contoh'!C11*'A1 Asumsi Contoh'!C7/1000000</f>
        <v/>
      </c>
      <c r="D9" s="28">
        <f>'A1 Asumsi Contoh'!D20*'A1 Asumsi Contoh'!D11*'A1 Asumsi Contoh'!D7/1000000</f>
        <v/>
      </c>
      <c r="E9" s="29">
        <f>IFERROR((D9-C9)/ABS(C9),"")</f>
        <v/>
      </c>
      <c r="F9" s="29">
        <f>IFERROR(D9/D$13,"")</f>
        <v/>
      </c>
    </row>
    <row r="10">
      <c r="A10" s="20" t="inlineStr">
        <is>
          <t xml:space="preserve">   Subtotal penjualan batubara</t>
        </is>
      </c>
      <c r="B10" s="23" t="n"/>
      <c r="C10" s="22">
        <f>SUM(C7:C9)</f>
        <v/>
      </c>
      <c r="D10" s="22">
        <f>SUM(D7:D9)</f>
        <v/>
      </c>
      <c r="E10" s="30">
        <f>IFERROR((D10-C10)/ABS(C10),"")</f>
        <v/>
      </c>
      <c r="F10" s="30">
        <f>IFERROR(D10/D$13,"")</f>
        <v/>
      </c>
    </row>
    <row r="11">
      <c r="A11" s="10" t="inlineStr">
        <is>
          <t xml:space="preserve">   Penyesuaian harga / penalti kualitas</t>
        </is>
      </c>
      <c r="B11" s="3" t="inlineStr">
        <is>
          <t>% × penjualan</t>
        </is>
      </c>
      <c r="C11" s="28">
        <f>-C10*'A1 Asumsi Contoh'!C38</f>
        <v/>
      </c>
      <c r="D11" s="28">
        <f>-D10*'A1 Asumsi Contoh'!D38</f>
        <v/>
      </c>
      <c r="E11" s="29">
        <f>IFERROR((D11-C11)/ABS(C11),"")</f>
        <v/>
      </c>
      <c r="F11" s="29">
        <f>IFERROR(D11/D$13,"")</f>
        <v/>
      </c>
    </row>
    <row r="12">
      <c r="A12" s="10" t="inlineStr">
        <is>
          <t xml:space="preserve">   Pendapatan jasa pelabuhan/hauling pihak ketiga</t>
        </is>
      </c>
      <c r="C12" s="28">
        <f>'A1 Asumsi Contoh'!C73</f>
        <v/>
      </c>
      <c r="D12" s="28">
        <f>'A1 Asumsi Contoh'!D73</f>
        <v/>
      </c>
      <c r="E12" s="29">
        <f>IFERROR((D12-C12)/ABS(C12),"")</f>
        <v/>
      </c>
      <c r="F12" s="29">
        <f>IFERROR(D12/D$13,"")</f>
        <v/>
      </c>
    </row>
    <row r="13">
      <c r="A13" s="31" t="inlineStr">
        <is>
          <t>PENDAPATAN BERSIH</t>
        </is>
      </c>
      <c r="B13" s="32" t="n"/>
      <c r="C13" s="33">
        <f>C10+C11+C12</f>
        <v/>
      </c>
      <c r="D13" s="33">
        <f>D10+D11+D12</f>
        <v/>
      </c>
      <c r="E13" s="34">
        <f>IFERROR((D13-C13)/ABS(C13),"")</f>
        <v/>
      </c>
      <c r="F13" s="34">
        <f>IFERROR(D13/D$13,"")</f>
        <v/>
      </c>
    </row>
    <row r="15">
      <c r="A15" s="4" t="inlineStr">
        <is>
          <t>BEBAN POKOK PENDAPATAN</t>
        </is>
      </c>
      <c r="B15" s="5" t="n"/>
      <c r="C15" s="5" t="n"/>
      <c r="D15" s="5" t="n"/>
      <c r="E15" s="5" t="n"/>
      <c r="F15" s="5" t="n"/>
    </row>
    <row r="16">
      <c r="A16" s="35" t="inlineStr">
        <is>
          <t>A. Biaya penambangan</t>
        </is>
      </c>
    </row>
    <row r="17">
      <c r="A17" s="10" t="inlineStr">
        <is>
          <t xml:space="preserve">   Pengupasan OB – jasa kontraktor</t>
        </is>
      </c>
      <c r="B17" s="3" t="inlineStr">
        <is>
          <t>bcm × tarif × kurs</t>
        </is>
      </c>
      <c r="C17" s="28">
        <f>'A1 Asumsi Contoh'!C16*'A1 Asumsi Contoh'!C27*'A1 Asumsi Contoh'!C7/1000000</f>
        <v/>
      </c>
      <c r="D17" s="28">
        <f>'A1 Asumsi Contoh'!D16*'A1 Asumsi Contoh'!D27*'A1 Asumsi Contoh'!D7/1000000</f>
        <v/>
      </c>
      <c r="E17" s="29">
        <f>IFERROR((D17-C17)/ABS(C17),"")</f>
        <v/>
      </c>
      <c r="F17" s="29">
        <f>IFERROR(D17/D$13,"")</f>
        <v/>
      </c>
    </row>
    <row r="18">
      <c r="A18" s="10" t="inlineStr">
        <is>
          <t xml:space="preserve">   Bahan bakar (BBM)</t>
        </is>
      </c>
      <c r="B18" s="3" t="inlineStr">
        <is>
          <t>bcm × L/bcm × Rp/L</t>
        </is>
      </c>
      <c r="C18" s="28">
        <f>'A1 Asumsi Contoh'!C16*'A1 Asumsi Contoh'!C29*'A1 Asumsi Contoh'!C30/1000000</f>
        <v/>
      </c>
      <c r="D18" s="28">
        <f>'A1 Asumsi Contoh'!D16*'A1 Asumsi Contoh'!D29*'A1 Asumsi Contoh'!D30/1000000</f>
        <v/>
      </c>
      <c r="E18" s="29">
        <f>IFERROR((D18-C18)/ABS(C18),"")</f>
        <v/>
      </c>
      <c r="F18" s="29">
        <f>IFERROR(D18/D$13,"")</f>
        <v/>
      </c>
    </row>
    <row r="19">
      <c r="A19" s="10" t="inlineStr">
        <is>
          <t xml:space="preserve">   Peledakan (drill &amp; blast)</t>
        </is>
      </c>
      <c r="B19" s="3" t="inlineStr">
        <is>
          <t>bcm × % × tarif</t>
        </is>
      </c>
      <c r="C19" s="28">
        <f>'A1 Asumsi Contoh'!C16*'A1 Asumsi Contoh'!C31*'A1 Asumsi Contoh'!C32*'A1 Asumsi Contoh'!C7/1000000</f>
        <v/>
      </c>
      <c r="D19" s="28">
        <f>'A1 Asumsi Contoh'!D16*'A1 Asumsi Contoh'!D31*'A1 Asumsi Contoh'!D32*'A1 Asumsi Contoh'!D7/1000000</f>
        <v/>
      </c>
      <c r="E19" s="29">
        <f>IFERROR((D19-C19)/ABS(C19),"")</f>
        <v/>
      </c>
      <c r="F19" s="29">
        <f>IFERROR(D19/D$13,"")</f>
        <v/>
      </c>
    </row>
    <row r="20">
      <c r="A20" s="10" t="inlineStr">
        <is>
          <t xml:space="preserve">   Penggalian batubara (coal getting)</t>
        </is>
      </c>
      <c r="B20" s="3" t="inlineStr">
        <is>
          <t>ton × tarif</t>
        </is>
      </c>
      <c r="C20" s="28">
        <f>'A1 Asumsi Contoh'!C14*'A1 Asumsi Contoh'!C28*'A1 Asumsi Contoh'!C7/1000000</f>
        <v/>
      </c>
      <c r="D20" s="28">
        <f>'A1 Asumsi Contoh'!D14*'A1 Asumsi Contoh'!D28*'A1 Asumsi Contoh'!D7/1000000</f>
        <v/>
      </c>
      <c r="E20" s="29">
        <f>IFERROR((D20-C20)/ABS(C20),"")</f>
        <v/>
      </c>
      <c r="F20" s="29">
        <f>IFERROR(D20/D$13,"")</f>
        <v/>
      </c>
    </row>
    <row r="21">
      <c r="A21" s="10" t="inlineStr">
        <is>
          <t xml:space="preserve">   Sewa alat berat &amp; sarana penunjang</t>
        </is>
      </c>
      <c r="C21" s="28">
        <f>'A1 Asumsi Contoh'!C40</f>
        <v/>
      </c>
      <c r="D21" s="28">
        <f>'A1 Asumsi Contoh'!D40</f>
        <v/>
      </c>
      <c r="E21" s="29">
        <f>IFERROR((D21-C21)/ABS(C21),"")</f>
        <v/>
      </c>
      <c r="F21" s="29">
        <f>IFERROR(D21/D$13,"")</f>
        <v/>
      </c>
    </row>
    <row r="22">
      <c r="A22" s="10" t="inlineStr">
        <is>
          <t xml:space="preserve">   Pemeliharaan jalan tambang &amp; infrastruktur</t>
        </is>
      </c>
      <c r="C22" s="28">
        <f>'A1 Asumsi Contoh'!C41</f>
        <v/>
      </c>
      <c r="D22" s="28">
        <f>'A1 Asumsi Contoh'!D41</f>
        <v/>
      </c>
      <c r="E22" s="29">
        <f>IFERROR((D22-C22)/ABS(C22),"")</f>
        <v/>
      </c>
      <c r="F22" s="29">
        <f>IFERROR(D22/D$13,"")</f>
        <v/>
      </c>
    </row>
    <row r="23">
      <c r="A23" s="10" t="inlineStr">
        <is>
          <t xml:space="preserve">   Pengelolaan air tambang (dewatering)</t>
        </is>
      </c>
      <c r="C23" s="28">
        <f>'A1 Asumsi Contoh'!C42</f>
        <v/>
      </c>
      <c r="D23" s="28">
        <f>'A1 Asumsi Contoh'!D42</f>
        <v/>
      </c>
      <c r="E23" s="29">
        <f>IFERROR((D23-C23)/ABS(C23),"")</f>
        <v/>
      </c>
      <c r="F23" s="29">
        <f>IFERROR(D23/D$13,"")</f>
        <v/>
      </c>
    </row>
    <row r="24">
      <c r="A24" s="10" t="inlineStr">
        <is>
          <t xml:space="preserve">   Survei, geologi &amp; grade control</t>
        </is>
      </c>
      <c r="C24" s="28">
        <f>'A1 Asumsi Contoh'!C43</f>
        <v/>
      </c>
      <c r="D24" s="28">
        <f>'A1 Asumsi Contoh'!D43</f>
        <v/>
      </c>
      <c r="E24" s="29">
        <f>IFERROR((D24-C24)/ABS(C24),"")</f>
        <v/>
      </c>
      <c r="F24" s="29">
        <f>IFERROR(D24/D$13,"")</f>
        <v/>
      </c>
    </row>
    <row r="25">
      <c r="A25" s="20" t="inlineStr">
        <is>
          <t xml:space="preserve">   Subtotal biaya penambangan</t>
        </is>
      </c>
      <c r="B25" s="23" t="n"/>
      <c r="C25" s="22">
        <f>SUM(C17:C24)</f>
        <v/>
      </c>
      <c r="D25" s="22">
        <f>SUM(D17:D24)</f>
        <v/>
      </c>
      <c r="E25" s="30">
        <f>IFERROR((D25-C25)/ABS(C25),"")</f>
        <v/>
      </c>
      <c r="F25" s="30">
        <f>IFERROR(D25/D$13,"")</f>
        <v/>
      </c>
    </row>
    <row r="26">
      <c r="A26" s="35" t="inlineStr">
        <is>
          <t>B. Pengolahan &amp; logistik</t>
        </is>
      </c>
    </row>
    <row r="27">
      <c r="A27" s="10" t="inlineStr">
        <is>
          <t xml:space="preserve">   Crushing &amp; pengolahan (CPP)</t>
        </is>
      </c>
      <c r="B27" s="3" t="inlineStr">
        <is>
          <t>ton produksi × tarif</t>
        </is>
      </c>
      <c r="C27" s="28">
        <f>'A1 Asumsi Contoh'!C14*'A1 Asumsi Contoh'!C33*'A1 Asumsi Contoh'!C7/1000000</f>
        <v/>
      </c>
      <c r="D27" s="28">
        <f>'A1 Asumsi Contoh'!D14*'A1 Asumsi Contoh'!D33*'A1 Asumsi Contoh'!D7/1000000</f>
        <v/>
      </c>
      <c r="E27" s="29">
        <f>IFERROR((D27-C27)/ABS(C27),"")</f>
        <v/>
      </c>
      <c r="F27" s="29">
        <f>IFERROR(D27/D$13,"")</f>
        <v/>
      </c>
    </row>
    <row r="28">
      <c r="A28" s="10" t="inlineStr">
        <is>
          <t xml:space="preserve">   Hauling tambang – pelabuhan</t>
        </is>
      </c>
      <c r="B28" s="3" t="inlineStr">
        <is>
          <t>ton × km × tarif</t>
        </is>
      </c>
      <c r="C28" s="28">
        <f>'A1 Asumsi Contoh'!C14*'A1 Asumsi Contoh'!C17*'A1 Asumsi Contoh'!C34*'A1 Asumsi Contoh'!C7/1000000</f>
        <v/>
      </c>
      <c r="D28" s="28">
        <f>'A1 Asumsi Contoh'!D14*'A1 Asumsi Contoh'!D17*'A1 Asumsi Contoh'!D34*'A1 Asumsi Contoh'!D7/1000000</f>
        <v/>
      </c>
      <c r="E28" s="29">
        <f>IFERROR((D28-C28)/ABS(C28),"")</f>
        <v/>
      </c>
      <c r="F28" s="29">
        <f>IFERROR(D28/D$13,"")</f>
        <v/>
      </c>
    </row>
    <row r="29">
      <c r="A29" s="10" t="inlineStr">
        <is>
          <t xml:space="preserve">   Penanganan pelabuhan &amp; stockpile</t>
        </is>
      </c>
      <c r="B29" s="3" t="inlineStr">
        <is>
          <t>ton jual × tarif</t>
        </is>
      </c>
      <c r="C29" s="28">
        <f>'A1 Asumsi Contoh'!C21*'A1 Asumsi Contoh'!C35*'A1 Asumsi Contoh'!C7/1000000</f>
        <v/>
      </c>
      <c r="D29" s="28">
        <f>'A1 Asumsi Contoh'!D21*'A1 Asumsi Contoh'!D35*'A1 Asumsi Contoh'!D7/1000000</f>
        <v/>
      </c>
      <c r="E29" s="29">
        <f>IFERROR((D29-C29)/ABS(C29),"")</f>
        <v/>
      </c>
      <c r="F29" s="29">
        <f>IFERROR(D29/D$13,"")</f>
        <v/>
      </c>
    </row>
    <row r="30">
      <c r="A30" s="10" t="inlineStr">
        <is>
          <t xml:space="preserve">   Tongkang &amp; transshipment (barging)</t>
        </is>
      </c>
      <c r="B30" s="3" t="inlineStr">
        <is>
          <t>ton jual × tarif</t>
        </is>
      </c>
      <c r="C30" s="28">
        <f>'A1 Asumsi Contoh'!C21*'A1 Asumsi Contoh'!C36*'A1 Asumsi Contoh'!C7/1000000</f>
        <v/>
      </c>
      <c r="D30" s="28">
        <f>'A1 Asumsi Contoh'!D21*'A1 Asumsi Contoh'!D36*'A1 Asumsi Contoh'!D7/1000000</f>
        <v/>
      </c>
      <c r="E30" s="29">
        <f>IFERROR((D30-C30)/ABS(C30),"")</f>
        <v/>
      </c>
      <c r="F30" s="29">
        <f>IFERROR(D30/D$13,"")</f>
        <v/>
      </c>
    </row>
    <row r="31">
      <c r="A31" s="20" t="inlineStr">
        <is>
          <t xml:space="preserve">   Subtotal pengolahan &amp; logistik</t>
        </is>
      </c>
      <c r="B31" s="23" t="n"/>
      <c r="C31" s="22">
        <f>SUM(C27:C30)</f>
        <v/>
      </c>
      <c r="D31" s="22">
        <f>SUM(D27:D30)</f>
        <v/>
      </c>
      <c r="E31" s="30">
        <f>IFERROR((D31-C31)/ABS(C31),"")</f>
        <v/>
      </c>
      <c r="F31" s="30">
        <f>IFERROR(D31/D$13,"")</f>
        <v/>
      </c>
    </row>
    <row r="32">
      <c r="A32" s="35" t="inlineStr">
        <is>
          <t>C. Royalti</t>
        </is>
      </c>
    </row>
    <row r="33">
      <c r="A33" s="20" t="inlineStr">
        <is>
          <t xml:space="preserve">   Royalti / PNBP (DHPB)</t>
        </is>
      </c>
      <c r="B33" s="21" t="inlineStr">
        <is>
          <t>penjualan neto × tarif</t>
        </is>
      </c>
      <c r="C33" s="36">
        <f>(C10+C11)*'A1 Asumsi Contoh'!C37</f>
        <v/>
      </c>
      <c r="D33" s="36">
        <f>(D10+D11)*'A1 Asumsi Contoh'!D37</f>
        <v/>
      </c>
      <c r="E33" s="30">
        <f>IFERROR((D33-C33)/ABS(C33),"")</f>
        <v/>
      </c>
      <c r="F33" s="30">
        <f>IFERROR(D33/D$13,"")</f>
        <v/>
      </c>
    </row>
    <row r="34">
      <c r="A34" s="35" t="inlineStr">
        <is>
          <t>D. Biaya tidak langsung tambang (site overhead)</t>
        </is>
      </c>
    </row>
    <row r="35">
      <c r="A35" s="10" t="inlineStr">
        <is>
          <t xml:space="preserve">   Gaji &amp; tunjangan karyawan site</t>
        </is>
      </c>
      <c r="C35" s="28">
        <f>'A1 Asumsi Contoh'!C44</f>
        <v/>
      </c>
      <c r="D35" s="28">
        <f>'A1 Asumsi Contoh'!D44</f>
        <v/>
      </c>
      <c r="E35" s="29">
        <f>IFERROR((D35-C35)/ABS(C35),"")</f>
        <v/>
      </c>
      <c r="F35" s="29">
        <f>IFERROR(D35/D$13,"")</f>
        <v/>
      </c>
    </row>
    <row r="36">
      <c r="A36" s="10" t="inlineStr">
        <is>
          <t xml:space="preserve">   Camp, mess &amp; katering</t>
        </is>
      </c>
      <c r="C36" s="28">
        <f>'A1 Asumsi Contoh'!C45</f>
        <v/>
      </c>
      <c r="D36" s="28">
        <f>'A1 Asumsi Contoh'!D45</f>
        <v/>
      </c>
      <c r="E36" s="29">
        <f>IFERROR((D36-C36)/ABS(C36),"")</f>
        <v/>
      </c>
      <c r="F36" s="29">
        <f>IFERROR(D36/D$13,"")</f>
        <v/>
      </c>
    </row>
    <row r="37">
      <c r="A37" s="10" t="inlineStr">
        <is>
          <t xml:space="preserve">   K3 / HSE</t>
        </is>
      </c>
      <c r="C37" s="28">
        <f>'A1 Asumsi Contoh'!C46</f>
        <v/>
      </c>
      <c r="D37" s="28">
        <f>'A1 Asumsi Contoh'!D46</f>
        <v/>
      </c>
      <c r="E37" s="29">
        <f>IFERROR((D37-C37)/ABS(C37),"")</f>
        <v/>
      </c>
      <c r="F37" s="29">
        <f>IFERROR(D37/D$13,"")</f>
        <v/>
      </c>
    </row>
    <row r="38">
      <c r="A38" s="10" t="inlineStr">
        <is>
          <t xml:space="preserve">   Lingkungan &amp; reklamasi (provisi)</t>
        </is>
      </c>
      <c r="C38" s="28">
        <f>'A1 Asumsi Contoh'!C47</f>
        <v/>
      </c>
      <c r="D38" s="28">
        <f>'A1 Asumsi Contoh'!D47</f>
        <v/>
      </c>
      <c r="E38" s="29">
        <f>IFERROR((D38-C38)/ABS(C38),"")</f>
        <v/>
      </c>
      <c r="F38" s="29">
        <f>IFERROR(D38/D$13,"")</f>
        <v/>
      </c>
    </row>
    <row r="39">
      <c r="A39" s="10" t="inlineStr">
        <is>
          <t xml:space="preserve">   PPM / CSR</t>
        </is>
      </c>
      <c r="C39" s="28">
        <f>'A1 Asumsi Contoh'!C48</f>
        <v/>
      </c>
      <c r="D39" s="28">
        <f>'A1 Asumsi Contoh'!D48</f>
        <v/>
      </c>
      <c r="E39" s="29">
        <f>IFERROR((D39-C39)/ABS(C39),"")</f>
        <v/>
      </c>
      <c r="F39" s="29">
        <f>IFERROR(D39/D$13,"")</f>
        <v/>
      </c>
    </row>
    <row r="40">
      <c r="A40" s="10" t="inlineStr">
        <is>
          <t xml:space="preserve">   Iuran tetap &amp; kompensasi lahan</t>
        </is>
      </c>
      <c r="C40" s="28">
        <f>'A1 Asumsi Contoh'!C49</f>
        <v/>
      </c>
      <c r="D40" s="28">
        <f>'A1 Asumsi Contoh'!D49</f>
        <v/>
      </c>
      <c r="E40" s="29">
        <f>IFERROR((D40-C40)/ABS(C40),"")</f>
        <v/>
      </c>
      <c r="F40" s="29">
        <f>IFERROR(D40/D$13,"")</f>
        <v/>
      </c>
    </row>
    <row r="41">
      <c r="A41" s="20" t="inlineStr">
        <is>
          <t xml:space="preserve">   Subtotal overhead site</t>
        </is>
      </c>
      <c r="B41" s="23" t="n"/>
      <c r="C41" s="22">
        <f>SUM(C35:C40)</f>
        <v/>
      </c>
      <c r="D41" s="22">
        <f>SUM(D35:D40)</f>
        <v/>
      </c>
      <c r="E41" s="30">
        <f>IFERROR((D41-C41)/ABS(C41),"")</f>
        <v/>
      </c>
      <c r="F41" s="30">
        <f>IFERROR(D41/D$13,"")</f>
        <v/>
      </c>
    </row>
    <row r="42">
      <c r="A42" s="35" t="inlineStr">
        <is>
          <t>E. Penyusutan &amp; amortisasi</t>
        </is>
      </c>
    </row>
    <row r="43">
      <c r="A43" s="10" t="inlineStr">
        <is>
          <t xml:space="preserve">   Penyusutan aset tetap</t>
        </is>
      </c>
      <c r="C43" s="28">
        <f>'A1 Asumsi Contoh'!C51</f>
        <v/>
      </c>
      <c r="D43" s="28">
        <f>'A1 Asumsi Contoh'!D51</f>
        <v/>
      </c>
      <c r="E43" s="29">
        <f>IFERROR((D43-C43)/ABS(C43),"")</f>
        <v/>
      </c>
      <c r="F43" s="29">
        <f>IFERROR(D43/D$13,"")</f>
        <v/>
      </c>
    </row>
    <row r="44">
      <c r="A44" s="10" t="inlineStr">
        <is>
          <t xml:space="preserve">   Amortisasi properti pertambangan</t>
        </is>
      </c>
      <c r="C44" s="28">
        <f>'A1 Asumsi Contoh'!C52</f>
        <v/>
      </c>
      <c r="D44" s="28">
        <f>'A1 Asumsi Contoh'!D52</f>
        <v/>
      </c>
      <c r="E44" s="29">
        <f>IFERROR((D44-C44)/ABS(C44),"")</f>
        <v/>
      </c>
      <c r="F44" s="29">
        <f>IFERROR(D44/D$13,"")</f>
        <v/>
      </c>
    </row>
    <row r="45">
      <c r="A45" s="10" t="inlineStr">
        <is>
          <t xml:space="preserve">   Amortisasi biaya pengupasan tangguhan</t>
        </is>
      </c>
      <c r="C45" s="28">
        <f>'A1 Asumsi Contoh'!C53</f>
        <v/>
      </c>
      <c r="D45" s="28">
        <f>'A1 Asumsi Contoh'!D53</f>
        <v/>
      </c>
      <c r="E45" s="29">
        <f>IFERROR((D45-C45)/ABS(C45),"")</f>
        <v/>
      </c>
      <c r="F45" s="29">
        <f>IFERROR(D45/D$13,"")</f>
        <v/>
      </c>
    </row>
    <row r="46">
      <c r="A46" s="20" t="inlineStr">
        <is>
          <t xml:space="preserve">   Subtotal penyusutan &amp; amortisasi</t>
        </is>
      </c>
      <c r="B46" s="23" t="n"/>
      <c r="C46" s="22">
        <f>SUM(C43:C45)</f>
        <v/>
      </c>
      <c r="D46" s="22">
        <f>SUM(D43:D45)</f>
        <v/>
      </c>
      <c r="E46" s="30">
        <f>IFERROR((D46-C46)/ABS(C46),"")</f>
        <v/>
      </c>
      <c r="F46" s="30">
        <f>IFERROR(D46/D$13,"")</f>
        <v/>
      </c>
    </row>
    <row r="47">
      <c r="A47" s="20" t="inlineStr">
        <is>
          <t xml:space="preserve">   Total biaya produksi</t>
        </is>
      </c>
      <c r="B47" s="23" t="n"/>
      <c r="C47" s="22">
        <f>C25+C31+C33+C41+C46</f>
        <v/>
      </c>
      <c r="D47" s="22">
        <f>D25+D31+D33+D41+D46</f>
        <v/>
      </c>
      <c r="E47" s="30">
        <f>IFERROR((D47-C47)/ABS(C47),"")</f>
        <v/>
      </c>
      <c r="F47" s="30">
        <f>IFERROR(D47/D$13,"")</f>
        <v/>
      </c>
    </row>
    <row r="48">
      <c r="A48" s="10" t="inlineStr">
        <is>
          <t xml:space="preserve">   Perubahan persediaan batubara (awal – akhir)</t>
        </is>
      </c>
      <c r="B48" s="3" t="inlineStr">
        <is>
          <t>dari neraca</t>
        </is>
      </c>
      <c r="C48" s="28">
        <f>'A3 Neraca Contoh'!C11-'A3 Neraca Contoh'!D11</f>
        <v/>
      </c>
      <c r="D48" s="28">
        <f>'A3 Neraca Contoh'!D11-'A3 Neraca Contoh'!E11</f>
        <v/>
      </c>
      <c r="E48" s="29">
        <f>IFERROR((D48-C48)/ABS(C48),"")</f>
        <v/>
      </c>
      <c r="F48" s="29">
        <f>IFERROR(D48/D$13,"")</f>
        <v/>
      </c>
    </row>
    <row r="49">
      <c r="A49" s="31" t="inlineStr">
        <is>
          <t>BEBAN POKOK PENDAPATAN</t>
        </is>
      </c>
      <c r="B49" s="32" t="n"/>
      <c r="C49" s="33">
        <f>C47+C48</f>
        <v/>
      </c>
      <c r="D49" s="33">
        <f>D47+D48</f>
        <v/>
      </c>
      <c r="E49" s="34">
        <f>IFERROR((D49-C49)/ABS(C49),"")</f>
        <v/>
      </c>
      <c r="F49" s="34">
        <f>IFERROR(D49/D$13,"")</f>
        <v/>
      </c>
    </row>
    <row r="51">
      <c r="A51" s="31" t="inlineStr">
        <is>
          <t>LABA KOTOR</t>
        </is>
      </c>
      <c r="B51" s="32" t="n"/>
      <c r="C51" s="33">
        <f>C13-C49</f>
        <v/>
      </c>
      <c r="D51" s="33">
        <f>D13-D49</f>
        <v/>
      </c>
      <c r="E51" s="34">
        <f>IFERROR((D51-C51)/ABS(C51),"")</f>
        <v/>
      </c>
      <c r="F51" s="34">
        <f>IFERROR(D51/D$13,"")</f>
        <v/>
      </c>
    </row>
    <row r="52">
      <c r="A52" s="37" t="inlineStr">
        <is>
          <t xml:space="preserve">   Marjin laba kotor</t>
        </is>
      </c>
      <c r="C52" s="29">
        <f>IFERROR(C51/C13,0)</f>
        <v/>
      </c>
      <c r="D52" s="29">
        <f>IFERROR(D51/D13,0)</f>
        <v/>
      </c>
    </row>
    <row r="54">
      <c r="A54" s="4" t="inlineStr">
        <is>
          <t>BEBAN USAHA</t>
        </is>
      </c>
      <c r="B54" s="5" t="n"/>
      <c r="C54" s="5" t="n"/>
      <c r="D54" s="5" t="n"/>
      <c r="E54" s="5" t="n"/>
      <c r="F54" s="5" t="n"/>
    </row>
    <row r="55">
      <c r="A55" s="35" t="inlineStr">
        <is>
          <t>Beban penjualan</t>
        </is>
      </c>
    </row>
    <row r="56">
      <c r="A56" s="10" t="inlineStr">
        <is>
          <t xml:space="preserve">   Pengapalan laut (penjualan CIF)</t>
        </is>
      </c>
      <c r="B56" s="3" t="inlineStr">
        <is>
          <t>ton CIF × tarif</t>
        </is>
      </c>
      <c r="C56" s="28">
        <f>'A1 Asumsi Contoh'!C18*'A1 Asumsi Contoh'!C56*'A1 Asumsi Contoh'!C57*'A1 Asumsi Contoh'!C7/1000000</f>
        <v/>
      </c>
      <c r="D56" s="28">
        <f>'A1 Asumsi Contoh'!D18*'A1 Asumsi Contoh'!D56*'A1 Asumsi Contoh'!D57*'A1 Asumsi Contoh'!D7/1000000</f>
        <v/>
      </c>
      <c r="E56" s="29">
        <f>IFERROR((D56-C56)/ABS(C56),"")</f>
        <v/>
      </c>
      <c r="F56" s="29">
        <f>IFERROR(D56/D$13,"")</f>
        <v/>
      </c>
    </row>
    <row r="57">
      <c r="A57" s="10" t="inlineStr">
        <is>
          <t xml:space="preserve">   Komisi agen penjualan</t>
        </is>
      </c>
      <c r="B57" s="3" t="inlineStr">
        <is>
          <t>% × ekspor</t>
        </is>
      </c>
      <c r="C57" s="28">
        <f>C7*'A1 Asumsi Contoh'!C58</f>
        <v/>
      </c>
      <c r="D57" s="28">
        <f>D7*'A1 Asumsi Contoh'!D58</f>
        <v/>
      </c>
      <c r="E57" s="29">
        <f>IFERROR((D57-C57)/ABS(C57),"")</f>
        <v/>
      </c>
      <c r="F57" s="29">
        <f>IFERROR(D57/D$13,"")</f>
        <v/>
      </c>
    </row>
    <row r="58">
      <c r="A58" s="10" t="inlineStr">
        <is>
          <t xml:space="preserve">   Surveyor independen &amp; analisa kualitas</t>
        </is>
      </c>
      <c r="B58" s="3" t="inlineStr">
        <is>
          <t>ton jual × tarif</t>
        </is>
      </c>
      <c r="C58" s="28">
        <f>'A1 Asumsi Contoh'!C21*'A1 Asumsi Contoh'!C59*'A1 Asumsi Contoh'!C7/1000000</f>
        <v/>
      </c>
      <c r="D58" s="28">
        <f>'A1 Asumsi Contoh'!D21*'A1 Asumsi Contoh'!D59*'A1 Asumsi Contoh'!D7/1000000</f>
        <v/>
      </c>
      <c r="E58" s="29">
        <f>IFERROR((D58-C58)/ABS(C58),"")</f>
        <v/>
      </c>
      <c r="F58" s="29">
        <f>IFERROR(D58/D$13,"")</f>
        <v/>
      </c>
    </row>
    <row r="59">
      <c r="A59" s="10" t="inlineStr">
        <is>
          <t xml:space="preserve">   Demurrage</t>
        </is>
      </c>
      <c r="C59" s="28">
        <f>'A1 Asumsi Contoh'!C60</f>
        <v/>
      </c>
      <c r="D59" s="28">
        <f>'A1 Asumsi Contoh'!D60</f>
        <v/>
      </c>
      <c r="E59" s="29">
        <f>IFERROR((D59-C59)/ABS(C59),"")</f>
        <v/>
      </c>
      <c r="F59" s="29">
        <f>IFERROR(D59/D$13,"")</f>
        <v/>
      </c>
    </row>
    <row r="60">
      <c r="A60" s="10" t="inlineStr">
        <is>
          <t xml:space="preserve">   Dokumen ekspor &amp; pungutan</t>
        </is>
      </c>
      <c r="C60" s="28">
        <f>'A1 Asumsi Contoh'!C61</f>
        <v/>
      </c>
      <c r="D60" s="28">
        <f>'A1 Asumsi Contoh'!D61</f>
        <v/>
      </c>
      <c r="E60" s="29">
        <f>IFERROR((D60-C60)/ABS(C60),"")</f>
        <v/>
      </c>
      <c r="F60" s="29">
        <f>IFERROR(D60/D$13,"")</f>
        <v/>
      </c>
    </row>
    <row r="61">
      <c r="A61" s="10" t="inlineStr">
        <is>
          <t xml:space="preserve">   Pemasaran &amp; promosi</t>
        </is>
      </c>
      <c r="C61" s="28">
        <f>'A1 Asumsi Contoh'!C62</f>
        <v/>
      </c>
      <c r="D61" s="28">
        <f>'A1 Asumsi Contoh'!D62</f>
        <v/>
      </c>
      <c r="E61" s="29">
        <f>IFERROR((D61-C61)/ABS(C61),"")</f>
        <v/>
      </c>
      <c r="F61" s="29">
        <f>IFERROR(D61/D$13,"")</f>
        <v/>
      </c>
    </row>
    <row r="62">
      <c r="A62" s="20" t="inlineStr">
        <is>
          <t xml:space="preserve">   Subtotal beban penjualan</t>
        </is>
      </c>
      <c r="B62" s="23" t="n"/>
      <c r="C62" s="22">
        <f>SUM(C56:C61)</f>
        <v/>
      </c>
      <c r="D62" s="22">
        <f>SUM(D56:D61)</f>
        <v/>
      </c>
      <c r="E62" s="30">
        <f>IFERROR((D62-C62)/ABS(C62),"")</f>
        <v/>
      </c>
      <c r="F62" s="30">
        <f>IFERROR(D62/D$13,"")</f>
        <v/>
      </c>
    </row>
    <row r="63">
      <c r="A63" s="35" t="inlineStr">
        <is>
          <t>Beban umum &amp; administrasi</t>
        </is>
      </c>
    </row>
    <row r="64">
      <c r="A64" s="10" t="inlineStr">
        <is>
          <t xml:space="preserve">   Gaji &amp; tunjangan kantor pusat</t>
        </is>
      </c>
      <c r="C64" s="28">
        <f>'A1 Asumsi Contoh'!C64</f>
        <v/>
      </c>
      <c r="D64" s="28">
        <f>'A1 Asumsi Contoh'!D64</f>
        <v/>
      </c>
      <c r="E64" s="29">
        <f>IFERROR((D64-C64)/ABS(C64),"")</f>
        <v/>
      </c>
      <c r="F64" s="29">
        <f>IFERROR(D64/D$13,"")</f>
        <v/>
      </c>
    </row>
    <row r="65">
      <c r="A65" s="10" t="inlineStr">
        <is>
          <t xml:space="preserve">   Jasa profesional</t>
        </is>
      </c>
      <c r="C65" s="28">
        <f>'A1 Asumsi Contoh'!C65</f>
        <v/>
      </c>
      <c r="D65" s="28">
        <f>'A1 Asumsi Contoh'!D65</f>
        <v/>
      </c>
      <c r="E65" s="29">
        <f>IFERROR((D65-C65)/ABS(C65),"")</f>
        <v/>
      </c>
      <c r="F65" s="29">
        <f>IFERROR(D65/D$13,"")</f>
        <v/>
      </c>
    </row>
    <row r="66">
      <c r="A66" s="10" t="inlineStr">
        <is>
          <t xml:space="preserve">   Sewa kantor</t>
        </is>
      </c>
      <c r="C66" s="28">
        <f>'A1 Asumsi Contoh'!C66</f>
        <v/>
      </c>
      <c r="D66" s="28">
        <f>'A1 Asumsi Contoh'!D66</f>
        <v/>
      </c>
      <c r="E66" s="29">
        <f>IFERROR((D66-C66)/ABS(C66),"")</f>
        <v/>
      </c>
      <c r="F66" s="29">
        <f>IFERROR(D66/D$13,"")</f>
        <v/>
      </c>
    </row>
    <row r="67">
      <c r="A67" s="10" t="inlineStr">
        <is>
          <t xml:space="preserve">   Perjalanan dinas</t>
        </is>
      </c>
      <c r="C67" s="28">
        <f>'A1 Asumsi Contoh'!C67</f>
        <v/>
      </c>
      <c r="D67" s="28">
        <f>'A1 Asumsi Contoh'!D67</f>
        <v/>
      </c>
      <c r="E67" s="29">
        <f>IFERROR((D67-C67)/ABS(C67),"")</f>
        <v/>
      </c>
      <c r="F67" s="29">
        <f>IFERROR(D67/D$13,"")</f>
        <v/>
      </c>
    </row>
    <row r="68">
      <c r="A68" s="10" t="inlineStr">
        <is>
          <t xml:space="preserve">   Asuransi</t>
        </is>
      </c>
      <c r="C68" s="28">
        <f>'A1 Asumsi Contoh'!C68</f>
        <v/>
      </c>
      <c r="D68" s="28">
        <f>'A1 Asumsi Contoh'!D68</f>
        <v/>
      </c>
      <c r="E68" s="29">
        <f>IFERROR((D68-C68)/ABS(C68),"")</f>
        <v/>
      </c>
      <c r="F68" s="29">
        <f>IFERROR(D68/D$13,"")</f>
        <v/>
      </c>
    </row>
    <row r="69">
      <c r="A69" s="10" t="inlineStr">
        <is>
          <t xml:space="preserve">   Pajak, perizinan &amp; iuran</t>
        </is>
      </c>
      <c r="C69" s="28">
        <f>'A1 Asumsi Contoh'!C69</f>
        <v/>
      </c>
      <c r="D69" s="28">
        <f>'A1 Asumsi Contoh'!D69</f>
        <v/>
      </c>
      <c r="E69" s="29">
        <f>IFERROR((D69-C69)/ABS(C69),"")</f>
        <v/>
      </c>
      <c r="F69" s="29">
        <f>IFERROR(D69/D$13,"")</f>
        <v/>
      </c>
    </row>
    <row r="70">
      <c r="A70" s="10" t="inlineStr">
        <is>
          <t xml:space="preserve">   Teknologi informasi &amp; komunikasi</t>
        </is>
      </c>
      <c r="C70" s="28">
        <f>'A1 Asumsi Contoh'!C70</f>
        <v/>
      </c>
      <c r="D70" s="28">
        <f>'A1 Asumsi Contoh'!D70</f>
        <v/>
      </c>
      <c r="E70" s="29">
        <f>IFERROR((D70-C70)/ABS(C70),"")</f>
        <v/>
      </c>
      <c r="F70" s="29">
        <f>IFERROR(D70/D$13,"")</f>
        <v/>
      </c>
    </row>
    <row r="71">
      <c r="A71" s="10" t="inlineStr">
        <is>
          <t xml:space="preserve">   Penyusutan aset kantor</t>
        </is>
      </c>
      <c r="C71" s="28">
        <f>'A1 Asumsi Contoh'!C54</f>
        <v/>
      </c>
      <c r="D71" s="28">
        <f>'A1 Asumsi Contoh'!D54</f>
        <v/>
      </c>
      <c r="E71" s="29">
        <f>IFERROR((D71-C71)/ABS(C71),"")</f>
        <v/>
      </c>
      <c r="F71" s="29">
        <f>IFERROR(D71/D$13,"")</f>
        <v/>
      </c>
    </row>
    <row r="72">
      <c r="A72" s="10" t="inlineStr">
        <is>
          <t xml:space="preserve">   Beban umum lainnya</t>
        </is>
      </c>
      <c r="C72" s="28">
        <f>'A1 Asumsi Contoh'!C71</f>
        <v/>
      </c>
      <c r="D72" s="28">
        <f>'A1 Asumsi Contoh'!D71</f>
        <v/>
      </c>
      <c r="E72" s="29">
        <f>IFERROR((D72-C72)/ABS(C72),"")</f>
        <v/>
      </c>
      <c r="F72" s="29">
        <f>IFERROR(D72/D$13,"")</f>
        <v/>
      </c>
    </row>
    <row r="73">
      <c r="A73" s="20" t="inlineStr">
        <is>
          <t xml:space="preserve">   Subtotal beban umum &amp; administrasi</t>
        </is>
      </c>
      <c r="B73" s="23" t="n"/>
      <c r="C73" s="22">
        <f>SUM(C64:C72)</f>
        <v/>
      </c>
      <c r="D73" s="22">
        <f>SUM(D64:D72)</f>
        <v/>
      </c>
      <c r="E73" s="30">
        <f>IFERROR((D73-C73)/ABS(C73),"")</f>
        <v/>
      </c>
      <c r="F73" s="30">
        <f>IFERROR(D73/D$13,"")</f>
        <v/>
      </c>
    </row>
    <row r="74">
      <c r="A74" s="31" t="inlineStr">
        <is>
          <t>TOTAL BEBAN USAHA</t>
        </is>
      </c>
      <c r="B74" s="32" t="n"/>
      <c r="C74" s="33">
        <f>C62+C73</f>
        <v/>
      </c>
      <c r="D74" s="33">
        <f>D62+D73</f>
        <v/>
      </c>
      <c r="E74" s="34">
        <f>IFERROR((D74-C74)/ABS(C74),"")</f>
        <v/>
      </c>
      <c r="F74" s="34">
        <f>IFERROR(D74/D$13,"")</f>
        <v/>
      </c>
    </row>
    <row r="76">
      <c r="A76" s="31" t="inlineStr">
        <is>
          <t>LABA USAHA</t>
        </is>
      </c>
      <c r="B76" s="32" t="n"/>
      <c r="C76" s="33">
        <f>C51-C74</f>
        <v/>
      </c>
      <c r="D76" s="33">
        <f>D51-D74</f>
        <v/>
      </c>
      <c r="E76" s="34">
        <f>IFERROR((D76-C76)/ABS(C76),"")</f>
        <v/>
      </c>
      <c r="F76" s="34">
        <f>IFERROR(D76/D$13,"")</f>
        <v/>
      </c>
    </row>
    <row r="77">
      <c r="A77" s="37" t="inlineStr">
        <is>
          <t xml:space="preserve">   Marjin laba usaha</t>
        </is>
      </c>
      <c r="C77" s="29">
        <f>IFERROR(C76/C13,0)</f>
        <v/>
      </c>
      <c r="D77" s="29">
        <f>IFERROR(D76/D13,0)</f>
        <v/>
      </c>
    </row>
    <row r="79">
      <c r="A79" s="4" t="inlineStr">
        <is>
          <t>PENDAPATAN (BEBAN) LAIN-LAIN</t>
        </is>
      </c>
      <c r="B79" s="5" t="n"/>
      <c r="C79" s="5" t="n"/>
      <c r="D79" s="5" t="n"/>
      <c r="E79" s="5" t="n"/>
      <c r="F79" s="5" t="n"/>
    </row>
    <row r="80">
      <c r="A80" s="10" t="inlineStr">
        <is>
          <t xml:space="preserve">   Pendapatan bunga</t>
        </is>
      </c>
      <c r="B80" s="3" t="inlineStr">
        <is>
          <t>kas awal × bunga</t>
        </is>
      </c>
      <c r="C80" s="28">
        <f>'A3 Neraca Contoh'!C8*'A1 Asumsi Contoh'!C74</f>
        <v/>
      </c>
      <c r="D80" s="28">
        <f>'A3 Neraca Contoh'!D8*'A1 Asumsi Contoh'!D74</f>
        <v/>
      </c>
      <c r="E80" s="29">
        <f>IFERROR((D80-C80)/ABS(C80),"")</f>
        <v/>
      </c>
      <c r="F80" s="29">
        <f>IFERROR(D80/D$13,"")</f>
        <v/>
      </c>
    </row>
    <row r="81">
      <c r="A81" s="10" t="inlineStr">
        <is>
          <t xml:space="preserve">   Beban keuangan (bunga pinjaman)</t>
        </is>
      </c>
      <c r="B81" s="3" t="inlineStr">
        <is>
          <t>saldo rata-rata × bunga</t>
        </is>
      </c>
      <c r="C81" s="28">
        <f>-((('A3 Neraca Contoh'!C35+'A3 Neraca Contoh'!C38+'A3 Neraca Contoh'!D35+'A3 Neraca Contoh'!D38)/2)+(('A3 Neraca Contoh'!C34+'A3 Neraca Contoh'!D34)/2))*'A1 Asumsi Contoh'!C84</f>
        <v/>
      </c>
      <c r="D81" s="28">
        <f>-((('A3 Neraca Contoh'!D35+'A3 Neraca Contoh'!D38+'A3 Neraca Contoh'!E35+'A3 Neraca Contoh'!E38)/2)+(('A3 Neraca Contoh'!D34+'A3 Neraca Contoh'!E34)/2))*'A1 Asumsi Contoh'!D84</f>
        <v/>
      </c>
      <c r="E81" s="29">
        <f>IFERROR((D81-C81)/ABS(C81),"")</f>
        <v/>
      </c>
      <c r="F81" s="29">
        <f>IFERROR(D81/D$13,"")</f>
        <v/>
      </c>
    </row>
    <row r="82">
      <c r="A82" s="10" t="inlineStr">
        <is>
          <t xml:space="preserve">   Laba (rugi) selisih kurs</t>
        </is>
      </c>
      <c r="C82" s="28">
        <f>'A1 Asumsi Contoh'!C75</f>
        <v/>
      </c>
      <c r="D82" s="28">
        <f>'A1 Asumsi Contoh'!D75</f>
        <v/>
      </c>
      <c r="E82" s="29">
        <f>IFERROR((D82-C82)/ABS(C82),"")</f>
        <v/>
      </c>
      <c r="F82" s="29">
        <f>IFERROR(D82/D$13,"")</f>
        <v/>
      </c>
    </row>
    <row r="83">
      <c r="A83" s="10" t="inlineStr">
        <is>
          <t xml:space="preserve">   Bagian laba entitas asosiasi</t>
        </is>
      </c>
      <c r="C83" s="28">
        <f>'A1 Asumsi Contoh'!C76</f>
        <v/>
      </c>
      <c r="D83" s="28">
        <f>'A1 Asumsi Contoh'!D76</f>
        <v/>
      </c>
      <c r="E83" s="29">
        <f>IFERROR((D83-C83)/ABS(C83),"")</f>
        <v/>
      </c>
      <c r="F83" s="29">
        <f>IFERROR(D83/D$13,"")</f>
        <v/>
      </c>
    </row>
    <row r="84">
      <c r="A84" s="10" t="inlineStr">
        <is>
          <t xml:space="preserve">   Lain-lain – neto</t>
        </is>
      </c>
      <c r="C84" s="28">
        <f>'A1 Asumsi Contoh'!C77</f>
        <v/>
      </c>
      <c r="D84" s="28">
        <f>'A1 Asumsi Contoh'!D77</f>
        <v/>
      </c>
      <c r="E84" s="29">
        <f>IFERROR((D84-C84)/ABS(C84),"")</f>
        <v/>
      </c>
      <c r="F84" s="29">
        <f>IFERROR(D84/D$13,"")</f>
        <v/>
      </c>
    </row>
    <row r="85">
      <c r="A85" s="20" t="inlineStr">
        <is>
          <t xml:space="preserve">   Jumlah pendapatan (beban) lain-lain</t>
        </is>
      </c>
      <c r="B85" s="23" t="n"/>
      <c r="C85" s="22">
        <f>SUM(C80:C84)</f>
        <v/>
      </c>
      <c r="D85" s="22">
        <f>SUM(D80:D84)</f>
        <v/>
      </c>
      <c r="E85" s="30">
        <f>IFERROR((D85-C85)/ABS(C85),"")</f>
        <v/>
      </c>
      <c r="F85" s="30">
        <f>IFERROR(D85/D$13,"")</f>
        <v/>
      </c>
    </row>
    <row r="87">
      <c r="A87" s="31" t="inlineStr">
        <is>
          <t>LABA SEBELUM PAJAK</t>
        </is>
      </c>
      <c r="B87" s="32" t="n"/>
      <c r="C87" s="33">
        <f>C76+C85</f>
        <v/>
      </c>
      <c r="D87" s="33">
        <f>D76+D85</f>
        <v/>
      </c>
      <c r="E87" s="34">
        <f>IFERROR((D87-C87)/ABS(C87),"")</f>
        <v/>
      </c>
      <c r="F87" s="34">
        <f>IFERROR(D87/D$13,"")</f>
        <v/>
      </c>
    </row>
    <row r="88">
      <c r="A88" s="10" t="inlineStr">
        <is>
          <t xml:space="preserve">   Beban pajak penghasilan</t>
        </is>
      </c>
      <c r="B88" s="3" t="inlineStr">
        <is>
          <t>LSP × tarif (disederhanakan)</t>
        </is>
      </c>
      <c r="C88" s="28">
        <f>MAX(0,C87)*'A1 Asumsi Contoh'!C85</f>
        <v/>
      </c>
      <c r="D88" s="28">
        <f>MAX(0,D87)*'A1 Asumsi Contoh'!D85</f>
        <v/>
      </c>
      <c r="E88" s="29">
        <f>IFERROR((D88-C88)/ABS(C88),"")</f>
        <v/>
      </c>
      <c r="F88" s="29">
        <f>IFERROR(D88/D$13,"")</f>
        <v/>
      </c>
    </row>
    <row r="89">
      <c r="A89" s="31" t="inlineStr">
        <is>
          <t>LABA BERSIH TAHUN BERJALAN</t>
        </is>
      </c>
      <c r="B89" s="32" t="n"/>
      <c r="C89" s="33">
        <f>C87-C88</f>
        <v/>
      </c>
      <c r="D89" s="33">
        <f>D87-D88</f>
        <v/>
      </c>
      <c r="E89" s="34">
        <f>IFERROR((D89-C89)/ABS(C89),"")</f>
        <v/>
      </c>
      <c r="F89" s="34">
        <f>IFERROR(D89/D$13,"")</f>
        <v/>
      </c>
    </row>
    <row r="90">
      <c r="A90" s="37" t="inlineStr">
        <is>
          <t xml:space="preserve">   Marjin laba bersih</t>
        </is>
      </c>
      <c r="C90" s="29">
        <f>IFERROR(C89/C13,0)</f>
        <v/>
      </c>
      <c r="D90" s="29">
        <f>IFERROR(D89/D13,0)</f>
        <v/>
      </c>
    </row>
    <row r="92">
      <c r="A92" s="4" t="inlineStr">
        <is>
          <t>MEMO</t>
        </is>
      </c>
      <c r="B92" s="5" t="n"/>
      <c r="C92" s="5" t="n"/>
      <c r="D92" s="5" t="n"/>
      <c r="E92" s="5" t="n"/>
      <c r="F92" s="5" t="n"/>
    </row>
    <row r="93">
      <c r="A93" s="20" t="inlineStr">
        <is>
          <t xml:space="preserve">   EBITDA (laba usaha + penyusutan &amp; amortisasi)</t>
        </is>
      </c>
      <c r="B93" s="23" t="n"/>
      <c r="C93" s="22">
        <f>C76+C46+C71</f>
        <v/>
      </c>
      <c r="D93" s="22">
        <f>D76+D46+D71</f>
        <v/>
      </c>
      <c r="E93" s="30">
        <f>IFERROR((D93-C93)/ABS(C93),"")</f>
        <v/>
      </c>
      <c r="F93" s="30">
        <f>IFERROR(D93/D$13,"")</f>
        <v/>
      </c>
    </row>
    <row r="94">
      <c r="A94" s="37" t="inlineStr">
        <is>
          <t xml:space="preserve">   Marjin EBITDA</t>
        </is>
      </c>
      <c r="C94" s="29">
        <f>IFERROR(C93/C13,0)</f>
        <v/>
      </c>
      <c r="D94" s="29">
        <f>IFERROR(D93/D13,0)</f>
        <v/>
      </c>
    </row>
    <row r="95">
      <c r="A95" s="10" t="inlineStr">
        <is>
          <t xml:space="preserve">   Biaya produksi per ton untuk valuasi persediaan</t>
        </is>
      </c>
      <c r="B95" s="3" t="inlineStr">
        <is>
          <t>Rp/ton</t>
        </is>
      </c>
      <c r="C95" s="28">
        <f>(C25+C27+C28+C41+C46)*1000000/'A1 Asumsi Contoh'!C14</f>
        <v/>
      </c>
      <c r="D95" s="28">
        <f>(D25+D27+D28+D41+D46)*1000000/'A1 Asumsi Contoh'!D14</f>
        <v/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E5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PT Batubara Contoh Tbk (fiktif) – Laporan Posisi Keuangan (Neraca) Konsolidasian</t>
        </is>
      </c>
      <c r="B1" s="2" t="n"/>
      <c r="C1" s="2" t="n"/>
      <c r="D1" s="2" t="n"/>
      <c r="E1" s="2" t="n"/>
    </row>
    <row r="2">
      <c r="A2" s="3" t="inlineStr">
        <is>
          <t>Per 31 Desember | dalam Rp juta | kolom 2023 = saldo awal (input); 2024–2025 dihitung dari driver &amp; arus kas</t>
        </is>
      </c>
    </row>
    <row r="5">
      <c r="A5" s="16" t="inlineStr">
        <is>
          <t>Uraian</t>
        </is>
      </c>
      <c r="B5" s="16" t="inlineStr">
        <is>
          <t>Basis</t>
        </is>
      </c>
      <c r="C5" s="16" t="inlineStr">
        <is>
          <t>31 Des 2023</t>
        </is>
      </c>
      <c r="D5" s="16" t="inlineStr">
        <is>
          <t>31 Des 2024</t>
        </is>
      </c>
      <c r="E5" s="16" t="inlineStr">
        <is>
          <t>31 Des 2025</t>
        </is>
      </c>
    </row>
    <row r="6">
      <c r="A6" s="4" t="inlineStr">
        <is>
          <t>ASET</t>
        </is>
      </c>
      <c r="B6" s="5" t="n"/>
      <c r="C6" s="5" t="n"/>
      <c r="D6" s="5" t="n"/>
      <c r="E6" s="5" t="n"/>
    </row>
    <row r="7">
      <c r="A7" s="35" t="inlineStr">
        <is>
          <t>Aset lancar</t>
        </is>
      </c>
    </row>
    <row r="8">
      <c r="A8" s="10" t="inlineStr">
        <is>
          <t xml:space="preserve">   Kas dan setara kas</t>
        </is>
      </c>
      <c r="C8" s="17" t="n">
        <v>1450000</v>
      </c>
      <c r="D8" s="28">
        <f>'A4 Arus Kas Contoh'!C46</f>
        <v/>
      </c>
      <c r="E8" s="28">
        <f>'A4 Arus Kas Contoh'!D46</f>
        <v/>
      </c>
    </row>
    <row r="9">
      <c r="A9" s="10" t="inlineStr">
        <is>
          <t xml:space="preserve">   Piutang usaha</t>
        </is>
      </c>
      <c r="B9" s="3" t="inlineStr">
        <is>
          <t>DSO</t>
        </is>
      </c>
      <c r="C9" s="17" t="n">
        <v>850000</v>
      </c>
      <c r="D9" s="28">
        <f>'A2 Laba Rugi Contoh'!C13*'A1 Asumsi Contoh'!C95/365</f>
        <v/>
      </c>
      <c r="E9" s="28">
        <f>'A2 Laba Rugi Contoh'!D13*'A1 Asumsi Contoh'!D95/365</f>
        <v/>
      </c>
    </row>
    <row r="10">
      <c r="A10" s="10" t="inlineStr">
        <is>
          <t xml:space="preserve">   Piutang lain-lain</t>
        </is>
      </c>
      <c r="C10" s="17" t="n">
        <v>55000</v>
      </c>
      <c r="D10" s="28">
        <f>'A1 Asumsi Contoh'!C98</f>
        <v/>
      </c>
      <c r="E10" s="28">
        <f>'A1 Asumsi Contoh'!D98</f>
        <v/>
      </c>
    </row>
    <row r="11">
      <c r="A11" s="10" t="inlineStr">
        <is>
          <t xml:space="preserve">   Persediaan batubara</t>
        </is>
      </c>
      <c r="B11" s="3" t="inlineStr">
        <is>
          <t>stok × biaya/ton</t>
        </is>
      </c>
      <c r="C11" s="17" t="n">
        <v>243000</v>
      </c>
      <c r="D11" s="28">
        <f>'A1 Asumsi Contoh'!C24*'A2 Laba Rugi Contoh'!C95/1000000</f>
        <v/>
      </c>
      <c r="E11" s="28">
        <f>'A1 Asumsi Contoh'!D24*'A2 Laba Rugi Contoh'!D95/1000000</f>
        <v/>
      </c>
    </row>
    <row r="12">
      <c r="A12" s="10" t="inlineStr">
        <is>
          <t xml:space="preserve">   Persediaan suku cadang &amp; BBM</t>
        </is>
      </c>
      <c r="C12" s="17" t="n">
        <v>195000</v>
      </c>
      <c r="D12" s="28">
        <f>'A1 Asumsi Contoh'!C97</f>
        <v/>
      </c>
      <c r="E12" s="28">
        <f>'A1 Asumsi Contoh'!D97</f>
        <v/>
      </c>
    </row>
    <row r="13">
      <c r="A13" s="10" t="inlineStr">
        <is>
          <t xml:space="preserve">   Uang muka &amp; biaya dibayar dimuka</t>
        </is>
      </c>
      <c r="C13" s="17" t="n">
        <v>90000</v>
      </c>
      <c r="D13" s="28">
        <f>'A1 Asumsi Contoh'!C99</f>
        <v/>
      </c>
      <c r="E13" s="28">
        <f>'A1 Asumsi Contoh'!D99</f>
        <v/>
      </c>
    </row>
    <row r="14">
      <c r="A14" s="10" t="inlineStr">
        <is>
          <t xml:space="preserve">   Pajak dibayar dimuka</t>
        </is>
      </c>
      <c r="C14" s="17" t="n">
        <v>130000</v>
      </c>
      <c r="D14" s="28">
        <f>'A1 Asumsi Contoh'!C100</f>
        <v/>
      </c>
      <c r="E14" s="28">
        <f>'A1 Asumsi Contoh'!D100</f>
        <v/>
      </c>
    </row>
    <row r="15">
      <c r="A15" s="20" t="inlineStr">
        <is>
          <t xml:space="preserve">   Jumlah aset lancar</t>
        </is>
      </c>
      <c r="B15" s="23" t="n"/>
      <c r="C15" s="22">
        <f>SUM(C8:C14)</f>
        <v/>
      </c>
      <c r="D15" s="22">
        <f>SUM(D8:D14)</f>
        <v/>
      </c>
      <c r="E15" s="22">
        <f>SUM(E8:E14)</f>
        <v/>
      </c>
    </row>
    <row r="16">
      <c r="A16" s="35" t="inlineStr">
        <is>
          <t>Aset tidak lancar</t>
        </is>
      </c>
    </row>
    <row r="17">
      <c r="A17" s="10" t="inlineStr">
        <is>
          <t xml:space="preserve">   Aset tetap – neto (termasuk aset hak guna)</t>
        </is>
      </c>
      <c r="C17" s="17" t="n">
        <v>2650000</v>
      </c>
      <c r="D17" s="28">
        <f>C17+'A1 Asumsi Contoh'!C90-'A1 Asumsi Contoh'!C51-'A1 Asumsi Contoh'!C54</f>
        <v/>
      </c>
      <c r="E17" s="28">
        <f>D17+'A1 Asumsi Contoh'!D90-'A1 Asumsi Contoh'!D51-'A1 Asumsi Contoh'!D54</f>
        <v/>
      </c>
    </row>
    <row r="18">
      <c r="A18" s="10" t="inlineStr">
        <is>
          <t xml:space="preserve">   Properti pertambangan – neto</t>
        </is>
      </c>
      <c r="C18" s="17" t="n">
        <v>1450000</v>
      </c>
      <c r="D18" s="28">
        <f>C18+'A1 Asumsi Contoh'!C91-'A1 Asumsi Contoh'!C52</f>
        <v/>
      </c>
      <c r="E18" s="28">
        <f>D18+'A1 Asumsi Contoh'!D91-'A1 Asumsi Contoh'!D52</f>
        <v/>
      </c>
    </row>
    <row r="19">
      <c r="A19" s="10" t="inlineStr">
        <is>
          <t xml:space="preserve">   Aset eksplorasi &amp; evaluasi</t>
        </is>
      </c>
      <c r="C19" s="17" t="n">
        <v>80000</v>
      </c>
      <c r="D19" s="28">
        <f>C19+'A1 Asumsi Contoh'!C93</f>
        <v/>
      </c>
      <c r="E19" s="28">
        <f>D19+'A1 Asumsi Contoh'!D93</f>
        <v/>
      </c>
    </row>
    <row r="20">
      <c r="A20" s="10" t="inlineStr">
        <is>
          <t xml:space="preserve">   Biaya pengupasan tangguhan – neto</t>
        </is>
      </c>
      <c r="C20" s="17" t="n">
        <v>420000</v>
      </c>
      <c r="D20" s="28">
        <f>C20+'A1 Asumsi Contoh'!C92-'A1 Asumsi Contoh'!C53</f>
        <v/>
      </c>
      <c r="E20" s="28">
        <f>D20+'A1 Asumsi Contoh'!D92-'A1 Asumsi Contoh'!D53</f>
        <v/>
      </c>
    </row>
    <row r="21">
      <c r="A21" s="10" t="inlineStr">
        <is>
          <t xml:space="preserve">   Investasi pada entitas asosiasi</t>
        </is>
      </c>
      <c r="C21" s="17" t="n">
        <v>180000</v>
      </c>
      <c r="D21" s="28">
        <f>C21+'A2 Laba Rugi Contoh'!C83</f>
        <v/>
      </c>
      <c r="E21" s="28">
        <f>D21+'A2 Laba Rugi Contoh'!D83</f>
        <v/>
      </c>
    </row>
    <row r="22">
      <c r="A22" s="10" t="inlineStr">
        <is>
          <t xml:space="preserve">   Dana jaminan reklamasi (dibatasi)</t>
        </is>
      </c>
      <c r="C22" s="17" t="n">
        <v>110000</v>
      </c>
      <c r="D22" s="28">
        <f>'A1 Asumsi Contoh'!C106</f>
        <v/>
      </c>
      <c r="E22" s="28">
        <f>'A1 Asumsi Contoh'!D106</f>
        <v/>
      </c>
    </row>
    <row r="23">
      <c r="A23" s="10" t="inlineStr">
        <is>
          <t xml:space="preserve">   Aset pajak tangguhan</t>
        </is>
      </c>
      <c r="C23" s="17" t="n">
        <v>55000</v>
      </c>
      <c r="D23" s="19">
        <f>C23</f>
        <v/>
      </c>
      <c r="E23" s="19">
        <f>D23</f>
        <v/>
      </c>
    </row>
    <row r="24">
      <c r="A24" s="10" t="inlineStr">
        <is>
          <t xml:space="preserve">   Aset tidak lancar lainnya</t>
        </is>
      </c>
      <c r="C24" s="17" t="n">
        <v>38000</v>
      </c>
      <c r="D24" s="28">
        <f>'A1 Asumsi Contoh'!C107</f>
        <v/>
      </c>
      <c r="E24" s="28">
        <f>'A1 Asumsi Contoh'!D107</f>
        <v/>
      </c>
    </row>
    <row r="25">
      <c r="A25" s="20" t="inlineStr">
        <is>
          <t xml:space="preserve">   Jumlah aset tidak lancar</t>
        </is>
      </c>
      <c r="B25" s="23" t="n"/>
      <c r="C25" s="22">
        <f>SUM(C17:C24)</f>
        <v/>
      </c>
      <c r="D25" s="22">
        <f>SUM(D17:D24)</f>
        <v/>
      </c>
      <c r="E25" s="22">
        <f>SUM(E17:E24)</f>
        <v/>
      </c>
    </row>
    <row r="26">
      <c r="A26" s="31" t="inlineStr">
        <is>
          <t>JUMLAH ASET</t>
        </is>
      </c>
      <c r="B26" s="32" t="n"/>
      <c r="C26" s="33">
        <f>C15+C25</f>
        <v/>
      </c>
      <c r="D26" s="33">
        <f>D15+D25</f>
        <v/>
      </c>
      <c r="E26" s="33">
        <f>E15+E25</f>
        <v/>
      </c>
    </row>
    <row r="28">
      <c r="A28" s="4" t="inlineStr">
        <is>
          <t>LIABILITAS</t>
        </is>
      </c>
      <c r="B28" s="5" t="n"/>
      <c r="C28" s="5" t="n"/>
      <c r="D28" s="5" t="n"/>
      <c r="E28" s="5" t="n"/>
    </row>
    <row r="29">
      <c r="A29" s="35" t="inlineStr">
        <is>
          <t>Liabilitas jangka pendek</t>
        </is>
      </c>
    </row>
    <row r="30">
      <c r="A30" s="10" t="inlineStr">
        <is>
          <t xml:space="preserve">   Utang usaha (kontraktor &amp; pemasok)</t>
        </is>
      </c>
      <c r="B30" s="3" t="inlineStr">
        <is>
          <t>DPO</t>
        </is>
      </c>
      <c r="C30" s="17" t="n">
        <v>620000</v>
      </c>
      <c r="D30" s="28">
        <f>('A2 Laba Rugi Contoh'!C25+'A2 Laba Rugi Contoh'!C31+'A2 Laba Rugi Contoh'!C41-'A2 Laba Rugi Contoh'!C38)*'A1 Asumsi Contoh'!C96/365</f>
        <v/>
      </c>
      <c r="E30" s="28">
        <f>('A2 Laba Rugi Contoh'!D25+'A2 Laba Rugi Contoh'!D31+'A2 Laba Rugi Contoh'!D41-'A2 Laba Rugi Contoh'!D38)*'A1 Asumsi Contoh'!D96/365</f>
        <v/>
      </c>
    </row>
    <row r="31">
      <c r="A31" s="10" t="inlineStr">
        <is>
          <t xml:space="preserve">   Utang royalti</t>
        </is>
      </c>
      <c r="C31" s="17" t="n">
        <v>70000</v>
      </c>
      <c r="D31" s="28">
        <f>'A2 Laba Rugi Contoh'!C33/12*'A1 Asumsi Contoh'!C102</f>
        <v/>
      </c>
      <c r="E31" s="28">
        <f>'A2 Laba Rugi Contoh'!D33/12*'A1 Asumsi Contoh'!D102</f>
        <v/>
      </c>
    </row>
    <row r="32">
      <c r="A32" s="10" t="inlineStr">
        <is>
          <t xml:space="preserve">   Beban akrual</t>
        </is>
      </c>
      <c r="C32" s="17" t="n">
        <v>140000</v>
      </c>
      <c r="D32" s="28">
        <f>'A1 Asumsi Contoh'!C101</f>
        <v/>
      </c>
      <c r="E32" s="28">
        <f>'A1 Asumsi Contoh'!D101</f>
        <v/>
      </c>
    </row>
    <row r="33">
      <c r="A33" s="10" t="inlineStr">
        <is>
          <t xml:space="preserve">   Utang pajak</t>
        </is>
      </c>
      <c r="C33" s="17" t="n">
        <v>150000</v>
      </c>
      <c r="D33" s="28">
        <f>'A2 Laba Rugi Contoh'!C88*'A1 Asumsi Contoh'!C103</f>
        <v/>
      </c>
      <c r="E33" s="28">
        <f>'A2 Laba Rugi Contoh'!D88*'A1 Asumsi Contoh'!D103</f>
        <v/>
      </c>
    </row>
    <row r="34">
      <c r="A34" s="10" t="inlineStr">
        <is>
          <t xml:space="preserve">   Pinjaman bank jangka pendek</t>
        </is>
      </c>
      <c r="C34" s="17" t="n">
        <v>100000</v>
      </c>
      <c r="D34" s="28">
        <f>'A1 Asumsi Contoh'!C83</f>
        <v/>
      </c>
      <c r="E34" s="28">
        <f>'A1 Asumsi Contoh'!D83</f>
        <v/>
      </c>
    </row>
    <row r="35">
      <c r="A35" s="10" t="inlineStr">
        <is>
          <t xml:space="preserve">   Bagian lancar pinjaman bank jangka panjang</t>
        </is>
      </c>
      <c r="C35" s="17" t="n">
        <v>350000</v>
      </c>
      <c r="D35" s="28">
        <f>'A1 Asumsi Contoh'!C81</f>
        <v/>
      </c>
      <c r="E35" s="28">
        <f>'A1 Asumsi Contoh'!D81</f>
        <v/>
      </c>
    </row>
    <row r="36">
      <c r="A36" s="20" t="inlineStr">
        <is>
          <t xml:space="preserve">   Jumlah liabilitas jangka pendek</t>
        </is>
      </c>
      <c r="B36" s="23" t="n"/>
      <c r="C36" s="22">
        <f>SUM(C30:C35)</f>
        <v/>
      </c>
      <c r="D36" s="22">
        <f>SUM(D30:D35)</f>
        <v/>
      </c>
      <c r="E36" s="22">
        <f>SUM(E30:E35)</f>
        <v/>
      </c>
    </row>
    <row r="37">
      <c r="A37" s="35" t="inlineStr">
        <is>
          <t>Liabilitas jangka panjang</t>
        </is>
      </c>
    </row>
    <row r="38">
      <c r="A38" s="10" t="inlineStr">
        <is>
          <t xml:space="preserve">   Pinjaman bank jangka panjang – setelah bagian lancar</t>
        </is>
      </c>
      <c r="C38" s="17" t="n">
        <v>1550000</v>
      </c>
      <c r="D38" s="28">
        <f>'A1 Asumsi Contoh'!C82-D35</f>
        <v/>
      </c>
      <c r="E38" s="28">
        <f>'A1 Asumsi Contoh'!D82-E35</f>
        <v/>
      </c>
    </row>
    <row r="39">
      <c r="A39" s="10" t="inlineStr">
        <is>
          <t xml:space="preserve">   Provisi reklamasi &amp; penutupan tambang</t>
        </is>
      </c>
      <c r="C39" s="17" t="n">
        <v>380000</v>
      </c>
      <c r="D39" s="28">
        <f>C39+'A2 Laba Rugi Contoh'!C38-'A1 Asumsi Contoh'!C104</f>
        <v/>
      </c>
      <c r="E39" s="28">
        <f>D39+'A2 Laba Rugi Contoh'!D38-'A1 Asumsi Contoh'!D104</f>
        <v/>
      </c>
    </row>
    <row r="40">
      <c r="A40" s="10" t="inlineStr">
        <is>
          <t xml:space="preserve">   Liabilitas imbalan kerja</t>
        </is>
      </c>
      <c r="C40" s="17" t="n">
        <v>170000</v>
      </c>
      <c r="D40" s="28">
        <f>'A1 Asumsi Contoh'!C105</f>
        <v/>
      </c>
      <c r="E40" s="28">
        <f>'A1 Asumsi Contoh'!D105</f>
        <v/>
      </c>
    </row>
    <row r="41">
      <c r="A41" s="10" t="inlineStr">
        <is>
          <t xml:space="preserve">   Liabilitas pajak tangguhan</t>
        </is>
      </c>
      <c r="C41" s="17" t="n">
        <v>120000</v>
      </c>
      <c r="D41" s="19">
        <f>C41</f>
        <v/>
      </c>
      <c r="E41" s="19">
        <f>D41</f>
        <v/>
      </c>
    </row>
    <row r="42">
      <c r="A42" s="20" t="inlineStr">
        <is>
          <t xml:space="preserve">   Jumlah liabilitas jangka panjang</t>
        </is>
      </c>
      <c r="B42" s="23" t="n"/>
      <c r="C42" s="22">
        <f>SUM(C38:C41)</f>
        <v/>
      </c>
      <c r="D42" s="22">
        <f>SUM(D38:D41)</f>
        <v/>
      </c>
      <c r="E42" s="22">
        <f>SUM(E38:E41)</f>
        <v/>
      </c>
    </row>
    <row r="43">
      <c r="A43" s="31" t="inlineStr">
        <is>
          <t>JUMLAH LIABILITAS</t>
        </is>
      </c>
      <c r="B43" s="32" t="n"/>
      <c r="C43" s="33">
        <f>C36+C42</f>
        <v/>
      </c>
      <c r="D43" s="33">
        <f>D36+D42</f>
        <v/>
      </c>
      <c r="E43" s="33">
        <f>E36+E42</f>
        <v/>
      </c>
    </row>
    <row r="45">
      <c r="A45" s="4" t="inlineStr">
        <is>
          <t>EKUITAS</t>
        </is>
      </c>
      <c r="B45" s="5" t="n"/>
      <c r="C45" s="5" t="n"/>
      <c r="D45" s="5" t="n"/>
      <c r="E45" s="5" t="n"/>
    </row>
    <row r="46">
      <c r="A46" s="10" t="inlineStr">
        <is>
          <t xml:space="preserve">   Modal saham</t>
        </is>
      </c>
      <c r="C46" s="17" t="n">
        <v>1150000</v>
      </c>
      <c r="D46" s="19">
        <f>C46</f>
        <v/>
      </c>
      <c r="E46" s="19">
        <f>D46</f>
        <v/>
      </c>
    </row>
    <row r="47">
      <c r="A47" s="10" t="inlineStr">
        <is>
          <t xml:space="preserve">   Tambahan modal disetor</t>
        </is>
      </c>
      <c r="C47" s="17" t="n">
        <v>350000</v>
      </c>
      <c r="D47" s="19">
        <f>C47</f>
        <v/>
      </c>
      <c r="E47" s="19">
        <f>D47</f>
        <v/>
      </c>
    </row>
    <row r="48">
      <c r="A48" s="10" t="inlineStr">
        <is>
          <t xml:space="preserve">   Saldo laba</t>
        </is>
      </c>
      <c r="B48" s="3" t="inlineStr">
        <is>
          <t>awal + laba – dividen</t>
        </is>
      </c>
      <c r="C48" s="17" t="n">
        <v>2671000</v>
      </c>
      <c r="D48" s="28">
        <f>C48+'A2 Laba Rugi Contoh'!C89-'A1 Asumsi Contoh'!C88</f>
        <v/>
      </c>
      <c r="E48" s="28">
        <f>D48+'A2 Laba Rugi Contoh'!D89-'A1 Asumsi Contoh'!D88</f>
        <v/>
      </c>
    </row>
    <row r="49">
      <c r="A49" s="10" t="inlineStr">
        <is>
          <t xml:space="preserve">   Penghasilan komprehensif lain</t>
        </is>
      </c>
      <c r="C49" s="17" t="n">
        <v>25000</v>
      </c>
      <c r="D49" s="19">
        <f>C49</f>
        <v/>
      </c>
      <c r="E49" s="19">
        <f>D49</f>
        <v/>
      </c>
    </row>
    <row r="50">
      <c r="A50" s="10" t="inlineStr">
        <is>
          <t xml:space="preserve">   Kepentingan nonpengendali</t>
        </is>
      </c>
      <c r="C50" s="17" t="n">
        <v>150000</v>
      </c>
      <c r="D50" s="19">
        <f>C50</f>
        <v/>
      </c>
      <c r="E50" s="19">
        <f>D50</f>
        <v/>
      </c>
    </row>
    <row r="51">
      <c r="A51" s="31" t="inlineStr">
        <is>
          <t>JUMLAH EKUITAS</t>
        </is>
      </c>
      <c r="B51" s="32" t="n"/>
      <c r="C51" s="33">
        <f>SUM(C46:C50)</f>
        <v/>
      </c>
      <c r="D51" s="33">
        <f>SUM(D46:D50)</f>
        <v/>
      </c>
      <c r="E51" s="33">
        <f>SUM(E46:E50)</f>
        <v/>
      </c>
    </row>
    <row r="53">
      <c r="A53" s="31" t="inlineStr">
        <is>
          <t>JUMLAH LIABILITAS DAN EKUITAS</t>
        </is>
      </c>
      <c r="B53" s="32" t="n"/>
      <c r="C53" s="33">
        <f>C43+C51</f>
        <v/>
      </c>
      <c r="D53" s="33">
        <f>D43+D51</f>
        <v/>
      </c>
      <c r="E53" s="33">
        <f>E43+E51</f>
        <v/>
      </c>
    </row>
    <row r="54">
      <c r="A54" s="37" t="inlineStr">
        <is>
          <t xml:space="preserve">   Cek keseimbangan (harus 0)</t>
        </is>
      </c>
      <c r="C54" s="38">
        <f>ROUND(C26-C53,0)</f>
        <v/>
      </c>
      <c r="D54" s="38">
        <f>ROUND(D26-D53,0)</f>
        <v/>
      </c>
      <c r="E54" s="38">
        <f>ROUND(E26-E53,0)</f>
        <v/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D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8" customWidth="1" min="2" max="2"/>
    <col width="15" customWidth="1" min="3" max="3"/>
    <col width="15" customWidth="1" min="4" max="4"/>
  </cols>
  <sheetData>
    <row r="1">
      <c r="A1" s="1" t="inlineStr">
        <is>
          <t>PT Batubara Contoh Tbk (fiktif) – Laporan Arus Kas Konsolidasian</t>
        </is>
      </c>
      <c r="B1" s="2" t="n"/>
      <c r="C1" s="2" t="n"/>
      <c r="D1" s="2" t="n"/>
    </row>
    <row r="2">
      <c r="A2" s="3" t="inlineStr">
        <is>
          <t>Untuk tahun yang berakhir 31 Desember | dalam Rp juta | metode tidak langsung + rekonsiliasi metode langsung</t>
        </is>
      </c>
    </row>
    <row r="5">
      <c r="A5" s="16" t="inlineStr">
        <is>
          <t>Uraian</t>
        </is>
      </c>
      <c r="B5" s="16" t="inlineStr">
        <is>
          <t>Basis</t>
        </is>
      </c>
      <c r="C5" s="16" t="inlineStr">
        <is>
          <t>FY2024</t>
        </is>
      </c>
      <c r="D5" s="16" t="inlineStr">
        <is>
          <t>FY2025</t>
        </is>
      </c>
    </row>
    <row r="6">
      <c r="A6" s="4" t="inlineStr">
        <is>
          <t>ARUS KAS DARI AKTIVITAS OPERASI (metode tidak langsung)</t>
        </is>
      </c>
      <c r="B6" s="5" t="n"/>
      <c r="C6" s="5" t="n"/>
      <c r="D6" s="5" t="n"/>
    </row>
    <row r="7">
      <c r="A7" s="10" t="inlineStr">
        <is>
          <t xml:space="preserve">   Laba bersih tahun berjalan</t>
        </is>
      </c>
      <c r="C7" s="28">
        <f>'A2 Laba Rugi Contoh'!C89</f>
        <v/>
      </c>
      <c r="D7" s="28">
        <f>'A2 Laba Rugi Contoh'!D89</f>
        <v/>
      </c>
    </row>
    <row r="8">
      <c r="A8" s="35" t="inlineStr">
        <is>
          <t>Penyesuaian pos non-kas</t>
        </is>
      </c>
    </row>
    <row r="9">
      <c r="A9" s="10" t="inlineStr">
        <is>
          <t xml:space="preserve">   Penyusutan &amp; amortisasi</t>
        </is>
      </c>
      <c r="C9" s="28">
        <f>'A2 Laba Rugi Contoh'!C46+'A2 Laba Rugi Contoh'!C71</f>
        <v/>
      </c>
      <c r="D9" s="28">
        <f>'A2 Laba Rugi Contoh'!D46+'A2 Laba Rugi Contoh'!D71</f>
        <v/>
      </c>
    </row>
    <row r="10">
      <c r="A10" s="10" t="inlineStr">
        <is>
          <t xml:space="preserve">   Bagian laba entitas asosiasi</t>
        </is>
      </c>
      <c r="C10" s="28">
        <f>-'A2 Laba Rugi Contoh'!C83</f>
        <v/>
      </c>
      <c r="D10" s="28">
        <f>-'A2 Laba Rugi Contoh'!D83</f>
        <v/>
      </c>
    </row>
    <row r="11">
      <c r="A11" s="10" t="inlineStr">
        <is>
          <t xml:space="preserve">   Kenaikan provisi reklamasi – neto</t>
        </is>
      </c>
      <c r="C11" s="28">
        <f>('A3 Neraca Contoh'!D39-'A3 Neraca Contoh'!C39)</f>
        <v/>
      </c>
      <c r="D11" s="28">
        <f>('A3 Neraca Contoh'!E39-'A3 Neraca Contoh'!D39)</f>
        <v/>
      </c>
    </row>
    <row r="12">
      <c r="A12" s="10" t="inlineStr">
        <is>
          <t xml:space="preserve">   Kenaikan liabilitas imbalan kerja</t>
        </is>
      </c>
      <c r="C12" s="28">
        <f>('A3 Neraca Contoh'!D40-'A3 Neraca Contoh'!C40)</f>
        <v/>
      </c>
      <c r="D12" s="28">
        <f>('A3 Neraca Contoh'!E40-'A3 Neraca Contoh'!D40)</f>
        <v/>
      </c>
    </row>
    <row r="13">
      <c r="A13" s="10" t="inlineStr">
        <is>
          <t xml:space="preserve">   Perubahan pajak tangguhan</t>
        </is>
      </c>
      <c r="C13" s="28">
        <f>-('A3 Neraca Contoh'!D23-'A3 Neraca Contoh'!C23)+('A3 Neraca Contoh'!D41-'A3 Neraca Contoh'!C41)</f>
        <v/>
      </c>
      <c r="D13" s="28">
        <f>-('A3 Neraca Contoh'!E23-'A3 Neraca Contoh'!D23)+('A3 Neraca Contoh'!E41-'A3 Neraca Contoh'!D41)</f>
        <v/>
      </c>
    </row>
    <row r="14">
      <c r="A14" s="35" t="inlineStr">
        <is>
          <t>Perubahan modal kerja</t>
        </is>
      </c>
    </row>
    <row r="15">
      <c r="A15" s="10" t="inlineStr">
        <is>
          <t xml:space="preserve">   Piutang usaha</t>
        </is>
      </c>
      <c r="C15" s="28">
        <f>-('A3 Neraca Contoh'!D9-'A3 Neraca Contoh'!C9)</f>
        <v/>
      </c>
      <c r="D15" s="28">
        <f>-('A3 Neraca Contoh'!E9-'A3 Neraca Contoh'!D9)</f>
        <v/>
      </c>
    </row>
    <row r="16">
      <c r="A16" s="10" t="inlineStr">
        <is>
          <t xml:space="preserve">   Piutang lain-lain</t>
        </is>
      </c>
      <c r="C16" s="28">
        <f>-('A3 Neraca Contoh'!D10-'A3 Neraca Contoh'!C10)</f>
        <v/>
      </c>
      <c r="D16" s="28">
        <f>-('A3 Neraca Contoh'!E10-'A3 Neraca Contoh'!D10)</f>
        <v/>
      </c>
    </row>
    <row r="17">
      <c r="A17" s="10" t="inlineStr">
        <is>
          <t xml:space="preserve">   Persediaan batubara</t>
        </is>
      </c>
      <c r="C17" s="28">
        <f>-('A3 Neraca Contoh'!D11-'A3 Neraca Contoh'!C11)</f>
        <v/>
      </c>
      <c r="D17" s="28">
        <f>-('A3 Neraca Contoh'!E11-'A3 Neraca Contoh'!D11)</f>
        <v/>
      </c>
    </row>
    <row r="18">
      <c r="A18" s="10" t="inlineStr">
        <is>
          <t xml:space="preserve">   Persediaan suku cadang &amp; BBM</t>
        </is>
      </c>
      <c r="C18" s="28">
        <f>-('A3 Neraca Contoh'!D12-'A3 Neraca Contoh'!C12)</f>
        <v/>
      </c>
      <c r="D18" s="28">
        <f>-('A3 Neraca Contoh'!E12-'A3 Neraca Contoh'!D12)</f>
        <v/>
      </c>
    </row>
    <row r="19">
      <c r="A19" s="10" t="inlineStr">
        <is>
          <t xml:space="preserve">   Uang muka &amp; biaya dibayar dimuka</t>
        </is>
      </c>
      <c r="C19" s="28">
        <f>-('A3 Neraca Contoh'!D13-'A3 Neraca Contoh'!C13)</f>
        <v/>
      </c>
      <c r="D19" s="28">
        <f>-('A3 Neraca Contoh'!E13-'A3 Neraca Contoh'!D13)</f>
        <v/>
      </c>
    </row>
    <row r="20">
      <c r="A20" s="10" t="inlineStr">
        <is>
          <t xml:space="preserve">   Pajak dibayar dimuka</t>
        </is>
      </c>
      <c r="C20" s="28">
        <f>-('A3 Neraca Contoh'!D14-'A3 Neraca Contoh'!C14)</f>
        <v/>
      </c>
      <c r="D20" s="28">
        <f>-('A3 Neraca Contoh'!E14-'A3 Neraca Contoh'!D14)</f>
        <v/>
      </c>
    </row>
    <row r="21">
      <c r="A21" s="10" t="inlineStr">
        <is>
          <t xml:space="preserve">   Utang usaha</t>
        </is>
      </c>
      <c r="C21" s="28">
        <f>('A3 Neraca Contoh'!D30-'A3 Neraca Contoh'!C30)</f>
        <v/>
      </c>
      <c r="D21" s="28">
        <f>('A3 Neraca Contoh'!E30-'A3 Neraca Contoh'!D30)</f>
        <v/>
      </c>
    </row>
    <row r="22">
      <c r="A22" s="10" t="inlineStr">
        <is>
          <t xml:space="preserve">   Utang royalti</t>
        </is>
      </c>
      <c r="C22" s="28">
        <f>('A3 Neraca Contoh'!D31-'A3 Neraca Contoh'!C31)</f>
        <v/>
      </c>
      <c r="D22" s="28">
        <f>('A3 Neraca Contoh'!E31-'A3 Neraca Contoh'!D31)</f>
        <v/>
      </c>
    </row>
    <row r="23">
      <c r="A23" s="10" t="inlineStr">
        <is>
          <t xml:space="preserve">   Beban akrual</t>
        </is>
      </c>
      <c r="C23" s="28">
        <f>('A3 Neraca Contoh'!D32-'A3 Neraca Contoh'!C32)</f>
        <v/>
      </c>
      <c r="D23" s="28">
        <f>('A3 Neraca Contoh'!E32-'A3 Neraca Contoh'!D32)</f>
        <v/>
      </c>
    </row>
    <row r="24">
      <c r="A24" s="10" t="inlineStr">
        <is>
          <t xml:space="preserve">   Utang pajak</t>
        </is>
      </c>
      <c r="C24" s="28">
        <f>('A3 Neraca Contoh'!D33-'A3 Neraca Contoh'!C33)</f>
        <v/>
      </c>
      <c r="D24" s="28">
        <f>('A3 Neraca Contoh'!E33-'A3 Neraca Contoh'!D33)</f>
        <v/>
      </c>
    </row>
    <row r="25">
      <c r="A25" s="31" t="inlineStr">
        <is>
          <t>Kas bersih dari aktivitas operasi</t>
        </is>
      </c>
      <c r="B25" s="32" t="n"/>
      <c r="C25" s="33">
        <f>SUM(C7:C24)</f>
        <v/>
      </c>
      <c r="D25" s="33">
        <f>SUM(D7:D24)</f>
        <v/>
      </c>
    </row>
    <row r="27">
      <c r="A27" s="4" t="inlineStr">
        <is>
          <t>ARUS KAS DARI AKTIVITAS INVESTASI</t>
        </is>
      </c>
      <c r="B27" s="5" t="n"/>
      <c r="C27" s="5" t="n"/>
      <c r="D27" s="5" t="n"/>
    </row>
    <row r="28">
      <c r="A28" s="10" t="inlineStr">
        <is>
          <t xml:space="preserve">   Perolehan aset tetap</t>
        </is>
      </c>
      <c r="C28" s="28">
        <f>-(('A3 Neraca Contoh'!D17-'A3 Neraca Contoh'!C17)+'A2 Laba Rugi Contoh'!C43+'A2 Laba Rugi Contoh'!C71)</f>
        <v/>
      </c>
      <c r="D28" s="28">
        <f>-(('A3 Neraca Contoh'!E17-'A3 Neraca Contoh'!D17)+'A2 Laba Rugi Contoh'!D43+'A2 Laba Rugi Contoh'!D71)</f>
        <v/>
      </c>
    </row>
    <row r="29">
      <c r="A29" s="10" t="inlineStr">
        <is>
          <t xml:space="preserve">   Penambahan properti pertambangan</t>
        </is>
      </c>
      <c r="C29" s="28">
        <f>-(('A3 Neraca Contoh'!D18-'A3 Neraca Contoh'!C18)+'A2 Laba Rugi Contoh'!C44)</f>
        <v/>
      </c>
      <c r="D29" s="28">
        <f>-(('A3 Neraca Contoh'!E18-'A3 Neraca Contoh'!D18)+'A2 Laba Rugi Contoh'!D44)</f>
        <v/>
      </c>
    </row>
    <row r="30">
      <c r="A30" s="10" t="inlineStr">
        <is>
          <t xml:space="preserve">   Biaya pengupasan tangguhan</t>
        </is>
      </c>
      <c r="C30" s="28">
        <f>-(('A3 Neraca Contoh'!D20-'A3 Neraca Contoh'!C20)+'A2 Laba Rugi Contoh'!C45)</f>
        <v/>
      </c>
      <c r="D30" s="28">
        <f>-(('A3 Neraca Contoh'!E20-'A3 Neraca Contoh'!D20)+'A2 Laba Rugi Contoh'!D45)</f>
        <v/>
      </c>
    </row>
    <row r="31">
      <c r="A31" s="10" t="inlineStr">
        <is>
          <t xml:space="preserve">   Pengeluaran eksplorasi &amp; evaluasi</t>
        </is>
      </c>
      <c r="C31" s="28">
        <f>-('A3 Neraca Contoh'!D19-'A3 Neraca Contoh'!C19)</f>
        <v/>
      </c>
      <c r="D31" s="28">
        <f>-('A3 Neraca Contoh'!E19-'A3 Neraca Contoh'!D19)</f>
        <v/>
      </c>
    </row>
    <row r="32">
      <c r="A32" s="10" t="inlineStr">
        <is>
          <t xml:space="preserve">   Penempatan dana jaminan reklamasi</t>
        </is>
      </c>
      <c r="C32" s="28">
        <f>-('A3 Neraca Contoh'!D22-'A3 Neraca Contoh'!C22)</f>
        <v/>
      </c>
      <c r="D32" s="28">
        <f>-('A3 Neraca Contoh'!E22-'A3 Neraca Contoh'!D22)</f>
        <v/>
      </c>
    </row>
    <row r="33">
      <c r="A33" s="10" t="inlineStr">
        <is>
          <t xml:space="preserve">   Aset tidak lancar lainnya</t>
        </is>
      </c>
      <c r="C33" s="28">
        <f>-('A3 Neraca Contoh'!D24-'A3 Neraca Contoh'!C24)</f>
        <v/>
      </c>
      <c r="D33" s="28">
        <f>-('A3 Neraca Contoh'!E24-'A3 Neraca Contoh'!D24)</f>
        <v/>
      </c>
    </row>
    <row r="34">
      <c r="A34" s="31" t="inlineStr">
        <is>
          <t>Kas bersih untuk aktivitas investasi</t>
        </is>
      </c>
      <c r="B34" s="32" t="n"/>
      <c r="C34" s="33">
        <f>SUM(C28:C33)</f>
        <v/>
      </c>
      <c r="D34" s="33">
        <f>SUM(D28:D33)</f>
        <v/>
      </c>
    </row>
    <row r="36">
      <c r="A36" s="4" t="inlineStr">
        <is>
          <t>ARUS KAS DARI AKTIVITAS PENDANAAN</t>
        </is>
      </c>
      <c r="B36" s="5" t="n"/>
      <c r="C36" s="5" t="n"/>
      <c r="D36" s="5" t="n"/>
    </row>
    <row r="37">
      <c r="A37" s="10" t="inlineStr">
        <is>
          <t xml:space="preserve">   Penerimaan (pembayaran) pinjaman jangka pendek – neto</t>
        </is>
      </c>
      <c r="C37" s="28">
        <f>('A3 Neraca Contoh'!D34-'A3 Neraca Contoh'!C34)</f>
        <v/>
      </c>
      <c r="D37" s="28">
        <f>('A3 Neraca Contoh'!E34-'A3 Neraca Contoh'!D34)</f>
        <v/>
      </c>
    </row>
    <row r="38">
      <c r="A38" s="10" t="inlineStr">
        <is>
          <t xml:space="preserve">   Penerimaan pinjaman bank jangka panjang</t>
        </is>
      </c>
      <c r="C38" s="28">
        <f>'A1 Asumsi Contoh'!C79</f>
        <v/>
      </c>
      <c r="D38" s="28">
        <f>'A1 Asumsi Contoh'!D79</f>
        <v/>
      </c>
    </row>
    <row r="39">
      <c r="A39" s="10" t="inlineStr">
        <is>
          <t xml:space="preserve">   Pembayaran pinjaman bank jangka panjang</t>
        </is>
      </c>
      <c r="C39" s="28">
        <f>-'A1 Asumsi Contoh'!C80</f>
        <v/>
      </c>
      <c r="D39" s="28">
        <f>-'A1 Asumsi Contoh'!D80</f>
        <v/>
      </c>
    </row>
    <row r="40">
      <c r="A40" s="10" t="inlineStr">
        <is>
          <t xml:space="preserve">   Pembayaran dividen</t>
        </is>
      </c>
      <c r="C40" s="28">
        <f>-'A1 Asumsi Contoh'!C88</f>
        <v/>
      </c>
      <c r="D40" s="28">
        <f>-'A1 Asumsi Contoh'!D88</f>
        <v/>
      </c>
    </row>
    <row r="41">
      <c r="A41" s="10" t="inlineStr">
        <is>
          <t xml:space="preserve">   Perubahan ekuitas lainnya</t>
        </is>
      </c>
      <c r="C41" s="28">
        <f>('A3 Neraca Contoh'!D46-'A3 Neraca Contoh'!C46)+('A3 Neraca Contoh'!D47-'A3 Neraca Contoh'!C47)+('A3 Neraca Contoh'!D49-'A3 Neraca Contoh'!C49)+('A3 Neraca Contoh'!D50-'A3 Neraca Contoh'!C50)</f>
        <v/>
      </c>
      <c r="D41" s="28">
        <f>('A3 Neraca Contoh'!E46-'A3 Neraca Contoh'!D46)+('A3 Neraca Contoh'!E47-'A3 Neraca Contoh'!D47)+('A3 Neraca Contoh'!E49-'A3 Neraca Contoh'!D49)+('A3 Neraca Contoh'!E50-'A3 Neraca Contoh'!D50)</f>
        <v/>
      </c>
    </row>
    <row r="42">
      <c r="A42" s="31" t="inlineStr">
        <is>
          <t>Kas bersih dari (untuk) aktivitas pendanaan</t>
        </is>
      </c>
      <c r="B42" s="32" t="n"/>
      <c r="C42" s="33">
        <f>SUM(C37:C41)</f>
        <v/>
      </c>
      <c r="D42" s="33">
        <f>SUM(D37:D41)</f>
        <v/>
      </c>
    </row>
    <row r="44">
      <c r="A44" s="20" t="inlineStr">
        <is>
          <t xml:space="preserve">   KENAIKAN (PENURUNAN) BERSIH KAS</t>
        </is>
      </c>
      <c r="B44" s="23" t="n"/>
      <c r="C44" s="22">
        <f>C25+C34+C42</f>
        <v/>
      </c>
      <c r="D44" s="22">
        <f>D25+D34+D42</f>
        <v/>
      </c>
    </row>
    <row r="45">
      <c r="A45" s="10" t="inlineStr">
        <is>
          <t xml:space="preserve">   Kas dan setara kas awal tahun</t>
        </is>
      </c>
      <c r="C45" s="28">
        <f>'A3 Neraca Contoh'!C8</f>
        <v/>
      </c>
      <c r="D45" s="28">
        <f>'A3 Neraca Contoh'!D8</f>
        <v/>
      </c>
    </row>
    <row r="46">
      <c r="A46" s="31" t="inlineStr">
        <is>
          <t>KAS DAN SETARA KAS AKHIR TAHUN</t>
        </is>
      </c>
      <c r="B46" s="32" t="n"/>
      <c r="C46" s="33">
        <f>C45+C44</f>
        <v/>
      </c>
      <c r="D46" s="33">
        <f>D45+D44</f>
        <v/>
      </c>
    </row>
    <row r="47">
      <c r="A47" s="37" t="inlineStr">
        <is>
          <t xml:space="preserve">   Memo: Free cash flow (CFO + CFI)</t>
        </is>
      </c>
      <c r="C47" s="38">
        <f>C25+C34</f>
        <v/>
      </c>
      <c r="D47" s="38">
        <f>D25+D34</f>
        <v/>
      </c>
    </row>
    <row r="49">
      <c r="A49" s="4" t="inlineStr">
        <is>
          <t>MEMO: ARUS KAS OPERASI – METODE LANGSUNG (format penyajian emiten Tbk)</t>
        </is>
      </c>
      <c r="B49" s="5" t="n"/>
      <c r="C49" s="5" t="n"/>
      <c r="D49" s="5" t="n"/>
    </row>
    <row r="50">
      <c r="A50" s="10" t="inlineStr">
        <is>
          <t xml:space="preserve">   Penerimaan kas dari pelanggan</t>
        </is>
      </c>
      <c r="C50" s="28">
        <f>'A2 Laba Rugi Contoh'!C13+C15</f>
        <v/>
      </c>
      <c r="D50" s="28">
        <f>'A2 Laba Rugi Contoh'!D13+D15</f>
        <v/>
      </c>
    </row>
    <row r="51">
      <c r="A51" s="10" t="inlineStr">
        <is>
          <t xml:space="preserve">   Penerimaan bunga</t>
        </is>
      </c>
      <c r="C51" s="28">
        <f>'A2 Laba Rugi Contoh'!C80</f>
        <v/>
      </c>
      <c r="D51" s="28">
        <f>'A2 Laba Rugi Contoh'!D80</f>
        <v/>
      </c>
    </row>
    <row r="52">
      <c r="A52" s="10" t="inlineStr">
        <is>
          <t xml:space="preserve">   Pembayaran royalti</t>
        </is>
      </c>
      <c r="C52" s="28">
        <f>-'A2 Laba Rugi Contoh'!C33+C22</f>
        <v/>
      </c>
      <c r="D52" s="28">
        <f>-'A2 Laba Rugi Contoh'!D33+D22</f>
        <v/>
      </c>
    </row>
    <row r="53">
      <c r="A53" s="10" t="inlineStr">
        <is>
          <t xml:space="preserve">   Pembayaran pajak penghasilan</t>
        </is>
      </c>
      <c r="C53" s="28">
        <f>-'A2 Laba Rugi Contoh'!C88+C24+C20+C13</f>
        <v/>
      </c>
      <c r="D53" s="28">
        <f>-'A2 Laba Rugi Contoh'!D88+D24+D20+D13</f>
        <v/>
      </c>
    </row>
    <row r="54">
      <c r="A54" s="10" t="inlineStr">
        <is>
          <t xml:space="preserve">   Pembayaran bunga &amp; beban keuangan</t>
        </is>
      </c>
      <c r="C54" s="28">
        <f>'A2 Laba Rugi Contoh'!C81</f>
        <v/>
      </c>
      <c r="D54" s="28">
        <f>'A2 Laba Rugi Contoh'!D81</f>
        <v/>
      </c>
    </row>
    <row r="55">
      <c r="A55" s="10" t="inlineStr">
        <is>
          <t xml:space="preserve">   Pembayaran kepada pemasok, kontraktor &amp; karyawan (selisih)</t>
        </is>
      </c>
      <c r="C55" s="19">
        <f>C25-C50-C51-C52-C53-C54</f>
        <v/>
      </c>
      <c r="D55" s="19">
        <f>D25-D50-D51-D52-D53-D54</f>
        <v/>
      </c>
    </row>
    <row r="56">
      <c r="A56" s="31" t="inlineStr">
        <is>
          <t>Kas bersih dari aktivitas operasi</t>
        </is>
      </c>
      <c r="B56" s="32" t="n"/>
      <c r="C56" s="33">
        <f>SUM(C50:C55)</f>
        <v/>
      </c>
      <c r="D56" s="33">
        <f>SUM(D50:D55)</f>
        <v/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J5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4" customWidth="1" min="8" max="8"/>
    <col width="18" customWidth="1" min="9" max="9"/>
    <col width="12" customWidth="1" min="10" max="10"/>
  </cols>
  <sheetData>
    <row r="1">
      <c r="A1" s="1" t="inlineStr">
        <is>
          <t>Struktur Pendapatan &amp; Struktur Biaya – Perusahaan Tambang Batubara (model contoh)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Sumber angka: sheet A1–A2. Dalam Rp juta kecuali disebutkan.</t>
        </is>
      </c>
    </row>
    <row r="4">
      <c r="A4" s="4" t="inlineStr">
        <is>
          <t>1. STRUKTUR PENDAPATAN (REVENUE STRUCTURE)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16" t="inlineStr">
        <is>
          <t>Segmen pendapatan</t>
        </is>
      </c>
      <c r="B5" s="16" t="inlineStr">
        <is>
          <t>Volume 2024 (ton)</t>
        </is>
      </c>
      <c r="C5" s="16" t="inlineStr">
        <is>
          <t>ASP 2024 (USD/t)</t>
        </is>
      </c>
      <c r="D5" s="16" t="inlineStr">
        <is>
          <t>Pendapatan 2024</t>
        </is>
      </c>
      <c r="E5" s="16" t="inlineStr">
        <is>
          <t>Porsi 2024</t>
        </is>
      </c>
      <c r="F5" s="16" t="inlineStr">
        <is>
          <t>Volume 2025 (ton)</t>
        </is>
      </c>
      <c r="G5" s="16" t="inlineStr">
        <is>
          <t>ASP 2025 (USD/t)</t>
        </is>
      </c>
      <c r="H5" s="16" t="inlineStr">
        <is>
          <t>Pendapatan 2025</t>
        </is>
      </c>
      <c r="I5" s="16" t="inlineStr">
        <is>
          <t>Porsi 2025</t>
        </is>
      </c>
      <c r="J5" s="16" t="inlineStr">
        <is>
          <t>Pertumbuhan</t>
        </is>
      </c>
    </row>
    <row r="6">
      <c r="A6" s="10" t="inlineStr">
        <is>
          <t>Ekspor</t>
        </is>
      </c>
      <c r="B6" s="28">
        <f>'A1 Asumsi Contoh'!C18</f>
        <v/>
      </c>
      <c r="C6" s="39">
        <f>'A1 Asumsi Contoh'!C9</f>
        <v/>
      </c>
      <c r="D6" s="28">
        <f>'A2 Laba Rugi Contoh'!C7</f>
        <v/>
      </c>
      <c r="E6" s="24">
        <f>IFERROR(D6/D$11,0)</f>
        <v/>
      </c>
      <c r="F6" s="28">
        <f>'A1 Asumsi Contoh'!D18</f>
        <v/>
      </c>
      <c r="G6" s="39">
        <f>'A1 Asumsi Contoh'!D9</f>
        <v/>
      </c>
      <c r="H6" s="28">
        <f>'A2 Laba Rugi Contoh'!D7</f>
        <v/>
      </c>
      <c r="I6" s="24">
        <f>IFERROR(H6/H$11,0)</f>
        <v/>
      </c>
      <c r="J6" s="24">
        <f>IFERROR((H6-D6)/ABS(D6),"")</f>
        <v/>
      </c>
    </row>
    <row r="7">
      <c r="A7" s="10" t="inlineStr">
        <is>
          <t>Domestik – DMO (kelistrikan)</t>
        </is>
      </c>
      <c r="B7" s="28">
        <f>'A1 Asumsi Contoh'!C19</f>
        <v/>
      </c>
      <c r="C7" s="39">
        <f>'A1 Asumsi Contoh'!C10</f>
        <v/>
      </c>
      <c r="D7" s="28">
        <f>'A2 Laba Rugi Contoh'!C8</f>
        <v/>
      </c>
      <c r="E7" s="24">
        <f>IFERROR(D7/D$11,0)</f>
        <v/>
      </c>
      <c r="F7" s="28">
        <f>'A1 Asumsi Contoh'!D19</f>
        <v/>
      </c>
      <c r="G7" s="39">
        <f>'A1 Asumsi Contoh'!D10</f>
        <v/>
      </c>
      <c r="H7" s="28">
        <f>'A2 Laba Rugi Contoh'!D8</f>
        <v/>
      </c>
      <c r="I7" s="24">
        <f>IFERROR(H7/H$11,0)</f>
        <v/>
      </c>
      <c r="J7" s="24">
        <f>IFERROR((H7-D7)/ABS(D7),"")</f>
        <v/>
      </c>
    </row>
    <row r="8">
      <c r="A8" s="10" t="inlineStr">
        <is>
          <t>Domestik – non-DMO (industri)</t>
        </is>
      </c>
      <c r="B8" s="28">
        <f>'A1 Asumsi Contoh'!C20</f>
        <v/>
      </c>
      <c r="C8" s="39">
        <f>'A1 Asumsi Contoh'!C11</f>
        <v/>
      </c>
      <c r="D8" s="28">
        <f>'A2 Laba Rugi Contoh'!C9</f>
        <v/>
      </c>
      <c r="E8" s="24">
        <f>IFERROR(D8/D$11,0)</f>
        <v/>
      </c>
      <c r="F8" s="28">
        <f>'A1 Asumsi Contoh'!D20</f>
        <v/>
      </c>
      <c r="G8" s="39">
        <f>'A1 Asumsi Contoh'!D11</f>
        <v/>
      </c>
      <c r="H8" s="28">
        <f>'A2 Laba Rugi Contoh'!D9</f>
        <v/>
      </c>
      <c r="I8" s="24">
        <f>IFERROR(H8/H$11,0)</f>
        <v/>
      </c>
      <c r="J8" s="24">
        <f>IFERROR((H8-D8)/ABS(D8),"")</f>
        <v/>
      </c>
    </row>
    <row r="9">
      <c r="A9" s="10" t="inlineStr">
        <is>
          <t>Penyesuaian harga / penalti kualitas</t>
        </is>
      </c>
      <c r="D9" s="28">
        <f>'A2 Laba Rugi Contoh'!C11</f>
        <v/>
      </c>
      <c r="E9" s="24">
        <f>IFERROR(D9/D$11,0)</f>
        <v/>
      </c>
      <c r="H9" s="28">
        <f>'A2 Laba Rugi Contoh'!D11</f>
        <v/>
      </c>
      <c r="I9" s="24">
        <f>IFERROR(H9/H$11,0)</f>
        <v/>
      </c>
      <c r="J9" s="24">
        <f>IFERROR((H9-D9)/ABS(D9),"")</f>
        <v/>
      </c>
    </row>
    <row r="10">
      <c r="A10" s="10" t="inlineStr">
        <is>
          <t>Pendapatan jasa pihak ketiga</t>
        </is>
      </c>
      <c r="D10" s="28">
        <f>'A2 Laba Rugi Contoh'!C12</f>
        <v/>
      </c>
      <c r="E10" s="24">
        <f>IFERROR(D10/D$11,0)</f>
        <v/>
      </c>
      <c r="H10" s="28">
        <f>'A2 Laba Rugi Contoh'!D12</f>
        <v/>
      </c>
      <c r="I10" s="24">
        <f>IFERROR(H10/H$11,0)</f>
        <v/>
      </c>
      <c r="J10" s="24">
        <f>IFERROR((H10-D10)/ABS(D10),"")</f>
        <v/>
      </c>
    </row>
    <row r="11">
      <c r="A11" s="31" t="inlineStr">
        <is>
          <t>TOTAL PENDAPATAN BERSIH</t>
        </is>
      </c>
      <c r="B11" s="33">
        <f>SUM(B6:B10)</f>
        <v/>
      </c>
      <c r="C11" s="40">
        <f>IFERROR(SUM(D6:D8)*1000000/B11/'A1 Asumsi Contoh'!C7,0)</f>
        <v/>
      </c>
      <c r="D11" s="33">
        <f>SUM(D6:D10)</f>
        <v/>
      </c>
      <c r="E11" s="41">
        <f>SUM(E6:E10)</f>
        <v/>
      </c>
      <c r="F11" s="33">
        <f>SUM(F6:F10)</f>
        <v/>
      </c>
      <c r="G11" s="40">
        <f>IFERROR(SUM(H6:H8)*1000000/F11/'A1 Asumsi Contoh'!D7,0)</f>
        <v/>
      </c>
      <c r="H11" s="33">
        <f>SUM(H6:H10)</f>
        <v/>
      </c>
      <c r="I11" s="41">
        <f>SUM(I6:I10)</f>
        <v/>
      </c>
      <c r="J11" s="41">
        <f>IFERROR((H11-D11)/ABS(D11),"")</f>
        <v/>
      </c>
    </row>
    <row r="12">
      <c r="A12" s="3" t="inlineStr">
        <is>
          <t>ASP total = ASP rata-rata tertimbang penjualan batubara (excl. penalti &amp; jasa).</t>
        </is>
      </c>
    </row>
    <row r="13">
      <c r="A13" s="8" t="inlineStr">
        <is>
          <t>Pemicu pendapatan: Pendapatan batubara = Volume penjualan (ton) × Harga realisasi (USD/t) × Kurs (Rp/USD) ± penyesuaian kualitas.</t>
        </is>
      </c>
    </row>
    <row r="14">
      <c r="A14" s="8" t="inlineStr">
        <is>
          <t>Harga realisasi dipengaruhi: indeks acuan (HBA / ICI / Newcastle), nilai kalori (GAR/NAR), spesifikasi (TM, ash, sulfur), term FOB vs CIF, dan kontrak DMO (cap harga).</t>
        </is>
      </c>
    </row>
    <row r="15">
      <c r="A15" s="8" t="inlineStr">
        <is>
          <t>Bauran pasar: ekspor (harga pasar, eksposur USD), DMO (harga dibatasi, kewajiban ≥25%), domestik non-DMO (industri/semen/smelter). Pendapatan jasa = pemanfaatan pelabuhan/jalan hauling oleh pihak ketiga.</t>
        </is>
      </c>
    </row>
    <row r="18">
      <c r="A18" s="4" t="inlineStr">
        <is>
          <t>2. STRUKTUR BIAYA (COST STRUCTURE) – total biaya = BPP + beban usaha + beban keuangan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16" t="inlineStr">
        <is>
          <t>Komponen biaya</t>
        </is>
      </c>
      <c r="B19" s="16" t="inlineStr">
        <is>
          <t>FY2024 (Rp juta)</t>
        </is>
      </c>
      <c r="C19" s="16" t="inlineStr">
        <is>
          <t>FY2025 (Rp juta)</t>
        </is>
      </c>
      <c r="D19" s="16" t="inlineStr">
        <is>
          <t>Porsi thd total biaya 2025</t>
        </is>
      </c>
      <c r="E19" s="16" t="inlineStr">
        <is>
          <t>% thd pendapatan 2025</t>
        </is>
      </c>
      <c r="F19" s="16" t="inlineStr">
        <is>
          <t>USD/t terjual 2025</t>
        </is>
      </c>
      <c r="G19" s="16" t="inlineStr">
        <is>
          <t>Sifat biaya</t>
        </is>
      </c>
      <c r="H19" s="16" t="inlineStr">
        <is>
          <t>Pemicu biaya (cost driver)</t>
        </is>
      </c>
      <c r="I19" s="16" t="inlineStr">
        <is>
          <t>Dapat dikendalikan</t>
        </is>
      </c>
      <c r="J19" s="16" t="inlineStr">
        <is>
          <t>Δ% YoY</t>
        </is>
      </c>
    </row>
    <row r="20">
      <c r="A20" s="10" t="inlineStr">
        <is>
          <t>Pengupasan OB (kontraktor + BBM + peledakan)</t>
        </is>
      </c>
      <c r="B20" s="28">
        <f>'A2 Laba Rugi Contoh'!C17+'A2 Laba Rugi Contoh'!C18+'A2 Laba Rugi Contoh'!C19</f>
        <v/>
      </c>
      <c r="C20" s="28">
        <f>'A2 Laba Rugi Contoh'!D17+'A2 Laba Rugi Contoh'!D18+'A2 Laba Rugi Contoh'!D19</f>
        <v/>
      </c>
      <c r="D20" s="24">
        <f>IFERROR(C20/C$35,0)</f>
        <v/>
      </c>
      <c r="E20" s="42">
        <f>IFERROR(C20/'A2 Laba Rugi Contoh'!D13,0)</f>
        <v/>
      </c>
      <c r="F20" s="39">
        <f>IFERROR(C20*1000000/'A1 Asumsi Contoh'!D21/'A1 Asumsi Contoh'!D7,0)</f>
        <v/>
      </c>
      <c r="G20" s="11" t="inlineStr">
        <is>
          <t>Variabel</t>
        </is>
      </c>
      <c r="H20" s="8" t="inlineStr">
        <is>
          <t>Volume OB (bcm) = produksi × SR; tarif; harga BBM</t>
        </is>
      </c>
      <c r="I20" s="11" t="inlineStr">
        <is>
          <t>Ya</t>
        </is>
      </c>
      <c r="J20" s="24">
        <f>IFERROR((C20-B20)/ABS(B20),"")</f>
        <v/>
      </c>
    </row>
    <row r="21">
      <c r="A21" s="10" t="inlineStr">
        <is>
          <t>Penggalian batubara (coal getting)</t>
        </is>
      </c>
      <c r="B21" s="28">
        <f>'A2 Laba Rugi Contoh'!C20</f>
        <v/>
      </c>
      <c r="C21" s="28">
        <f>'A2 Laba Rugi Contoh'!D20</f>
        <v/>
      </c>
      <c r="D21" s="24">
        <f>IFERROR(C21/C$35,0)</f>
        <v/>
      </c>
      <c r="E21" s="42">
        <f>IFERROR(C21/'A2 Laba Rugi Contoh'!D13,0)</f>
        <v/>
      </c>
      <c r="F21" s="39">
        <f>IFERROR(C21*1000000/'A1 Asumsi Contoh'!D21/'A1 Asumsi Contoh'!D7,0)</f>
        <v/>
      </c>
      <c r="G21" s="11" t="inlineStr">
        <is>
          <t>Variabel</t>
        </is>
      </c>
      <c r="H21" s="8" t="inlineStr">
        <is>
          <t>Ton produksi × tarif</t>
        </is>
      </c>
      <c r="I21" s="11" t="inlineStr">
        <is>
          <t>Ya</t>
        </is>
      </c>
      <c r="J21" s="24">
        <f>IFERROR((C21-B21)/ABS(B21),"")</f>
        <v/>
      </c>
    </row>
    <row r="22">
      <c r="A22" s="10" t="inlineStr">
        <is>
          <t>Biaya tambang tetap (sewa alat, pemeliharaan, dewatering, survei)</t>
        </is>
      </c>
      <c r="B22" s="28">
        <f>'A2 Laba Rugi Contoh'!C21+'A2 Laba Rugi Contoh'!C22+'A2 Laba Rugi Contoh'!C23+'A2 Laba Rugi Contoh'!C24</f>
        <v/>
      </c>
      <c r="C22" s="28">
        <f>'A2 Laba Rugi Contoh'!D21+'A2 Laba Rugi Contoh'!D22+'A2 Laba Rugi Contoh'!D23+'A2 Laba Rugi Contoh'!D24</f>
        <v/>
      </c>
      <c r="D22" s="24">
        <f>IFERROR(C22/C$35,0)</f>
        <v/>
      </c>
      <c r="E22" s="42">
        <f>IFERROR(C22/'A2 Laba Rugi Contoh'!D13,0)</f>
        <v/>
      </c>
      <c r="F22" s="39">
        <f>IFERROR(C22*1000000/'A1 Asumsi Contoh'!D21/'A1 Asumsi Contoh'!D7,0)</f>
        <v/>
      </c>
      <c r="G22" s="11" t="inlineStr">
        <is>
          <t>Tetap</t>
        </is>
      </c>
      <c r="H22" s="8" t="inlineStr">
        <is>
          <t>Kontrak periodik, curah hujan</t>
        </is>
      </c>
      <c r="I22" s="11" t="inlineStr">
        <is>
          <t>Ya</t>
        </is>
      </c>
      <c r="J22" s="24">
        <f>IFERROR((C22-B22)/ABS(B22),"")</f>
        <v/>
      </c>
    </row>
    <row r="23">
      <c r="A23" s="10" t="inlineStr">
        <is>
          <t>Crushing &amp; pengolahan (CPP)</t>
        </is>
      </c>
      <c r="B23" s="28">
        <f>'A2 Laba Rugi Contoh'!C27</f>
        <v/>
      </c>
      <c r="C23" s="28">
        <f>'A2 Laba Rugi Contoh'!D27</f>
        <v/>
      </c>
      <c r="D23" s="24">
        <f>IFERROR(C23/C$35,0)</f>
        <v/>
      </c>
      <c r="E23" s="42">
        <f>IFERROR(C23/'A2 Laba Rugi Contoh'!D13,0)</f>
        <v/>
      </c>
      <c r="F23" s="39">
        <f>IFERROR(C23*1000000/'A1 Asumsi Contoh'!D21/'A1 Asumsi Contoh'!D7,0)</f>
        <v/>
      </c>
      <c r="G23" s="11" t="inlineStr">
        <is>
          <t>Variabel</t>
        </is>
      </c>
      <c r="H23" s="8" t="inlineStr">
        <is>
          <t>Ton produksi</t>
        </is>
      </c>
      <c r="I23" s="11" t="inlineStr">
        <is>
          <t>Ya</t>
        </is>
      </c>
      <c r="J23" s="24">
        <f>IFERROR((C23-B23)/ABS(B23),"")</f>
        <v/>
      </c>
    </row>
    <row r="24">
      <c r="A24" s="10" t="inlineStr">
        <is>
          <t>Hauling tambang – pelabuhan</t>
        </is>
      </c>
      <c r="B24" s="28">
        <f>'A2 Laba Rugi Contoh'!C28</f>
        <v/>
      </c>
      <c r="C24" s="28">
        <f>'A2 Laba Rugi Contoh'!D28</f>
        <v/>
      </c>
      <c r="D24" s="24">
        <f>IFERROR(C24/C$35,0)</f>
        <v/>
      </c>
      <c r="E24" s="42">
        <f>IFERROR(C24/'A2 Laba Rugi Contoh'!D13,0)</f>
        <v/>
      </c>
      <c r="F24" s="39">
        <f>IFERROR(C24*1000000/'A1 Asumsi Contoh'!D21/'A1 Asumsi Contoh'!D7,0)</f>
        <v/>
      </c>
      <c r="G24" s="11" t="inlineStr">
        <is>
          <t>Variabel</t>
        </is>
      </c>
      <c r="H24" s="8" t="inlineStr">
        <is>
          <t>Ton × jarak (km) × tarif</t>
        </is>
      </c>
      <c r="I24" s="11" t="inlineStr">
        <is>
          <t>Ya</t>
        </is>
      </c>
      <c r="J24" s="24">
        <f>IFERROR((C24-B24)/ABS(B24),"")</f>
        <v/>
      </c>
    </row>
    <row r="25">
      <c r="A25" s="10" t="inlineStr">
        <is>
          <t>Pelabuhan &amp; stockpile</t>
        </is>
      </c>
      <c r="B25" s="28">
        <f>'A2 Laba Rugi Contoh'!C29</f>
        <v/>
      </c>
      <c r="C25" s="28">
        <f>'A2 Laba Rugi Contoh'!D29</f>
        <v/>
      </c>
      <c r="D25" s="24">
        <f>IFERROR(C25/C$35,0)</f>
        <v/>
      </c>
      <c r="E25" s="42">
        <f>IFERROR(C25/'A2 Laba Rugi Contoh'!D13,0)</f>
        <v/>
      </c>
      <c r="F25" s="39">
        <f>IFERROR(C25*1000000/'A1 Asumsi Contoh'!D21/'A1 Asumsi Contoh'!D7,0)</f>
        <v/>
      </c>
      <c r="G25" s="11" t="inlineStr">
        <is>
          <t>Variabel</t>
        </is>
      </c>
      <c r="H25" s="8" t="inlineStr">
        <is>
          <t>Ton penjualan</t>
        </is>
      </c>
      <c r="I25" s="11" t="inlineStr">
        <is>
          <t>Ya</t>
        </is>
      </c>
      <c r="J25" s="24">
        <f>IFERROR((C25-B25)/ABS(B25),"")</f>
        <v/>
      </c>
    </row>
    <row r="26">
      <c r="A26" s="10" t="inlineStr">
        <is>
          <t>Tongkang &amp; transshipment</t>
        </is>
      </c>
      <c r="B26" s="28">
        <f>'A2 Laba Rugi Contoh'!C30</f>
        <v/>
      </c>
      <c r="C26" s="28">
        <f>'A2 Laba Rugi Contoh'!D30</f>
        <v/>
      </c>
      <c r="D26" s="24">
        <f>IFERROR(C26/C$35,0)</f>
        <v/>
      </c>
      <c r="E26" s="42">
        <f>IFERROR(C26/'A2 Laba Rugi Contoh'!D13,0)</f>
        <v/>
      </c>
      <c r="F26" s="39">
        <f>IFERROR(C26*1000000/'A1 Asumsi Contoh'!D21/'A1 Asumsi Contoh'!D7,0)</f>
        <v/>
      </c>
      <c r="G26" s="11" t="inlineStr">
        <is>
          <t>Variabel</t>
        </is>
      </c>
      <c r="H26" s="8" t="inlineStr">
        <is>
          <t>Ton penjualan; tarif pasar tongkang</t>
        </is>
      </c>
      <c r="I26" s="11" t="inlineStr">
        <is>
          <t>Sebagian</t>
        </is>
      </c>
      <c r="J26" s="24">
        <f>IFERROR((C26-B26)/ABS(B26),"")</f>
        <v/>
      </c>
    </row>
    <row r="27">
      <c r="A27" s="10" t="inlineStr">
        <is>
          <t>Royalti / PNBP</t>
        </is>
      </c>
      <c r="B27" s="28">
        <f>'A2 Laba Rugi Contoh'!C33</f>
        <v/>
      </c>
      <c r="C27" s="28">
        <f>'A2 Laba Rugi Contoh'!D33</f>
        <v/>
      </c>
      <c r="D27" s="24">
        <f>IFERROR(C27/C$35,0)</f>
        <v/>
      </c>
      <c r="E27" s="42">
        <f>IFERROR(C27/'A2 Laba Rugi Contoh'!D13,0)</f>
        <v/>
      </c>
      <c r="F27" s="39">
        <f>IFERROR(C27*1000000/'A1 Asumsi Contoh'!D21/'A1 Asumsi Contoh'!D7,0)</f>
        <v/>
      </c>
      <c r="G27" s="11" t="inlineStr">
        <is>
          <t>Variabel</t>
        </is>
      </c>
      <c r="H27" s="8" t="inlineStr">
        <is>
          <t>Harga jual × tarif regulasi</t>
        </is>
      </c>
      <c r="I27" s="11" t="inlineStr">
        <is>
          <t>Tidak</t>
        </is>
      </c>
      <c r="J27" s="24">
        <f>IFERROR((C27-B27)/ABS(B27),"")</f>
        <v/>
      </c>
    </row>
    <row r="28">
      <c r="A28" s="10" t="inlineStr">
        <is>
          <t>Overhead site (gaji, camp, K3, PPM, lahan)</t>
        </is>
      </c>
      <c r="B28" s="28">
        <f>'A2 Laba Rugi Contoh'!C41-'A2 Laba Rugi Contoh'!C38</f>
        <v/>
      </c>
      <c r="C28" s="28">
        <f>'A2 Laba Rugi Contoh'!D41-'A2 Laba Rugi Contoh'!D38</f>
        <v/>
      </c>
      <c r="D28" s="24">
        <f>IFERROR(C28/C$35,0)</f>
        <v/>
      </c>
      <c r="E28" s="42">
        <f>IFERROR(C28/'A2 Laba Rugi Contoh'!D13,0)</f>
        <v/>
      </c>
      <c r="F28" s="39">
        <f>IFERROR(C28*1000000/'A1 Asumsi Contoh'!D21/'A1 Asumsi Contoh'!D7,0)</f>
        <v/>
      </c>
      <c r="G28" s="11" t="inlineStr">
        <is>
          <t>Tetap</t>
        </is>
      </c>
      <c r="H28" s="8" t="inlineStr">
        <is>
          <t>Headcount &amp; periode</t>
        </is>
      </c>
      <c r="I28" s="11" t="inlineStr">
        <is>
          <t>Ya</t>
        </is>
      </c>
      <c r="J28" s="24">
        <f>IFERROR((C28-B28)/ABS(B28),"")</f>
        <v/>
      </c>
    </row>
    <row r="29">
      <c r="A29" s="10" t="inlineStr">
        <is>
          <t>Lingkungan &amp; reklamasi (provisi)</t>
        </is>
      </c>
      <c r="B29" s="28">
        <f>'A2 Laba Rugi Contoh'!C38</f>
        <v/>
      </c>
      <c r="C29" s="28">
        <f>'A2 Laba Rugi Contoh'!D38</f>
        <v/>
      </c>
      <c r="D29" s="24">
        <f>IFERROR(C29/C$35,0)</f>
        <v/>
      </c>
      <c r="E29" s="42">
        <f>IFERROR(C29/'A2 Laba Rugi Contoh'!D13,0)</f>
        <v/>
      </c>
      <c r="F29" s="39">
        <f>IFERROR(C29*1000000/'A1 Asumsi Contoh'!D21/'A1 Asumsi Contoh'!D7,0)</f>
        <v/>
      </c>
      <c r="G29" s="11" t="inlineStr">
        <is>
          <t>Semi-variabel</t>
        </is>
      </c>
      <c r="H29" s="8" t="inlineStr">
        <is>
          <t>Luas bukaan lahan</t>
        </is>
      </c>
      <c r="I29" s="11" t="inlineStr">
        <is>
          <t>Sebagian</t>
        </is>
      </c>
      <c r="J29" s="24">
        <f>IFERROR((C29-B29)/ABS(B29),"")</f>
        <v/>
      </c>
    </row>
    <row r="30">
      <c r="A30" s="10" t="inlineStr">
        <is>
          <t>Penyusutan &amp; amortisasi (BPP)</t>
        </is>
      </c>
      <c r="B30" s="28">
        <f>'A2 Laba Rugi Contoh'!C46</f>
        <v/>
      </c>
      <c r="C30" s="28">
        <f>'A2 Laba Rugi Contoh'!D46</f>
        <v/>
      </c>
      <c r="D30" s="24">
        <f>IFERROR(C30/C$35,0)</f>
        <v/>
      </c>
      <c r="E30" s="42">
        <f>IFERROR(C30/'A2 Laba Rugi Contoh'!D13,0)</f>
        <v/>
      </c>
      <c r="F30" s="39">
        <f>IFERROR(C30*1000000/'A1 Asumsi Contoh'!D21/'A1 Asumsi Contoh'!D7,0)</f>
        <v/>
      </c>
      <c r="G30" s="11" t="inlineStr">
        <is>
          <t>Tetap</t>
        </is>
      </c>
      <c r="H30" s="8" t="inlineStr">
        <is>
          <t>Basis aset / unit produksi</t>
        </is>
      </c>
      <c r="I30" s="11" t="inlineStr">
        <is>
          <t>Tidak (jangka pendek)</t>
        </is>
      </c>
      <c r="J30" s="24">
        <f>IFERROR((C30-B30)/ABS(B30),"")</f>
        <v/>
      </c>
    </row>
    <row r="31">
      <c r="A31" s="10" t="inlineStr">
        <is>
          <t>Perubahan persediaan batubara</t>
        </is>
      </c>
      <c r="B31" s="28">
        <f>'A2 Laba Rugi Contoh'!C48</f>
        <v/>
      </c>
      <c r="C31" s="28">
        <f>'A2 Laba Rugi Contoh'!D48</f>
        <v/>
      </c>
      <c r="D31" s="24">
        <f>IFERROR(C31/C$35,0)</f>
        <v/>
      </c>
      <c r="E31" s="42">
        <f>IFERROR(C31/'A2 Laba Rugi Contoh'!D13,0)</f>
        <v/>
      </c>
      <c r="F31" s="39">
        <f>IFERROR(C31*1000000/'A1 Asumsi Contoh'!D21/'A1 Asumsi Contoh'!D7,0)</f>
        <v/>
      </c>
      <c r="G31" s="11" t="inlineStr">
        <is>
          <t>Variabel</t>
        </is>
      </c>
      <c r="H31" s="8" t="inlineStr">
        <is>
          <t>Selisih produksi vs penjualan</t>
        </is>
      </c>
      <c r="I31" s="11" t="inlineStr">
        <is>
          <t>Sebagian</t>
        </is>
      </c>
      <c r="J31" s="24">
        <f>IFERROR((C31-B31)/ABS(B31),"")</f>
        <v/>
      </c>
    </row>
    <row r="32">
      <c r="A32" s="10" t="inlineStr">
        <is>
          <t>Beban penjualan</t>
        </is>
      </c>
      <c r="B32" s="28">
        <f>'A2 Laba Rugi Contoh'!C62</f>
        <v/>
      </c>
      <c r="C32" s="28">
        <f>'A2 Laba Rugi Contoh'!D62</f>
        <v/>
      </c>
      <c r="D32" s="24">
        <f>IFERROR(C32/C$35,0)</f>
        <v/>
      </c>
      <c r="E32" s="42">
        <f>IFERROR(C32/'A2 Laba Rugi Contoh'!D13,0)</f>
        <v/>
      </c>
      <c r="F32" s="39">
        <f>IFERROR(C32*1000000/'A1 Asumsi Contoh'!D21/'A1 Asumsi Contoh'!D7,0)</f>
        <v/>
      </c>
      <c r="G32" s="11" t="inlineStr">
        <is>
          <t>Variabel</t>
        </is>
      </c>
      <c r="H32" s="8" t="inlineStr">
        <is>
          <t>Volume ekspor, demurrage, komisi</t>
        </is>
      </c>
      <c r="I32" s="11" t="inlineStr">
        <is>
          <t>Ya</t>
        </is>
      </c>
      <c r="J32" s="24">
        <f>IFERROR((C32-B32)/ABS(B32),"")</f>
        <v/>
      </c>
    </row>
    <row r="33">
      <c r="A33" s="10" t="inlineStr">
        <is>
          <t>Beban umum &amp; administrasi</t>
        </is>
      </c>
      <c r="B33" s="28">
        <f>'A2 Laba Rugi Contoh'!C73</f>
        <v/>
      </c>
      <c r="C33" s="28">
        <f>'A2 Laba Rugi Contoh'!D73</f>
        <v/>
      </c>
      <c r="D33" s="24">
        <f>IFERROR(C33/C$35,0)</f>
        <v/>
      </c>
      <c r="E33" s="42">
        <f>IFERROR(C33/'A2 Laba Rugi Contoh'!D13,0)</f>
        <v/>
      </c>
      <c r="F33" s="39">
        <f>IFERROR(C33*1000000/'A1 Asumsi Contoh'!D21/'A1 Asumsi Contoh'!D7,0)</f>
        <v/>
      </c>
      <c r="G33" s="11" t="inlineStr">
        <is>
          <t>Tetap</t>
        </is>
      </c>
      <c r="H33" s="8" t="inlineStr">
        <is>
          <t>Struktur organisasi kantor pusat</t>
        </is>
      </c>
      <c r="I33" s="11" t="inlineStr">
        <is>
          <t>Ya</t>
        </is>
      </c>
      <c r="J33" s="24">
        <f>IFERROR((C33-B33)/ABS(B33),"")</f>
        <v/>
      </c>
    </row>
    <row r="34">
      <c r="A34" s="10" t="inlineStr">
        <is>
          <t>Beban keuangan (bunga)</t>
        </is>
      </c>
      <c r="B34" s="28">
        <f>-'A2 Laba Rugi Contoh'!C81</f>
        <v/>
      </c>
      <c r="C34" s="28">
        <f>-'A2 Laba Rugi Contoh'!D81</f>
        <v/>
      </c>
      <c r="D34" s="24">
        <f>IFERROR(C34/C$35,0)</f>
        <v/>
      </c>
      <c r="E34" s="42">
        <f>IFERROR(C34/'A2 Laba Rugi Contoh'!D13,0)</f>
        <v/>
      </c>
      <c r="F34" s="39">
        <f>IFERROR(C34*1000000/'A1 Asumsi Contoh'!D21/'A1 Asumsi Contoh'!D7,0)</f>
        <v/>
      </c>
      <c r="G34" s="11" t="inlineStr">
        <is>
          <t>Tetap</t>
        </is>
      </c>
      <c r="H34" s="8" t="inlineStr">
        <is>
          <t>Saldo pinjaman × suku bunga</t>
        </is>
      </c>
      <c r="I34" s="11" t="inlineStr">
        <is>
          <t>Sebagian</t>
        </is>
      </c>
      <c r="J34" s="24">
        <f>IFERROR((C34-B34)/ABS(B34),"")</f>
        <v/>
      </c>
    </row>
    <row r="35">
      <c r="A35" s="31" t="inlineStr">
        <is>
          <t>TOTAL BIAYA</t>
        </is>
      </c>
      <c r="B35" s="33">
        <f>SUM(B20:B34)</f>
        <v/>
      </c>
      <c r="C35" s="33">
        <f>SUM(C20:C34)</f>
        <v/>
      </c>
      <c r="D35" s="41">
        <f>SUM(D20:D34)</f>
        <v/>
      </c>
      <c r="E35" s="41">
        <f>SUM(E20:E34)</f>
        <v/>
      </c>
      <c r="F35" s="43">
        <f>SUM(F20:F34)</f>
        <v/>
      </c>
      <c r="G35" s="32" t="n"/>
      <c r="H35" s="32" t="n"/>
      <c r="I35" s="32" t="n"/>
      <c r="J35" s="41">
        <f>IFERROR((C35-B35)/ABS(B35),"")</f>
        <v/>
      </c>
    </row>
    <row r="38">
      <c r="A38" s="4" t="inlineStr">
        <is>
          <t>3. BIAYA TETAP vs VARIABEL, MARJIN KONTRIBUSI &amp; TITIK IMPAS (BREAKEVEN)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s="16" t="inlineStr">
        <is>
          <t>Uraian</t>
        </is>
      </c>
      <c r="B39" s="16" t="inlineStr">
        <is>
          <t>FY2024</t>
        </is>
      </c>
      <c r="C39" s="16" t="inlineStr">
        <is>
          <t>FY2025</t>
        </is>
      </c>
      <c r="D39" s="16" t="inlineStr">
        <is>
          <t>Satuan</t>
        </is>
      </c>
      <c r="E39" s="16" t="inlineStr">
        <is>
          <t>Keterangan</t>
        </is>
      </c>
    </row>
    <row r="40">
      <c r="A40" s="10" t="inlineStr">
        <is>
          <t>Porsi variabel dari biaya semi-variabel</t>
        </is>
      </c>
      <c r="B40" s="44" t="n">
        <v>0.5</v>
      </c>
      <c r="C40" s="24">
        <f>B40</f>
        <v/>
      </c>
      <c r="D40" s="10" t="inlineStr">
        <is>
          <t>%</t>
        </is>
      </c>
      <c r="E40" s="45" t="inlineStr">
        <is>
          <t>Asumsi: 50% biaya semi-variabel diperlakukan variabel</t>
        </is>
      </c>
    </row>
    <row r="41">
      <c r="A41" s="10" t="inlineStr">
        <is>
          <t>Pendapatan bersih</t>
        </is>
      </c>
      <c r="B41" s="28">
        <f>'A2 Laba Rugi Contoh'!C13</f>
        <v/>
      </c>
      <c r="C41" s="28">
        <f>'A2 Laba Rugi Contoh'!D13</f>
        <v/>
      </c>
      <c r="D41" s="45" t="inlineStr">
        <is>
          <t>Rp juta</t>
        </is>
      </c>
      <c r="E41" s="3" t="inlineStr"/>
    </row>
    <row r="42">
      <c r="A42" s="10" t="inlineStr">
        <is>
          <t>Biaya variabel</t>
        </is>
      </c>
      <c r="B42" s="19">
        <f>SUMIF($G$20:$G$34,"Variabel",B$20:B$34)+B40*SUMIF($G$20:$G$34,"Semi-variabel",B$20:B$34)</f>
        <v/>
      </c>
      <c r="C42" s="19">
        <f>SUMIF($G$20:$G$34,"Variabel",C$20:C$34)+C40*SUMIF($G$20:$G$34,"Semi-variabel",C$20:C$34)</f>
        <v/>
      </c>
      <c r="D42" s="45" t="inlineStr">
        <is>
          <t>Rp juta</t>
        </is>
      </c>
      <c r="E42" s="3" t="inlineStr">
        <is>
          <t>Berubah proporsional dengan volume/harga</t>
        </is>
      </c>
    </row>
    <row r="43">
      <c r="A43" s="10" t="inlineStr">
        <is>
          <t>Biaya tetap</t>
        </is>
      </c>
      <c r="B43" s="19">
        <f>SUMIF($G$20:$G$34,"Tetap",B$20:B$34)+(1-B40)*SUMIF($G$20:$G$34,"Semi-variabel",B$20:B$34)</f>
        <v/>
      </c>
      <c r="C43" s="19">
        <f>SUMIF($G$20:$G$34,"Tetap",C$20:C$34)+(1-C40)*SUMIF($G$20:$G$34,"Semi-variabel",C$20:C$34)</f>
        <v/>
      </c>
      <c r="D43" s="45" t="inlineStr">
        <is>
          <t>Rp juta</t>
        </is>
      </c>
      <c r="E43" s="3" t="inlineStr">
        <is>
          <t>Tetap dalam rentang produksi relevan</t>
        </is>
      </c>
    </row>
    <row r="44">
      <c r="A44" s="46" t="inlineStr">
        <is>
          <t>Marjin kontribusi</t>
        </is>
      </c>
      <c r="B44" s="19">
        <f>B41-B42</f>
        <v/>
      </c>
      <c r="C44" s="19">
        <f>C41-C42</f>
        <v/>
      </c>
      <c r="D44" s="45" t="inlineStr">
        <is>
          <t>Rp juta</t>
        </is>
      </c>
      <c r="E44" s="3" t="inlineStr">
        <is>
          <t>Pendapatan – biaya variabel</t>
        </is>
      </c>
    </row>
    <row r="45">
      <c r="A45" s="10" t="inlineStr">
        <is>
          <t>Rasio marjin kontribusi</t>
        </is>
      </c>
      <c r="B45" s="24">
        <f>IFERROR(B44/B41,0)</f>
        <v/>
      </c>
      <c r="C45" s="24">
        <f>IFERROR(C44/C41,0)</f>
        <v/>
      </c>
      <c r="D45" s="45" t="inlineStr">
        <is>
          <t>%</t>
        </is>
      </c>
      <c r="E45" s="3" t="inlineStr"/>
    </row>
    <row r="46">
      <c r="A46" s="10" t="inlineStr">
        <is>
          <t>Porsi biaya tetap thd total biaya</t>
        </is>
      </c>
      <c r="B46" s="24">
        <f>IFERROR(B43/(B43+B42),0)</f>
        <v/>
      </c>
      <c r="C46" s="24">
        <f>IFERROR(C43/(C43+C42),0)</f>
        <v/>
      </c>
      <c r="D46" s="45" t="inlineStr">
        <is>
          <t>%</t>
        </is>
      </c>
      <c r="E46" s="3" t="inlineStr">
        <is>
          <t>Makin tinggi = leverage operasi makin besar</t>
        </is>
      </c>
    </row>
    <row r="47">
      <c r="A47" s="46" t="inlineStr">
        <is>
          <t>Pendapatan impas (BEP)</t>
        </is>
      </c>
      <c r="B47" s="19">
        <f>IFERROR(B43/B45,0)</f>
        <v/>
      </c>
      <c r="C47" s="19">
        <f>IFERROR(C43/C45,0)</f>
        <v/>
      </c>
      <c r="D47" s="45" t="inlineStr">
        <is>
          <t>Rp juta</t>
        </is>
      </c>
      <c r="E47" s="3" t="inlineStr">
        <is>
          <t>Biaya tetap / rasio marjin kontribusi</t>
        </is>
      </c>
    </row>
    <row r="48">
      <c r="A48" s="10" t="inlineStr">
        <is>
          <t>Volume penjualan impas</t>
        </is>
      </c>
      <c r="B48" s="28">
        <f>IFERROR(B47/'A2 Laba Rugi Contoh'!C13*'A1 Asumsi Contoh'!C21,0)</f>
        <v/>
      </c>
      <c r="C48" s="28">
        <f>IFERROR(C47/'A2 Laba Rugi Contoh'!D13*'A1 Asumsi Contoh'!D21,0)</f>
        <v/>
      </c>
      <c r="D48" s="45" t="inlineStr">
        <is>
          <t>ton</t>
        </is>
      </c>
      <c r="E48" s="3" t="inlineStr">
        <is>
          <t>Pada bauran &amp; harga tahun berjalan</t>
        </is>
      </c>
    </row>
    <row r="49">
      <c r="A49" s="10" t="inlineStr">
        <is>
          <t>Harga impas (full cost)</t>
        </is>
      </c>
      <c r="B49" s="39">
        <f>IFERROR((B42+B43-'A2 Laba Rugi Contoh'!C12)*1000000/'A1 Asumsi Contoh'!C21/'A1 Asumsi Contoh'!C7,0)</f>
        <v/>
      </c>
      <c r="C49" s="39">
        <f>IFERROR((C42+C43-'A2 Laba Rugi Contoh'!D12)*1000000/'A1 Asumsi Contoh'!D21/'A1 Asumsi Contoh'!D7,0)</f>
        <v/>
      </c>
      <c r="D49" s="45" t="inlineStr">
        <is>
          <t>USD/t</t>
        </is>
      </c>
      <c r="E49" s="3" t="inlineStr">
        <is>
          <t>Total biaya (neto pendapatan jasa) per ton terjual</t>
        </is>
      </c>
    </row>
    <row r="50">
      <c r="A50" s="46" t="inlineStr">
        <is>
          <t>Margin of safety</t>
        </is>
      </c>
      <c r="B50" s="24">
        <f>IFERROR((B41-B47)/B41,0)</f>
        <v/>
      </c>
      <c r="C50" s="24">
        <f>IFERROR((C41-C47)/C41,0)</f>
        <v/>
      </c>
      <c r="D50" s="45" t="inlineStr">
        <is>
          <t>%</t>
        </is>
      </c>
      <c r="E50" s="3" t="inlineStr">
        <is>
          <t>Seberapa jauh pendapatan boleh turun sebelum rugi</t>
        </is>
      </c>
    </row>
  </sheetData>
  <dataValidations count="1">
    <dataValidation sqref="G20:G34" showDropDown="0" showInputMessage="0" showErrorMessage="0" allowBlank="1" type="list">
      <formula1>"Variabel,Tetap,Semi-variabel"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N4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  <col width="13" customWidth="1" min="7" max="7"/>
    <col width="13" customWidth="1" min="8" max="8"/>
    <col width="11" customWidth="1" min="9" max="9"/>
    <col width="48" customWidth="1" min="10" max="10"/>
    <col width="17" customWidth="1" min="11" max="11"/>
    <col width="3" customWidth="1" min="12" max="12"/>
    <col width="30" customWidth="1" min="13" max="13"/>
    <col width="10" customWidth="1" min="14" max="14"/>
  </cols>
  <sheetData>
    <row r="1">
      <c r="A1" s="1" t="inlineStr">
        <is>
          <t>Cost of Production (COP) per Unit &amp; Penilaian KPI – model contoh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USD/unit = Biaya (Rp juta) × 1.000.000 ÷ volume basis ÷ kurs rata-rata tahun berjalan</t>
        </is>
      </c>
    </row>
    <row r="4">
      <c r="A4" s="4" t="inlineStr">
        <is>
          <t>1. BIAYA PRODUKSI PER UNIT (UNIT COST)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M4" s="46" t="inlineStr">
        <is>
          <t>Skala penilaian KPI</t>
        </is>
      </c>
    </row>
    <row r="5">
      <c r="A5" s="16" t="inlineStr">
        <is>
          <t>Komponen</t>
        </is>
      </c>
      <c r="B5" s="16" t="inlineStr">
        <is>
          <t>Basis</t>
        </is>
      </c>
      <c r="C5" s="16" t="inlineStr">
        <is>
          <t>Biaya 2024 (Rp juta)</t>
        </is>
      </c>
      <c r="D5" s="16" t="inlineStr">
        <is>
          <t>Biaya 2025 (Rp juta)</t>
        </is>
      </c>
      <c r="E5" s="16" t="inlineStr">
        <is>
          <t>Volume basis 2024</t>
        </is>
      </c>
      <c r="F5" s="16" t="inlineStr">
        <is>
          <t>Volume basis 2025</t>
        </is>
      </c>
      <c r="G5" s="16" t="inlineStr">
        <is>
          <t>USD/unit 2024</t>
        </is>
      </c>
      <c r="H5" s="16" t="inlineStr">
        <is>
          <t>USD/unit 2025</t>
        </is>
      </c>
      <c r="I5" s="16" t="inlineStr">
        <is>
          <t>Δ USD/unit</t>
        </is>
      </c>
      <c r="J5" s="16" t="inlineStr">
        <is>
          <t>Δ%</t>
        </is>
      </c>
      <c r="K5" s="16" t="inlineStr">
        <is>
          <t>Penilaian</t>
        </is>
      </c>
      <c r="M5" s="10" t="inlineStr">
        <is>
          <t>Skor 5 jika pencapaian ≥</t>
        </is>
      </c>
      <c r="N5" s="44" t="n">
        <v>1.05</v>
      </c>
    </row>
    <row r="6">
      <c r="A6" s="10" t="inlineStr">
        <is>
          <t xml:space="preserve">   Jasa kontraktor OB</t>
        </is>
      </c>
      <c r="B6" s="3" t="inlineStr">
        <is>
          <t>per bcm OB</t>
        </is>
      </c>
      <c r="C6" s="28">
        <f>'A2 Laba Rugi Contoh'!C17</f>
        <v/>
      </c>
      <c r="D6" s="28">
        <f>'A2 Laba Rugi Contoh'!D17</f>
        <v/>
      </c>
      <c r="E6" s="28">
        <f>'A1 Asumsi Contoh'!C16</f>
        <v/>
      </c>
      <c r="F6" s="28">
        <f>'A1 Asumsi Contoh'!D16</f>
        <v/>
      </c>
      <c r="G6" s="39">
        <f>IFERROR(C6*1000000/E6/'A1 Asumsi Contoh'!C7,0)</f>
        <v/>
      </c>
      <c r="H6" s="39">
        <f>IFERROR(D6*1000000/F6/'A1 Asumsi Contoh'!D7,0)</f>
        <v/>
      </c>
      <c r="I6" s="47">
        <f>H6-G6</f>
        <v/>
      </c>
      <c r="J6" s="24">
        <f>IFERROR(I6/ABS(G6),"")</f>
        <v/>
      </c>
      <c r="K6" s="11">
        <f>IF(I6&lt;=0,"Efisien","Naik – review")</f>
        <v/>
      </c>
      <c r="M6" s="10" t="inlineStr">
        <is>
          <t>Skor 4 jika ≥</t>
        </is>
      </c>
      <c r="N6" s="44" t="n">
        <v>1</v>
      </c>
    </row>
    <row r="7">
      <c r="A7" s="10" t="inlineStr">
        <is>
          <t xml:space="preserve">   BBM</t>
        </is>
      </c>
      <c r="B7" s="3" t="inlineStr">
        <is>
          <t>per bcm OB</t>
        </is>
      </c>
      <c r="C7" s="28">
        <f>'A2 Laba Rugi Contoh'!C18</f>
        <v/>
      </c>
      <c r="D7" s="28">
        <f>'A2 Laba Rugi Contoh'!D18</f>
        <v/>
      </c>
      <c r="E7" s="28">
        <f>'A1 Asumsi Contoh'!C16</f>
        <v/>
      </c>
      <c r="F7" s="28">
        <f>'A1 Asumsi Contoh'!D16</f>
        <v/>
      </c>
      <c r="G7" s="39">
        <f>IFERROR(C7*1000000/E7/'A1 Asumsi Contoh'!C7,0)</f>
        <v/>
      </c>
      <c r="H7" s="39">
        <f>IFERROR(D7*1000000/F7/'A1 Asumsi Contoh'!D7,0)</f>
        <v/>
      </c>
      <c r="I7" s="47">
        <f>H7-G7</f>
        <v/>
      </c>
      <c r="J7" s="24">
        <f>IFERROR(I7/ABS(G7),"")</f>
        <v/>
      </c>
      <c r="K7" s="11">
        <f>IF(I7&lt;=0,"Efisien","Naik – review")</f>
        <v/>
      </c>
      <c r="M7" s="10" t="inlineStr">
        <is>
          <t>Skor 3 jika ≥</t>
        </is>
      </c>
      <c r="N7" s="44" t="n">
        <v>0.95</v>
      </c>
    </row>
    <row r="8">
      <c r="A8" s="10" t="inlineStr">
        <is>
          <t xml:space="preserve">   Peledakan</t>
        </is>
      </c>
      <c r="B8" s="3" t="inlineStr">
        <is>
          <t>per bcm OB</t>
        </is>
      </c>
      <c r="C8" s="28">
        <f>'A2 Laba Rugi Contoh'!C19</f>
        <v/>
      </c>
      <c r="D8" s="28">
        <f>'A2 Laba Rugi Contoh'!D19</f>
        <v/>
      </c>
      <c r="E8" s="28">
        <f>'A1 Asumsi Contoh'!C16</f>
        <v/>
      </c>
      <c r="F8" s="28">
        <f>'A1 Asumsi Contoh'!D16</f>
        <v/>
      </c>
      <c r="G8" s="39">
        <f>IFERROR(C8*1000000/E8/'A1 Asumsi Contoh'!C7,0)</f>
        <v/>
      </c>
      <c r="H8" s="39">
        <f>IFERROR(D8*1000000/F8/'A1 Asumsi Contoh'!D7,0)</f>
        <v/>
      </c>
      <c r="I8" s="47">
        <f>H8-G8</f>
        <v/>
      </c>
      <c r="J8" s="24">
        <f>IFERROR(I8/ABS(G8),"")</f>
        <v/>
      </c>
      <c r="K8" s="11">
        <f>IF(I8&lt;=0,"Efisien","Naik – review")</f>
        <v/>
      </c>
      <c r="M8" s="10" t="inlineStr">
        <is>
          <t>Skor 2 jika ≥</t>
        </is>
      </c>
      <c r="N8" s="44" t="n">
        <v>0.9</v>
      </c>
    </row>
    <row r="9">
      <c r="A9" s="48" t="inlineStr">
        <is>
          <t>Total biaya pengupasan OB per bcm</t>
        </is>
      </c>
      <c r="B9" s="49" t="inlineStr">
        <is>
          <t>per bcm OB</t>
        </is>
      </c>
      <c r="C9" s="50">
        <f>'A2 Laba Rugi Contoh'!C17+'A2 Laba Rugi Contoh'!C18+'A2 Laba Rugi Contoh'!C19</f>
        <v/>
      </c>
      <c r="D9" s="50">
        <f>'A2 Laba Rugi Contoh'!D17+'A2 Laba Rugi Contoh'!D18+'A2 Laba Rugi Contoh'!D19</f>
        <v/>
      </c>
      <c r="E9" s="51">
        <f>'A1 Asumsi Contoh'!C16</f>
        <v/>
      </c>
      <c r="F9" s="51">
        <f>'A1 Asumsi Contoh'!D16</f>
        <v/>
      </c>
      <c r="G9" s="52">
        <f>IFERROR(C9*1000000/E9/'A1 Asumsi Contoh'!C7,0)</f>
        <v/>
      </c>
      <c r="H9" s="52">
        <f>IFERROR(D9*1000000/F9/'A1 Asumsi Contoh'!D7,0)</f>
        <v/>
      </c>
      <c r="I9" s="53">
        <f>H9-G9</f>
        <v/>
      </c>
      <c r="J9" s="54">
        <f>IFERROR(I9/ABS(G9),"")</f>
        <v/>
      </c>
      <c r="K9" s="55">
        <f>IF(I9&lt;=0,"Efisien","Naik – review")</f>
        <v/>
      </c>
      <c r="M9" s="10" t="inlineStr">
        <is>
          <t>Status Hijau jika ≥</t>
        </is>
      </c>
      <c r="N9" s="44" t="n">
        <v>1</v>
      </c>
    </row>
    <row r="10">
      <c r="A10" s="10" t="inlineStr">
        <is>
          <t xml:space="preserve">   Biaya OB per ton batubara (efek SR)</t>
        </is>
      </c>
      <c r="B10" s="3" t="inlineStr">
        <is>
          <t>per ton produksi</t>
        </is>
      </c>
      <c r="C10" s="28">
        <f>'A2 Laba Rugi Contoh'!C17+'A2 Laba Rugi Contoh'!C18+'A2 Laba Rugi Contoh'!C19</f>
        <v/>
      </c>
      <c r="D10" s="28">
        <f>'A2 Laba Rugi Contoh'!D17+'A2 Laba Rugi Contoh'!D18+'A2 Laba Rugi Contoh'!D19</f>
        <v/>
      </c>
      <c r="E10" s="28">
        <f>'A1 Asumsi Contoh'!C14</f>
        <v/>
      </c>
      <c r="F10" s="28">
        <f>'A1 Asumsi Contoh'!D14</f>
        <v/>
      </c>
      <c r="G10" s="39">
        <f>IFERROR(C10*1000000/E10/'A1 Asumsi Contoh'!C7,0)</f>
        <v/>
      </c>
      <c r="H10" s="39">
        <f>IFERROR(D10*1000000/F10/'A1 Asumsi Contoh'!D7,0)</f>
        <v/>
      </c>
      <c r="I10" s="47">
        <f>H10-G10</f>
        <v/>
      </c>
      <c r="J10" s="24">
        <f>IFERROR(I10/ABS(G10),"")</f>
        <v/>
      </c>
      <c r="K10" s="11">
        <f>IF(I10&lt;=0,"Efisien","Naik – review")</f>
        <v/>
      </c>
      <c r="M10" s="10" t="inlineStr">
        <is>
          <t>Status Kuning jika ≥</t>
        </is>
      </c>
      <c r="N10" s="44" t="n">
        <v>0.95</v>
      </c>
    </row>
    <row r="11">
      <c r="A11" s="10" t="inlineStr">
        <is>
          <t xml:space="preserve">   Coal getting</t>
        </is>
      </c>
      <c r="B11" s="3" t="inlineStr">
        <is>
          <t>per ton produksi</t>
        </is>
      </c>
      <c r="C11" s="28">
        <f>'A2 Laba Rugi Contoh'!C20</f>
        <v/>
      </c>
      <c r="D11" s="28">
        <f>'A2 Laba Rugi Contoh'!D20</f>
        <v/>
      </c>
      <c r="E11" s="28">
        <f>'A1 Asumsi Contoh'!C14</f>
        <v/>
      </c>
      <c r="F11" s="28">
        <f>'A1 Asumsi Contoh'!D14</f>
        <v/>
      </c>
      <c r="G11" s="39">
        <f>IFERROR(C11*1000000/E11/'A1 Asumsi Contoh'!C7,0)</f>
        <v/>
      </c>
      <c r="H11" s="39">
        <f>IFERROR(D11*1000000/F11/'A1 Asumsi Contoh'!D7,0)</f>
        <v/>
      </c>
      <c r="I11" s="47">
        <f>H11-G11</f>
        <v/>
      </c>
      <c r="J11" s="24">
        <f>IFERROR(I11/ABS(G11),"")</f>
        <v/>
      </c>
      <c r="K11" s="11">
        <f>IF(I11&lt;=0,"Efisien","Naik – review")</f>
        <v/>
      </c>
      <c r="M11" s="10" t="inlineStr">
        <is>
          <t>Batas atas pencapaian</t>
        </is>
      </c>
      <c r="N11" s="44" t="n">
        <v>1.2</v>
      </c>
    </row>
    <row r="12">
      <c r="A12" s="10" t="inlineStr">
        <is>
          <t xml:space="preserve">   Biaya tambang tetap</t>
        </is>
      </c>
      <c r="B12" s="3" t="inlineStr">
        <is>
          <t>per ton produksi</t>
        </is>
      </c>
      <c r="C12" s="28">
        <f>'A2 Laba Rugi Contoh'!C21+'A2 Laba Rugi Contoh'!C22+'A2 Laba Rugi Contoh'!C23+'A2 Laba Rugi Contoh'!C24</f>
        <v/>
      </c>
      <c r="D12" s="28">
        <f>'A2 Laba Rugi Contoh'!D21+'A2 Laba Rugi Contoh'!D22+'A2 Laba Rugi Contoh'!D23+'A2 Laba Rugi Contoh'!D24</f>
        <v/>
      </c>
      <c r="E12" s="28">
        <f>'A1 Asumsi Contoh'!C14</f>
        <v/>
      </c>
      <c r="F12" s="28">
        <f>'A1 Asumsi Contoh'!D14</f>
        <v/>
      </c>
      <c r="G12" s="39">
        <f>IFERROR(C12*1000000/E12/'A1 Asumsi Contoh'!C7,0)</f>
        <v/>
      </c>
      <c r="H12" s="39">
        <f>IFERROR(D12*1000000/F12/'A1 Asumsi Contoh'!D7,0)</f>
        <v/>
      </c>
      <c r="I12" s="47">
        <f>H12-G12</f>
        <v/>
      </c>
      <c r="J12" s="24">
        <f>IFERROR(I12/ABS(G12),"")</f>
        <v/>
      </c>
      <c r="K12" s="11">
        <f>IF(I12&lt;=0,"Efisien","Naik – review")</f>
        <v/>
      </c>
      <c r="M12" s="3" t="inlineStr">
        <is>
          <t>Skor 1 jika &lt; skor 2. Merah jika &lt; Kuning.</t>
        </is>
      </c>
    </row>
    <row r="13">
      <c r="A13" s="48" t="inlineStr">
        <is>
          <t>TOTAL BIAYA PENAMBANGAN (mining cost)</t>
        </is>
      </c>
      <c r="B13" s="49" t="inlineStr">
        <is>
          <t>per ton produksi</t>
        </is>
      </c>
      <c r="C13" s="50">
        <f>'A2 Laba Rugi Contoh'!C25</f>
        <v/>
      </c>
      <c r="D13" s="50">
        <f>'A2 Laba Rugi Contoh'!D25</f>
        <v/>
      </c>
      <c r="E13" s="51">
        <f>'A1 Asumsi Contoh'!C14</f>
        <v/>
      </c>
      <c r="F13" s="51">
        <f>'A1 Asumsi Contoh'!D14</f>
        <v/>
      </c>
      <c r="G13" s="52">
        <f>IFERROR(C13*1000000/E13/'A1 Asumsi Contoh'!C7,0)</f>
        <v/>
      </c>
      <c r="H13" s="52">
        <f>IFERROR(D13*1000000/F13/'A1 Asumsi Contoh'!D7,0)</f>
        <v/>
      </c>
      <c r="I13" s="53">
        <f>H13-G13</f>
        <v/>
      </c>
      <c r="J13" s="54">
        <f>IFERROR(I13/ABS(G13),"")</f>
        <v/>
      </c>
      <c r="K13" s="55">
        <f>IF(I13&lt;=0,"Efisien","Naik – review")</f>
        <v/>
      </c>
      <c r="M13" s="3" t="inlineStr">
        <is>
          <t>Polaritas Lower: pencapaian = target ÷ aktual</t>
        </is>
      </c>
    </row>
    <row r="14">
      <c r="A14" s="10" t="inlineStr">
        <is>
          <t xml:space="preserve">   Crushing &amp; pengolahan</t>
        </is>
      </c>
      <c r="B14" s="3" t="inlineStr">
        <is>
          <t>per ton produksi</t>
        </is>
      </c>
      <c r="C14" s="28">
        <f>'A2 Laba Rugi Contoh'!C27</f>
        <v/>
      </c>
      <c r="D14" s="28">
        <f>'A2 Laba Rugi Contoh'!D27</f>
        <v/>
      </c>
      <c r="E14" s="28">
        <f>'A1 Asumsi Contoh'!C14</f>
        <v/>
      </c>
      <c r="F14" s="28">
        <f>'A1 Asumsi Contoh'!D14</f>
        <v/>
      </c>
      <c r="G14" s="39">
        <f>IFERROR(C14*1000000/E14/'A1 Asumsi Contoh'!C7,0)</f>
        <v/>
      </c>
      <c r="H14" s="39">
        <f>IFERROR(D14*1000000/F14/'A1 Asumsi Contoh'!D7,0)</f>
        <v/>
      </c>
      <c r="I14" s="47">
        <f>H14-G14</f>
        <v/>
      </c>
      <c r="J14" s="24">
        <f>IFERROR(I14/ABS(G14),"")</f>
        <v/>
      </c>
      <c r="K14" s="11">
        <f>IF(I14&lt;=0,"Efisien","Naik – review")</f>
        <v/>
      </c>
      <c r="M14" s="3" t="inlineStr">
        <is>
          <t>Polaritas Higher: pencapaian = aktual ÷ target</t>
        </is>
      </c>
    </row>
    <row r="15">
      <c r="A15" s="10" t="inlineStr">
        <is>
          <t xml:space="preserve">   Hauling (per ton)</t>
        </is>
      </c>
      <c r="B15" s="3" t="inlineStr">
        <is>
          <t>per ton produksi</t>
        </is>
      </c>
      <c r="C15" s="28">
        <f>'A2 Laba Rugi Contoh'!C28</f>
        <v/>
      </c>
      <c r="D15" s="28">
        <f>'A2 Laba Rugi Contoh'!D28</f>
        <v/>
      </c>
      <c r="E15" s="28">
        <f>'A1 Asumsi Contoh'!C14</f>
        <v/>
      </c>
      <c r="F15" s="28">
        <f>'A1 Asumsi Contoh'!D14</f>
        <v/>
      </c>
      <c r="G15" s="39">
        <f>IFERROR(C15*1000000/E15/'A1 Asumsi Contoh'!C7,0)</f>
        <v/>
      </c>
      <c r="H15" s="39">
        <f>IFERROR(D15*1000000/F15/'A1 Asumsi Contoh'!D7,0)</f>
        <v/>
      </c>
      <c r="I15" s="47">
        <f>H15-G15</f>
        <v/>
      </c>
      <c r="J15" s="24">
        <f>IFERROR(I15/ABS(G15),"")</f>
        <v/>
      </c>
      <c r="K15" s="11">
        <f>IF(I15&lt;=0,"Efisien","Naik – review")</f>
        <v/>
      </c>
    </row>
    <row r="16">
      <c r="A16" s="10" t="inlineStr">
        <is>
          <t xml:space="preserve">   Hauling (per ton-km)</t>
        </is>
      </c>
      <c r="B16" s="3" t="inlineStr">
        <is>
          <t>per ton-km</t>
        </is>
      </c>
      <c r="C16" s="28">
        <f>'A2 Laba Rugi Contoh'!C28</f>
        <v/>
      </c>
      <c r="D16" s="28">
        <f>'A2 Laba Rugi Contoh'!D28</f>
        <v/>
      </c>
      <c r="E16" s="28">
        <f>'A1 Asumsi Contoh'!C14*'A1 Asumsi Contoh'!C17</f>
        <v/>
      </c>
      <c r="F16" s="28">
        <f>'A1 Asumsi Contoh'!D14*'A1 Asumsi Contoh'!D17</f>
        <v/>
      </c>
      <c r="G16" s="56">
        <f>IFERROR(C16*1000000/E16/'A1 Asumsi Contoh'!C7,0)</f>
        <v/>
      </c>
      <c r="H16" s="56">
        <f>IFERROR(D16*1000000/F16/'A1 Asumsi Contoh'!D7,0)</f>
        <v/>
      </c>
      <c r="I16" s="57">
        <f>H16-G16</f>
        <v/>
      </c>
      <c r="J16" s="24">
        <f>IFERROR(I16/ABS(G16),"")</f>
        <v/>
      </c>
      <c r="K16" s="11">
        <f>IF(I16&lt;=0,"Efisien","Naik – review")</f>
        <v/>
      </c>
    </row>
    <row r="17">
      <c r="A17" s="10" t="inlineStr">
        <is>
          <t xml:space="preserve">   Pelabuhan &amp; stockpile</t>
        </is>
      </c>
      <c r="B17" s="3" t="inlineStr">
        <is>
          <t>per ton penjualan</t>
        </is>
      </c>
      <c r="C17" s="28">
        <f>'A2 Laba Rugi Contoh'!C29</f>
        <v/>
      </c>
      <c r="D17" s="28">
        <f>'A2 Laba Rugi Contoh'!D29</f>
        <v/>
      </c>
      <c r="E17" s="28">
        <f>'A1 Asumsi Contoh'!C21</f>
        <v/>
      </c>
      <c r="F17" s="28">
        <f>'A1 Asumsi Contoh'!D21</f>
        <v/>
      </c>
      <c r="G17" s="39">
        <f>IFERROR(C17*1000000/E17/'A1 Asumsi Contoh'!C7,0)</f>
        <v/>
      </c>
      <c r="H17" s="39">
        <f>IFERROR(D17*1000000/F17/'A1 Asumsi Contoh'!D7,0)</f>
        <v/>
      </c>
      <c r="I17" s="47">
        <f>H17-G17</f>
        <v/>
      </c>
      <c r="J17" s="24">
        <f>IFERROR(I17/ABS(G17),"")</f>
        <v/>
      </c>
      <c r="K17" s="11">
        <f>IF(I17&lt;=0,"Efisien","Naik – review")</f>
        <v/>
      </c>
    </row>
    <row r="18">
      <c r="A18" s="10" t="inlineStr">
        <is>
          <t xml:space="preserve">   Tongkang &amp; transshipment</t>
        </is>
      </c>
      <c r="B18" s="3" t="inlineStr">
        <is>
          <t>per ton penjualan</t>
        </is>
      </c>
      <c r="C18" s="28">
        <f>'A2 Laba Rugi Contoh'!C30</f>
        <v/>
      </c>
      <c r="D18" s="28">
        <f>'A2 Laba Rugi Contoh'!D30</f>
        <v/>
      </c>
      <c r="E18" s="28">
        <f>'A1 Asumsi Contoh'!C21</f>
        <v/>
      </c>
      <c r="F18" s="28">
        <f>'A1 Asumsi Contoh'!D21</f>
        <v/>
      </c>
      <c r="G18" s="39">
        <f>IFERROR(C18*1000000/E18/'A1 Asumsi Contoh'!C7,0)</f>
        <v/>
      </c>
      <c r="H18" s="39">
        <f>IFERROR(D18*1000000/F18/'A1 Asumsi Contoh'!D7,0)</f>
        <v/>
      </c>
      <c r="I18" s="47">
        <f>H18-G18</f>
        <v/>
      </c>
      <c r="J18" s="24">
        <f>IFERROR(I18/ABS(G18),"")</f>
        <v/>
      </c>
      <c r="K18" s="11">
        <f>IF(I18&lt;=0,"Efisien","Naik – review")</f>
        <v/>
      </c>
    </row>
    <row r="19">
      <c r="A19" s="10" t="inlineStr">
        <is>
          <t xml:space="preserve">   Overhead site (termasuk reklamasi)</t>
        </is>
      </c>
      <c r="B19" s="3" t="inlineStr">
        <is>
          <t>per ton produksi</t>
        </is>
      </c>
      <c r="C19" s="28">
        <f>'A2 Laba Rugi Contoh'!C41</f>
        <v/>
      </c>
      <c r="D19" s="28">
        <f>'A2 Laba Rugi Contoh'!D41</f>
        <v/>
      </c>
      <c r="E19" s="28">
        <f>'A1 Asumsi Contoh'!C14</f>
        <v/>
      </c>
      <c r="F19" s="28">
        <f>'A1 Asumsi Contoh'!D14</f>
        <v/>
      </c>
      <c r="G19" s="39">
        <f>IFERROR(C19*1000000/E19/'A1 Asumsi Contoh'!C7,0)</f>
        <v/>
      </c>
      <c r="H19" s="39">
        <f>IFERROR(D19*1000000/F19/'A1 Asumsi Contoh'!D7,0)</f>
        <v/>
      </c>
      <c r="I19" s="47">
        <f>H19-G19</f>
        <v/>
      </c>
      <c r="J19" s="24">
        <f>IFERROR(I19/ABS(G19),"")</f>
        <v/>
      </c>
      <c r="K19" s="11">
        <f>IF(I19&lt;=0,"Efisien","Naik – review")</f>
        <v/>
      </c>
    </row>
    <row r="20">
      <c r="A20" s="48" t="inlineStr">
        <is>
          <t>CASH COST FOB (excl. royalti)</t>
        </is>
      </c>
      <c r="B20" s="49" t="inlineStr">
        <is>
          <t>per ton penjualan</t>
        </is>
      </c>
      <c r="C20" s="50">
        <f>'A2 Laba Rugi Contoh'!C25+'A2 Laba Rugi Contoh'!C31+'A2 Laba Rugi Contoh'!C41</f>
        <v/>
      </c>
      <c r="D20" s="50">
        <f>'A2 Laba Rugi Contoh'!D25+'A2 Laba Rugi Contoh'!D31+'A2 Laba Rugi Contoh'!D41</f>
        <v/>
      </c>
      <c r="E20" s="51">
        <f>'A1 Asumsi Contoh'!C21</f>
        <v/>
      </c>
      <c r="F20" s="51">
        <f>'A1 Asumsi Contoh'!D21</f>
        <v/>
      </c>
      <c r="G20" s="52">
        <f>IFERROR(C20*1000000/E20/'A1 Asumsi Contoh'!C7,0)</f>
        <v/>
      </c>
      <c r="H20" s="52">
        <f>IFERROR(D20*1000000/F20/'A1 Asumsi Contoh'!D7,0)</f>
        <v/>
      </c>
      <c r="I20" s="53">
        <f>H20-G20</f>
        <v/>
      </c>
      <c r="J20" s="54">
        <f>IFERROR(I20/ABS(G20),"")</f>
        <v/>
      </c>
      <c r="K20" s="55">
        <f>IF(I20&lt;=0,"Efisien","Naik – review")</f>
        <v/>
      </c>
    </row>
    <row r="21">
      <c r="A21" s="10" t="inlineStr">
        <is>
          <t xml:space="preserve">   Royalti</t>
        </is>
      </c>
      <c r="B21" s="3" t="inlineStr">
        <is>
          <t>per ton penjualan</t>
        </is>
      </c>
      <c r="C21" s="28">
        <f>'A2 Laba Rugi Contoh'!C33</f>
        <v/>
      </c>
      <c r="D21" s="28">
        <f>'A2 Laba Rugi Contoh'!D33</f>
        <v/>
      </c>
      <c r="E21" s="28">
        <f>'A1 Asumsi Contoh'!C21</f>
        <v/>
      </c>
      <c r="F21" s="28">
        <f>'A1 Asumsi Contoh'!D21</f>
        <v/>
      </c>
      <c r="G21" s="39">
        <f>IFERROR(C21*1000000/E21/'A1 Asumsi Contoh'!C7,0)</f>
        <v/>
      </c>
      <c r="H21" s="39">
        <f>IFERROR(D21*1000000/F21/'A1 Asumsi Contoh'!D7,0)</f>
        <v/>
      </c>
      <c r="I21" s="47">
        <f>H21-G21</f>
        <v/>
      </c>
      <c r="J21" s="24">
        <f>IFERROR(I21/ABS(G21),"")</f>
        <v/>
      </c>
      <c r="K21" s="11">
        <f>IF(I21&lt;=0,"Efisien","Naik – review")</f>
        <v/>
      </c>
    </row>
    <row r="22">
      <c r="A22" s="48" t="inlineStr">
        <is>
          <t>CASH COST FOB (incl. royalti)</t>
        </is>
      </c>
      <c r="B22" s="49" t="inlineStr">
        <is>
          <t>per ton penjualan</t>
        </is>
      </c>
      <c r="C22" s="50">
        <f>'A2 Laba Rugi Contoh'!C25+'A2 Laba Rugi Contoh'!C31+'A2 Laba Rugi Contoh'!C41+'A2 Laba Rugi Contoh'!C33</f>
        <v/>
      </c>
      <c r="D22" s="50">
        <f>'A2 Laba Rugi Contoh'!D25+'A2 Laba Rugi Contoh'!D31+'A2 Laba Rugi Contoh'!D41+'A2 Laba Rugi Contoh'!D33</f>
        <v/>
      </c>
      <c r="E22" s="51">
        <f>'A1 Asumsi Contoh'!C21</f>
        <v/>
      </c>
      <c r="F22" s="51">
        <f>'A1 Asumsi Contoh'!D21</f>
        <v/>
      </c>
      <c r="G22" s="52">
        <f>IFERROR(C22*1000000/E22/'A1 Asumsi Contoh'!C7,0)</f>
        <v/>
      </c>
      <c r="H22" s="52">
        <f>IFERROR(D22*1000000/F22/'A1 Asumsi Contoh'!D7,0)</f>
        <v/>
      </c>
      <c r="I22" s="53">
        <f>H22-G22</f>
        <v/>
      </c>
      <c r="J22" s="54">
        <f>IFERROR(I22/ABS(G22),"")</f>
        <v/>
      </c>
      <c r="K22" s="55">
        <f>IF(I22&lt;=0,"Efisien","Naik – review")</f>
        <v/>
      </c>
    </row>
    <row r="23">
      <c r="A23" s="10" t="inlineStr">
        <is>
          <t xml:space="preserve">   Beban penjualan</t>
        </is>
      </c>
      <c r="B23" s="3" t="inlineStr">
        <is>
          <t>per ton penjualan</t>
        </is>
      </c>
      <c r="C23" s="28">
        <f>'A2 Laba Rugi Contoh'!C62</f>
        <v/>
      </c>
      <c r="D23" s="28">
        <f>'A2 Laba Rugi Contoh'!D62</f>
        <v/>
      </c>
      <c r="E23" s="28">
        <f>'A1 Asumsi Contoh'!C21</f>
        <v/>
      </c>
      <c r="F23" s="28">
        <f>'A1 Asumsi Contoh'!D21</f>
        <v/>
      </c>
      <c r="G23" s="39">
        <f>IFERROR(C23*1000000/E23/'A1 Asumsi Contoh'!C7,0)</f>
        <v/>
      </c>
      <c r="H23" s="39">
        <f>IFERROR(D23*1000000/F23/'A1 Asumsi Contoh'!D7,0)</f>
        <v/>
      </c>
      <c r="I23" s="47">
        <f>H23-G23</f>
        <v/>
      </c>
      <c r="J23" s="24">
        <f>IFERROR(I23/ABS(G23),"")</f>
        <v/>
      </c>
      <c r="K23" s="11">
        <f>IF(I23&lt;=0,"Efisien","Naik – review")</f>
        <v/>
      </c>
    </row>
    <row r="24">
      <c r="A24" s="10" t="inlineStr">
        <is>
          <t xml:space="preserve">   Beban umum &amp; administrasi (excl. penyusutan)</t>
        </is>
      </c>
      <c r="B24" s="3" t="inlineStr">
        <is>
          <t>per ton penjualan</t>
        </is>
      </c>
      <c r="C24" s="28">
        <f>'A2 Laba Rugi Contoh'!C73-'A2 Laba Rugi Contoh'!C71</f>
        <v/>
      </c>
      <c r="D24" s="28">
        <f>'A2 Laba Rugi Contoh'!D73-'A2 Laba Rugi Contoh'!D71</f>
        <v/>
      </c>
      <c r="E24" s="28">
        <f>'A1 Asumsi Contoh'!C21</f>
        <v/>
      </c>
      <c r="F24" s="28">
        <f>'A1 Asumsi Contoh'!D21</f>
        <v/>
      </c>
      <c r="G24" s="39">
        <f>IFERROR(C24*1000000/E24/'A1 Asumsi Contoh'!C7,0)</f>
        <v/>
      </c>
      <c r="H24" s="39">
        <f>IFERROR(D24*1000000/F24/'A1 Asumsi Contoh'!D7,0)</f>
        <v/>
      </c>
      <c r="I24" s="47">
        <f>H24-G24</f>
        <v/>
      </c>
      <c r="J24" s="24">
        <f>IFERROR(I24/ABS(G24),"")</f>
        <v/>
      </c>
      <c r="K24" s="11">
        <f>IF(I24&lt;=0,"Efisien","Naik – review")</f>
        <v/>
      </c>
    </row>
    <row r="25">
      <c r="A25" s="48" t="inlineStr">
        <is>
          <t>TOTAL CASH COST</t>
        </is>
      </c>
      <c r="B25" s="49" t="inlineStr">
        <is>
          <t>per ton penjualan</t>
        </is>
      </c>
      <c r="C25" s="50">
        <f>'A2 Laba Rugi Contoh'!C25+'A2 Laba Rugi Contoh'!C31+'A2 Laba Rugi Contoh'!C41+'A2 Laba Rugi Contoh'!C33+'A2 Laba Rugi Contoh'!C62+'A2 Laba Rugi Contoh'!C73-'A2 Laba Rugi Contoh'!C71</f>
        <v/>
      </c>
      <c r="D25" s="50">
        <f>'A2 Laba Rugi Contoh'!D25+'A2 Laba Rugi Contoh'!D31+'A2 Laba Rugi Contoh'!D41+'A2 Laba Rugi Contoh'!D33+'A2 Laba Rugi Contoh'!D62+'A2 Laba Rugi Contoh'!D73-'A2 Laba Rugi Contoh'!D71</f>
        <v/>
      </c>
      <c r="E25" s="51">
        <f>'A1 Asumsi Contoh'!C21</f>
        <v/>
      </c>
      <c r="F25" s="51">
        <f>'A1 Asumsi Contoh'!D21</f>
        <v/>
      </c>
      <c r="G25" s="52">
        <f>IFERROR(C25*1000000/E25/'A1 Asumsi Contoh'!C7,0)</f>
        <v/>
      </c>
      <c r="H25" s="52">
        <f>IFERROR(D25*1000000/F25/'A1 Asumsi Contoh'!D7,0)</f>
        <v/>
      </c>
      <c r="I25" s="53">
        <f>H25-G25</f>
        <v/>
      </c>
      <c r="J25" s="54">
        <f>IFERROR(I25/ABS(G25),"")</f>
        <v/>
      </c>
      <c r="K25" s="55">
        <f>IF(I25&lt;=0,"Efisien","Naik – review")</f>
        <v/>
      </c>
    </row>
    <row r="26">
      <c r="A26" s="10" t="inlineStr">
        <is>
          <t xml:space="preserve">   Penyusutan &amp; amortisasi</t>
        </is>
      </c>
      <c r="B26" s="3" t="inlineStr">
        <is>
          <t>per ton penjualan</t>
        </is>
      </c>
      <c r="C26" s="28">
        <f>'A2 Laba Rugi Contoh'!C46+'A2 Laba Rugi Contoh'!C71</f>
        <v/>
      </c>
      <c r="D26" s="28">
        <f>'A2 Laba Rugi Contoh'!D46+'A2 Laba Rugi Contoh'!D71</f>
        <v/>
      </c>
      <c r="E26" s="28">
        <f>'A1 Asumsi Contoh'!C21</f>
        <v/>
      </c>
      <c r="F26" s="28">
        <f>'A1 Asumsi Contoh'!D21</f>
        <v/>
      </c>
      <c r="G26" s="39">
        <f>IFERROR(C26*1000000/E26/'A1 Asumsi Contoh'!C7,0)</f>
        <v/>
      </c>
      <c r="H26" s="39">
        <f>IFERROR(D26*1000000/F26/'A1 Asumsi Contoh'!D7,0)</f>
        <v/>
      </c>
      <c r="I26" s="47">
        <f>H26-G26</f>
        <v/>
      </c>
      <c r="J26" s="24">
        <f>IFERROR(I26/ABS(G26),"")</f>
        <v/>
      </c>
      <c r="K26" s="11">
        <f>IF(I26&lt;=0,"Efisien","Naik – review")</f>
        <v/>
      </c>
    </row>
    <row r="27">
      <c r="A27" s="10" t="inlineStr">
        <is>
          <t xml:space="preserve">   Capex berkelanjutan (aset tetap + pengupasan tangguhan)</t>
        </is>
      </c>
      <c r="B27" s="3" t="inlineStr">
        <is>
          <t>per ton penjualan</t>
        </is>
      </c>
      <c r="C27" s="28">
        <f>'A1 Asumsi Contoh'!C90+'A1 Asumsi Contoh'!C92</f>
        <v/>
      </c>
      <c r="D27" s="28">
        <f>'A1 Asumsi Contoh'!D90+'A1 Asumsi Contoh'!D92</f>
        <v/>
      </c>
      <c r="E27" s="28">
        <f>'A1 Asumsi Contoh'!C21</f>
        <v/>
      </c>
      <c r="F27" s="28">
        <f>'A1 Asumsi Contoh'!D21</f>
        <v/>
      </c>
      <c r="G27" s="39">
        <f>IFERROR(C27*1000000/E27/'A1 Asumsi Contoh'!C7,0)</f>
        <v/>
      </c>
      <c r="H27" s="39">
        <f>IFERROR(D27*1000000/F27/'A1 Asumsi Contoh'!D7,0)</f>
        <v/>
      </c>
      <c r="I27" s="47">
        <f>H27-G27</f>
        <v/>
      </c>
      <c r="J27" s="24">
        <f>IFERROR(I27/ABS(G27),"")</f>
        <v/>
      </c>
      <c r="K27" s="11">
        <f>IF(I27&lt;=0,"Efisien","Naik – review")</f>
        <v/>
      </c>
    </row>
    <row r="28">
      <c r="A28" s="48" t="inlineStr">
        <is>
          <t>ALL-IN SUSTAINING COST (AISC)</t>
        </is>
      </c>
      <c r="B28" s="49" t="inlineStr">
        <is>
          <t>per ton penjualan</t>
        </is>
      </c>
      <c r="C28" s="50">
        <f>'A2 Laba Rugi Contoh'!C25+'A2 Laba Rugi Contoh'!C31+'A2 Laba Rugi Contoh'!C41+'A2 Laba Rugi Contoh'!C33+'A2 Laba Rugi Contoh'!C62+'A2 Laba Rugi Contoh'!C73-'A2 Laba Rugi Contoh'!C71+'A1 Asumsi Contoh'!C90+'A1 Asumsi Contoh'!C92</f>
        <v/>
      </c>
      <c r="D28" s="50">
        <f>'A2 Laba Rugi Contoh'!D25+'A2 Laba Rugi Contoh'!D31+'A2 Laba Rugi Contoh'!D41+'A2 Laba Rugi Contoh'!D33+'A2 Laba Rugi Contoh'!D62+'A2 Laba Rugi Contoh'!D73-'A2 Laba Rugi Contoh'!D71+'A1 Asumsi Contoh'!D90+'A1 Asumsi Contoh'!D92</f>
        <v/>
      </c>
      <c r="E28" s="51">
        <f>'A1 Asumsi Contoh'!C21</f>
        <v/>
      </c>
      <c r="F28" s="51">
        <f>'A1 Asumsi Contoh'!D21</f>
        <v/>
      </c>
      <c r="G28" s="52">
        <f>IFERROR(C28*1000000/E28/'A1 Asumsi Contoh'!C7,0)</f>
        <v/>
      </c>
      <c r="H28" s="52">
        <f>IFERROR(D28*1000000/F28/'A1 Asumsi Contoh'!D7,0)</f>
        <v/>
      </c>
      <c r="I28" s="53">
        <f>H28-G28</f>
        <v/>
      </c>
      <c r="J28" s="54">
        <f>IFERROR(I28/ABS(G28),"")</f>
        <v/>
      </c>
      <c r="K28" s="55">
        <f>IF(I28&lt;=0,"Efisien","Naik – review")</f>
        <v/>
      </c>
    </row>
    <row r="29">
      <c r="A29" s="48" t="inlineStr">
        <is>
          <t>Harga jual rata-rata (ASP) blended, neto penalti</t>
        </is>
      </c>
      <c r="B29" s="49" t="inlineStr">
        <is>
          <t>per ton penjualan</t>
        </is>
      </c>
      <c r="C29" s="50">
        <f>'A2 Laba Rugi Contoh'!C10+'A2 Laba Rugi Contoh'!C11</f>
        <v/>
      </c>
      <c r="D29" s="50">
        <f>'A2 Laba Rugi Contoh'!D10+'A2 Laba Rugi Contoh'!D11</f>
        <v/>
      </c>
      <c r="E29" s="51">
        <f>'A1 Asumsi Contoh'!C21</f>
        <v/>
      </c>
      <c r="F29" s="51">
        <f>'A1 Asumsi Contoh'!D21</f>
        <v/>
      </c>
      <c r="G29" s="52">
        <f>IFERROR(C29*1000000/E29/'A1 Asumsi Contoh'!C7,0)</f>
        <v/>
      </c>
      <c r="H29" s="52">
        <f>IFERROR(D29*1000000/F29/'A1 Asumsi Contoh'!D7,0)</f>
        <v/>
      </c>
      <c r="I29" s="53">
        <f>H29-G29</f>
        <v/>
      </c>
      <c r="J29" s="54">
        <f>IFERROR(I29/ABS(G29),"")</f>
        <v/>
      </c>
      <c r="K29" s="55">
        <f>IF(I29&gt;=0,"Membaik","Menurun – review")</f>
        <v/>
      </c>
    </row>
    <row r="30">
      <c r="A30" s="48" t="inlineStr">
        <is>
          <t>MARJIN KAS PER TON (ASP – total cash cost)</t>
        </is>
      </c>
      <c r="B30" s="49" t="inlineStr">
        <is>
          <t>per ton penjualan</t>
        </is>
      </c>
      <c r="C30" s="58">
        <f>C29-C25</f>
        <v/>
      </c>
      <c r="D30" s="58">
        <f>D29-D25</f>
        <v/>
      </c>
      <c r="E30" s="51">
        <f>'A1 Asumsi Contoh'!C21</f>
        <v/>
      </c>
      <c r="F30" s="51">
        <f>'A1 Asumsi Contoh'!D21</f>
        <v/>
      </c>
      <c r="G30" s="52">
        <f>IFERROR(C30*1000000/E30/'A1 Asumsi Contoh'!C7,0)</f>
        <v/>
      </c>
      <c r="H30" s="52">
        <f>IFERROR(D30*1000000/F30/'A1 Asumsi Contoh'!D7,0)</f>
        <v/>
      </c>
      <c r="I30" s="53">
        <f>H30-G30</f>
        <v/>
      </c>
      <c r="J30" s="54">
        <f>IFERROR(I30/ABS(G30),"")</f>
        <v/>
      </c>
      <c r="K30" s="55">
        <f>IF(I30&gt;=0,"Membaik","Menurun – review")</f>
        <v/>
      </c>
    </row>
    <row r="31">
      <c r="A31" s="48" t="inlineStr">
        <is>
          <t>MARJIN AISC PER TON (ASP – AISC)</t>
        </is>
      </c>
      <c r="B31" s="49" t="inlineStr">
        <is>
          <t>per ton penjualan</t>
        </is>
      </c>
      <c r="C31" s="58">
        <f>C29-C28</f>
        <v/>
      </c>
      <c r="D31" s="58">
        <f>D29-D28</f>
        <v/>
      </c>
      <c r="E31" s="51">
        <f>'A1 Asumsi Contoh'!C21</f>
        <v/>
      </c>
      <c r="F31" s="51">
        <f>'A1 Asumsi Contoh'!D21</f>
        <v/>
      </c>
      <c r="G31" s="52">
        <f>IFERROR(C31*1000000/E31/'A1 Asumsi Contoh'!C7,0)</f>
        <v/>
      </c>
      <c r="H31" s="52">
        <f>IFERROR(D31*1000000/F31/'A1 Asumsi Contoh'!D7,0)</f>
        <v/>
      </c>
      <c r="I31" s="53">
        <f>H31-G31</f>
        <v/>
      </c>
      <c r="J31" s="54">
        <f>IFERROR(I31/ABS(G31),"")</f>
        <v/>
      </c>
      <c r="K31" s="55">
        <f>IF(I31&gt;=0,"Membaik","Menurun – review")</f>
        <v/>
      </c>
    </row>
    <row r="32">
      <c r="A32" s="3" t="inlineStr">
        <is>
          <t>Catatan: cash cost memakai basis ton penjualan; mining cost memakai basis ton produksi; biaya OB memakai basis bcm. AISC = total cash cost + capex berkelanjutan.</t>
        </is>
      </c>
    </row>
    <row r="34">
      <c r="A34" s="4" t="inlineStr">
        <is>
          <t>2. PENILAIAN KPI COST OF PRODUCTION – FY2025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16" t="inlineStr">
        <is>
          <t>KPI Cost of Production</t>
        </is>
      </c>
      <c r="B35" s="16" t="inlineStr">
        <is>
          <t>Satuan</t>
        </is>
      </c>
      <c r="C35" s="16" t="inlineStr">
        <is>
          <t>Aktual FY2024</t>
        </is>
      </c>
      <c r="D35" s="16" t="inlineStr">
        <is>
          <t>Aktual FY2025</t>
        </is>
      </c>
      <c r="E35" s="16" t="inlineStr">
        <is>
          <t>Target FY2025</t>
        </is>
      </c>
      <c r="F35" s="16" t="inlineStr">
        <is>
          <t>Polaritas</t>
        </is>
      </c>
      <c r="G35" s="16" t="inlineStr">
        <is>
          <t>Pencapaian</t>
        </is>
      </c>
      <c r="H35" s="16" t="inlineStr">
        <is>
          <t>Skor (1–5)</t>
        </is>
      </c>
      <c r="I35" s="16" t="inlineStr">
        <is>
          <t>Status</t>
        </is>
      </c>
      <c r="J35" s="16" t="inlineStr">
        <is>
          <t>Catatan manajemen</t>
        </is>
      </c>
    </row>
    <row r="36">
      <c r="A36" s="10" t="inlineStr">
        <is>
          <t>Stripping ratio</t>
        </is>
      </c>
      <c r="B36" s="45" t="inlineStr">
        <is>
          <t>bcm/t</t>
        </is>
      </c>
      <c r="C36" s="39">
        <f>'A1 Asumsi Contoh'!C15</f>
        <v/>
      </c>
      <c r="D36" s="39">
        <f>'A1 Asumsi Contoh'!D15</f>
        <v/>
      </c>
      <c r="E36" s="18" t="n">
        <v>7.5</v>
      </c>
      <c r="F36" s="11" t="inlineStr">
        <is>
          <t>Lower</t>
        </is>
      </c>
      <c r="G36" s="42">
        <f>MIN('B2 COP dan KPI'!$N$11,IF(F36="Lower",IF(D36&lt;=0,'B2 COP dan KPI'!$N$11,E36/D36),IFERROR(D36/E36,0)))</f>
        <v/>
      </c>
      <c r="H36" s="59">
        <f>IF(G36&gt;='B2 COP dan KPI'!$N$5,5,IF(G36&gt;='B2 COP dan KPI'!$N$6,4,IF(G36&gt;='B2 COP dan KPI'!$N$7,3,IF(G36&gt;='B2 COP dan KPI'!$N$8,2,1))))</f>
        <v/>
      </c>
      <c r="I36" s="12">
        <f>IF(G36&gt;='B2 COP dan KPI'!$N$9,"Hijau",IF(G36&gt;='B2 COP dan KPI'!$N$10,"Kuning","Merah"))</f>
        <v/>
      </c>
      <c r="J36" s="8" t="inlineStr">
        <is>
          <t>Deviasi dari rencana tambang; SR terlalu rendah bisa tanda high-grading</t>
        </is>
      </c>
    </row>
    <row r="37">
      <c r="A37" s="10" t="inlineStr">
        <is>
          <t>Biaya pengupasan OB</t>
        </is>
      </c>
      <c r="B37" s="45" t="inlineStr">
        <is>
          <t>USD/bcm</t>
        </is>
      </c>
      <c r="C37" s="47">
        <f>G9</f>
        <v/>
      </c>
      <c r="D37" s="47">
        <f>H9</f>
        <v/>
      </c>
      <c r="E37" s="18" t="n">
        <v>2.75</v>
      </c>
      <c r="F37" s="11" t="inlineStr">
        <is>
          <t>Lower</t>
        </is>
      </c>
      <c r="G37" s="42">
        <f>MIN('B2 COP dan KPI'!$N$11,IF(F37="Lower",IF(D37&lt;=0,'B2 COP dan KPI'!$N$11,E37/D37),IFERROR(D37/E37,0)))</f>
        <v/>
      </c>
      <c r="H37" s="59">
        <f>IF(G37&gt;='B2 COP dan KPI'!$N$5,5,IF(G37&gt;='B2 COP dan KPI'!$N$6,4,IF(G37&gt;='B2 COP dan KPI'!$N$7,3,IF(G37&gt;='B2 COP dan KPI'!$N$8,2,1))))</f>
        <v/>
      </c>
      <c r="I37" s="12">
        <f>IF(G37&gt;='B2 COP dan KPI'!$N$9,"Hijau",IF(G37&gt;='B2 COP dan KPI'!$N$10,"Kuning","Merah"))</f>
        <v/>
      </c>
      <c r="J37" s="8" t="inlineStr">
        <is>
          <t>Tarif kontraktor + BBM + peledakan</t>
        </is>
      </c>
    </row>
    <row r="38">
      <c r="A38" s="10" t="inlineStr">
        <is>
          <t>Fuel ratio</t>
        </is>
      </c>
      <c r="B38" s="45" t="inlineStr">
        <is>
          <t>L/bcm</t>
        </is>
      </c>
      <c r="C38" s="39">
        <f>'A1 Asumsi Contoh'!C29</f>
        <v/>
      </c>
      <c r="D38" s="39">
        <f>'A1 Asumsi Contoh'!D29</f>
        <v/>
      </c>
      <c r="E38" s="18" t="n">
        <v>0.92</v>
      </c>
      <c r="F38" s="11" t="inlineStr">
        <is>
          <t>Lower</t>
        </is>
      </c>
      <c r="G38" s="42">
        <f>MIN('B2 COP dan KPI'!$N$11,IF(F38="Lower",IF(D38&lt;=0,'B2 COP dan KPI'!$N$11,E38/D38),IFERROR(D38/E38,0)))</f>
        <v/>
      </c>
      <c r="H38" s="59">
        <f>IF(G38&gt;='B2 COP dan KPI'!$N$5,5,IF(G38&gt;='B2 COP dan KPI'!$N$6,4,IF(G38&gt;='B2 COP dan KPI'!$N$7,3,IF(G38&gt;='B2 COP dan KPI'!$N$8,2,1))))</f>
        <v/>
      </c>
      <c r="I38" s="12">
        <f>IF(G38&gt;='B2 COP dan KPI'!$N$9,"Hijau",IF(G38&gt;='B2 COP dan KPI'!$N$10,"Kuning","Merah"))</f>
        <v/>
      </c>
      <c r="J38" s="8" t="inlineStr">
        <is>
          <t>Indikator efisiensi armada &amp; jarak angkut OB</t>
        </is>
      </c>
    </row>
    <row r="39">
      <c r="A39" s="10" t="inlineStr">
        <is>
          <t>Mining cost per ton produksi</t>
        </is>
      </c>
      <c r="B39" s="45" t="inlineStr">
        <is>
          <t>USD/t</t>
        </is>
      </c>
      <c r="C39" s="47">
        <f>G13</f>
        <v/>
      </c>
      <c r="D39" s="47">
        <f>H13</f>
        <v/>
      </c>
      <c r="E39" s="18" t="n">
        <v>22</v>
      </c>
      <c r="F39" s="11" t="inlineStr">
        <is>
          <t>Lower</t>
        </is>
      </c>
      <c r="G39" s="42">
        <f>MIN('B2 COP dan KPI'!$N$11,IF(F39="Lower",IF(D39&lt;=0,'B2 COP dan KPI'!$N$11,E39/D39),IFERROR(D39/E39,0)))</f>
        <v/>
      </c>
      <c r="H39" s="59">
        <f>IF(G39&gt;='B2 COP dan KPI'!$N$5,5,IF(G39&gt;='B2 COP dan KPI'!$N$6,4,IF(G39&gt;='B2 COP dan KPI'!$N$7,3,IF(G39&gt;='B2 COP dan KPI'!$N$8,2,1))))</f>
        <v/>
      </c>
      <c r="I39" s="12">
        <f>IF(G39&gt;='B2 COP dan KPI'!$N$9,"Hijau",IF(G39&gt;='B2 COP dan KPI'!$N$10,"Kuning","Merah"))</f>
        <v/>
      </c>
      <c r="J39" s="8" t="inlineStr">
        <is>
          <t>Dipengaruhi SR, tarif, BBM, biaya tetap tambang</t>
        </is>
      </c>
    </row>
    <row r="40">
      <c r="A40" s="10" t="inlineStr">
        <is>
          <t>Hauling cost per ton-km</t>
        </is>
      </c>
      <c r="B40" s="45" t="inlineStr">
        <is>
          <t>USD/t-km</t>
        </is>
      </c>
      <c r="C40" s="57">
        <f>G16</f>
        <v/>
      </c>
      <c r="D40" s="57">
        <f>H16</f>
        <v/>
      </c>
      <c r="E40" s="26" t="n">
        <v>0.1</v>
      </c>
      <c r="F40" s="11" t="inlineStr">
        <is>
          <t>Lower</t>
        </is>
      </c>
      <c r="G40" s="42">
        <f>MIN('B2 COP dan KPI'!$N$11,IF(F40="Lower",IF(D40&lt;=0,'B2 COP dan KPI'!$N$11,E40/D40),IFERROR(D40/E40,0)))</f>
        <v/>
      </c>
      <c r="H40" s="59">
        <f>IF(G40&gt;='B2 COP dan KPI'!$N$5,5,IF(G40&gt;='B2 COP dan KPI'!$N$6,4,IF(G40&gt;='B2 COP dan KPI'!$N$7,3,IF(G40&gt;='B2 COP dan KPI'!$N$8,2,1))))</f>
        <v/>
      </c>
      <c r="I40" s="12">
        <f>IF(G40&gt;='B2 COP dan KPI'!$N$9,"Hijau",IF(G40&gt;='B2 COP dan KPI'!$N$10,"Kuning","Merah"))</f>
        <v/>
      </c>
      <c r="J40" s="8" t="inlineStr">
        <is>
          <t>Kondisi jalan, payload, cycle time</t>
        </is>
      </c>
    </row>
    <row r="41">
      <c r="A41" s="10" t="inlineStr">
        <is>
          <t>Barging cost per ton</t>
        </is>
      </c>
      <c r="B41" s="45" t="inlineStr">
        <is>
          <t>USD/t</t>
        </is>
      </c>
      <c r="C41" s="47">
        <f>G18</f>
        <v/>
      </c>
      <c r="D41" s="47">
        <f>H18</f>
        <v/>
      </c>
      <c r="E41" s="18" t="n">
        <v>3.9</v>
      </c>
      <c r="F41" s="11" t="inlineStr">
        <is>
          <t>Lower</t>
        </is>
      </c>
      <c r="G41" s="42">
        <f>MIN('B2 COP dan KPI'!$N$11,IF(F41="Lower",IF(D41&lt;=0,'B2 COP dan KPI'!$N$11,E41/D41),IFERROR(D41/E41,0)))</f>
        <v/>
      </c>
      <c r="H41" s="59">
        <f>IF(G41&gt;='B2 COP dan KPI'!$N$5,5,IF(G41&gt;='B2 COP dan KPI'!$N$6,4,IF(G41&gt;='B2 COP dan KPI'!$N$7,3,IF(G41&gt;='B2 COP dan KPI'!$N$8,2,1))))</f>
        <v/>
      </c>
      <c r="I41" s="12">
        <f>IF(G41&gt;='B2 COP dan KPI'!$N$9,"Hijau",IF(G41&gt;='B2 COP dan KPI'!$N$10,"Kuning","Merah"))</f>
        <v/>
      </c>
      <c r="J41" s="8" t="inlineStr">
        <is>
          <t>Tarif tongkang, waktu tunggu, draft sungai</t>
        </is>
      </c>
    </row>
    <row r="42">
      <c r="A42" s="10" t="inlineStr">
        <is>
          <t>Cash cost FOB excl. royalti</t>
        </is>
      </c>
      <c r="B42" s="45" t="inlineStr">
        <is>
          <t>USD/t</t>
        </is>
      </c>
      <c r="C42" s="47">
        <f>G20</f>
        <v/>
      </c>
      <c r="D42" s="47">
        <f>H20</f>
        <v/>
      </c>
      <c r="E42" s="18" t="n">
        <v>34</v>
      </c>
      <c r="F42" s="11" t="inlineStr">
        <is>
          <t>Lower</t>
        </is>
      </c>
      <c r="G42" s="42">
        <f>MIN('B2 COP dan KPI'!$N$11,IF(F42="Lower",IF(D42&lt;=0,'B2 COP dan KPI'!$N$11,E42/D42),IFERROR(D42/E42,0)))</f>
        <v/>
      </c>
      <c r="H42" s="59">
        <f>IF(G42&gt;='B2 COP dan KPI'!$N$5,5,IF(G42&gt;='B2 COP dan KPI'!$N$6,4,IF(G42&gt;='B2 COP dan KPI'!$N$7,3,IF(G42&gt;='B2 COP dan KPI'!$N$8,2,1))))</f>
        <v/>
      </c>
      <c r="I42" s="12">
        <f>IF(G42&gt;='B2 COP dan KPI'!$N$9,"Hijau",IF(G42&gt;='B2 COP dan KPI'!$N$10,"Kuning","Merah"))</f>
        <v/>
      </c>
      <c r="J42" s="8" t="inlineStr">
        <is>
          <t>KPI utama biaya produksi yang dapat dikendalikan</t>
        </is>
      </c>
    </row>
    <row r="43">
      <c r="A43" s="10" t="inlineStr">
        <is>
          <t>Cash cost FOB incl. royalti</t>
        </is>
      </c>
      <c r="B43" s="45" t="inlineStr">
        <is>
          <t>USD/t</t>
        </is>
      </c>
      <c r="C43" s="47">
        <f>G22</f>
        <v/>
      </c>
      <c r="D43" s="47">
        <f>H22</f>
        <v/>
      </c>
      <c r="E43" s="18" t="n">
        <v>38</v>
      </c>
      <c r="F43" s="11" t="inlineStr">
        <is>
          <t>Lower</t>
        </is>
      </c>
      <c r="G43" s="42">
        <f>MIN('B2 COP dan KPI'!$N$11,IF(F43="Lower",IF(D43&lt;=0,'B2 COP dan KPI'!$N$11,E43/D43),IFERROR(D43/E43,0)))</f>
        <v/>
      </c>
      <c r="H43" s="59">
        <f>IF(G43&gt;='B2 COP dan KPI'!$N$5,5,IF(G43&gt;='B2 COP dan KPI'!$N$6,4,IF(G43&gt;='B2 COP dan KPI'!$N$7,3,IF(G43&gt;='B2 COP dan KPI'!$N$8,2,1))))</f>
        <v/>
      </c>
      <c r="I43" s="12">
        <f>IF(G43&gt;='B2 COP dan KPI'!$N$9,"Hijau",IF(G43&gt;='B2 COP dan KPI'!$N$10,"Kuning","Merah"))</f>
        <v/>
      </c>
      <c r="J43" s="8" t="inlineStr">
        <is>
          <t>Royalti mengikuti harga – pisahkan dari kinerja biaya</t>
        </is>
      </c>
    </row>
    <row r="44">
      <c r="A44" s="10" t="inlineStr">
        <is>
          <t>All-in sustaining cost (AISC)</t>
        </is>
      </c>
      <c r="B44" s="45" t="inlineStr">
        <is>
          <t>USD/t</t>
        </is>
      </c>
      <c r="C44" s="47">
        <f>G28</f>
        <v/>
      </c>
      <c r="D44" s="47">
        <f>H28</f>
        <v/>
      </c>
      <c r="E44" s="18" t="n">
        <v>46</v>
      </c>
      <c r="F44" s="11" t="inlineStr">
        <is>
          <t>Lower</t>
        </is>
      </c>
      <c r="G44" s="42">
        <f>MIN('B2 COP dan KPI'!$N$11,IF(F44="Lower",IF(D44&lt;=0,'B2 COP dan KPI'!$N$11,E44/D44),IFERROR(D44/E44,0)))</f>
        <v/>
      </c>
      <c r="H44" s="59">
        <f>IF(G44&gt;='B2 COP dan KPI'!$N$5,5,IF(G44&gt;='B2 COP dan KPI'!$N$6,4,IF(G44&gt;='B2 COP dan KPI'!$N$7,3,IF(G44&gt;='B2 COP dan KPI'!$N$8,2,1))))</f>
        <v/>
      </c>
      <c r="I44" s="12">
        <f>IF(G44&gt;='B2 COP dan KPI'!$N$9,"Hijau",IF(G44&gt;='B2 COP dan KPI'!$N$10,"Kuning","Merah"))</f>
        <v/>
      </c>
      <c r="J44" s="8" t="inlineStr">
        <is>
          <t>Termasuk capex berkelanjutan</t>
        </is>
      </c>
    </row>
    <row r="45">
      <c r="A45" s="10" t="inlineStr">
        <is>
          <t>Marjin kas per ton</t>
        </is>
      </c>
      <c r="B45" s="45" t="inlineStr">
        <is>
          <t>USD/t</t>
        </is>
      </c>
      <c r="C45" s="47">
        <f>G30</f>
        <v/>
      </c>
      <c r="D45" s="47">
        <f>H30</f>
        <v/>
      </c>
      <c r="E45" s="18" t="n">
        <v>15</v>
      </c>
      <c r="F45" s="11" t="inlineStr">
        <is>
          <t>Higher</t>
        </is>
      </c>
      <c r="G45" s="42">
        <f>MIN('B2 COP dan KPI'!$N$11,IF(F45="Lower",IF(D45&lt;=0,'B2 COP dan KPI'!$N$11,E45/D45),IFERROR(D45/E45,0)))</f>
        <v/>
      </c>
      <c r="H45" s="59">
        <f>IF(G45&gt;='B2 COP dan KPI'!$N$5,5,IF(G45&gt;='B2 COP dan KPI'!$N$6,4,IF(G45&gt;='B2 COP dan KPI'!$N$7,3,IF(G45&gt;='B2 COP dan KPI'!$N$8,2,1))))</f>
        <v/>
      </c>
      <c r="I45" s="12">
        <f>IF(G45&gt;='B2 COP dan KPI'!$N$9,"Hijau",IF(G45&gt;='B2 COP dan KPI'!$N$10,"Kuning","Merah"))</f>
        <v/>
      </c>
      <c r="J45" s="8" t="inlineStr">
        <is>
          <t>ASP – total cash cost</t>
        </is>
      </c>
    </row>
    <row r="46">
      <c r="A46" s="46" t="inlineStr">
        <is>
          <t>Rata-rata skor KPI COP</t>
        </is>
      </c>
      <c r="H46" s="60">
        <f>AVERAGE(H36:H45)</f>
        <v/>
      </c>
    </row>
    <row r="47">
      <c r="A47" s="3" t="inlineStr">
        <is>
          <t>Target diisi manajemen (sel kuning) – contoh: dari RKAP/budget atau benchmark. Sumber target contoh: asumsi penyusun.</t>
        </is>
      </c>
    </row>
  </sheetData>
  <conditionalFormatting sqref="K6:K31">
    <cfRule type="cellIs" priority="1" operator="equal" dxfId="0">
      <formula>"Efisien"</formula>
    </cfRule>
    <cfRule type="cellIs" priority="2" operator="equal" dxfId="1">
      <formula>"Naik – review"</formula>
    </cfRule>
    <cfRule type="cellIs" priority="3" operator="equal" dxfId="0">
      <formula>"Membaik"</formula>
    </cfRule>
    <cfRule type="cellIs" priority="4" operator="equal" dxfId="1">
      <formula>"Menurun – review"</formula>
    </cfRule>
  </conditionalFormatting>
  <conditionalFormatting sqref="I36:I45">
    <cfRule type="cellIs" priority="5" operator="equal" dxfId="0">
      <formula>"Hijau"</formula>
    </cfRule>
    <cfRule type="cellIs" priority="6" operator="equal" dxfId="2">
      <formula>"Kuning"</formula>
    </cfRule>
    <cfRule type="cellIs" priority="7" operator="equal" dxfId="1">
      <formula>"Merah"</formula>
    </cfRule>
  </conditionalFormatting>
  <dataValidations count="1">
    <dataValidation sqref="F36:F45" showDropDown="0" showInputMessage="0" showErrorMessage="0" allowBlank="0" type="list">
      <formula1>"Higher,Lower"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J4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0" customWidth="1" min="2" max="2"/>
    <col width="38" customWidth="1" min="3" max="3"/>
    <col width="10" customWidth="1" min="4" max="4"/>
    <col width="14" customWidth="1" min="5" max="5"/>
    <col width="14" customWidth="1" min="6" max="6"/>
    <col width="11" customWidth="1" min="7" max="7"/>
    <col width="14" customWidth="1" min="8" max="8"/>
    <col width="17" customWidth="1" min="9" max="9"/>
    <col width="70" customWidth="1" min="10" max="10"/>
  </cols>
  <sheetData>
    <row r="1">
      <c r="A1" s="1" t="inlineStr">
        <is>
          <t>Analisa KPI Cost vs Revenue – untuk Penilaian Manajemen (model contoh)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Sumber: A2 Laba Rugi, A3 Neraca, A4 Arus Kas, B2 COP. Target/acuan = input manajemen (sel kuning).</t>
        </is>
      </c>
    </row>
    <row r="4">
      <c r="A4" s="16" t="inlineStr">
        <is>
          <t>No</t>
        </is>
      </c>
      <c r="B4" s="16" t="inlineStr">
        <is>
          <t>KPI</t>
        </is>
      </c>
      <c r="C4" s="16" t="inlineStr">
        <is>
          <t>Rumus</t>
        </is>
      </c>
      <c r="D4" s="16" t="inlineStr">
        <is>
          <t>Satuan</t>
        </is>
      </c>
      <c r="E4" s="16" t="inlineStr">
        <is>
          <t>FY2024</t>
        </is>
      </c>
      <c r="F4" s="16" t="inlineStr">
        <is>
          <t>FY2025</t>
        </is>
      </c>
      <c r="G4" s="16" t="inlineStr">
        <is>
          <t>Polaritas</t>
        </is>
      </c>
      <c r="H4" s="16" t="inlineStr">
        <is>
          <t>Acuan / Target</t>
        </is>
      </c>
      <c r="I4" s="16" t="inlineStr">
        <is>
          <t>Penilaian FY2025</t>
        </is>
      </c>
      <c r="J4" s="16" t="inlineStr">
        <is>
          <t>Interpretasi untuk manajemen</t>
        </is>
      </c>
    </row>
    <row r="5">
      <c r="A5" s="4" t="inlineStr">
        <is>
          <t>A. PERTUMBUHAN &amp; "JAWS"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61" t="n">
        <v>1</v>
      </c>
      <c r="B6" s="10" t="inlineStr">
        <is>
          <t>Pertumbuhan pendapatan</t>
        </is>
      </c>
      <c r="C6" s="3" t="inlineStr">
        <is>
          <t>Pendapatan t ÷ t-1 – 1</t>
        </is>
      </c>
      <c r="D6" s="45" t="inlineStr">
        <is>
          <t>%</t>
        </is>
      </c>
      <c r="E6" s="62" t="inlineStr">
        <is>
          <t>n/a</t>
        </is>
      </c>
      <c r="F6" s="42">
        <f>'A2 Laba Rugi Contoh'!D13/'A2 Laba Rugi Contoh'!C13-1</f>
        <v/>
      </c>
      <c r="G6" s="11" t="inlineStr">
        <is>
          <t>Higher</t>
        </is>
      </c>
      <c r="H6" s="25" t="n">
        <v>0.02</v>
      </c>
      <c r="I6" s="11">
        <f>IF(G6="Info","Informasi",IF(G6="Higher",IF(F6&gt;=H6,"Baik","Perlu perbaikan"),IF(F6&lt;=H6,"Baik","Perlu perbaikan")))</f>
        <v/>
      </c>
      <c r="J6" s="8" t="inlineStr">
        <is>
          <t>Pisahkan efek volume, harga, kurs (lihat B4).</t>
        </is>
      </c>
    </row>
    <row r="7">
      <c r="A7" s="61" t="n">
        <v>2</v>
      </c>
      <c r="B7" s="10" t="inlineStr">
        <is>
          <t>Pertumbuhan total biaya</t>
        </is>
      </c>
      <c r="C7" s="3" t="inlineStr">
        <is>
          <t>Total biaya t ÷ t-1 – 1</t>
        </is>
      </c>
      <c r="D7" s="45" t="inlineStr">
        <is>
          <t>%</t>
        </is>
      </c>
      <c r="E7" s="62" t="inlineStr">
        <is>
          <t>n/a</t>
        </is>
      </c>
      <c r="F7" s="42">
        <f>('A2 Laba Rugi Contoh'!D49+'A2 Laba Rugi Contoh'!D74-'A2 Laba Rugi Contoh'!D81)/('A2 Laba Rugi Contoh'!C49+'A2 Laba Rugi Contoh'!C74-'A2 Laba Rugi Contoh'!C81)-1</f>
        <v/>
      </c>
      <c r="G7" s="11" t="inlineStr">
        <is>
          <t>Lower</t>
        </is>
      </c>
      <c r="H7" s="63">
        <f>F6</f>
        <v/>
      </c>
      <c r="I7" s="11">
        <f>IF(G7="Info","Informasi",IF(G7="Higher",IF(F7&gt;=H7,"Baik","Perlu perbaikan"),IF(F7&lt;=H7,"Baik","Perlu perbaikan")))</f>
        <v/>
      </c>
      <c r="J7" s="8" t="inlineStr">
        <is>
          <t>Target: biaya tumbuh lebih lambat dari pendapatan.</t>
        </is>
      </c>
    </row>
    <row r="8">
      <c r="A8" s="61" t="n">
        <v>3</v>
      </c>
      <c r="B8" s="10" t="inlineStr">
        <is>
          <t>Jaws ratio</t>
        </is>
      </c>
      <c r="C8" s="3" t="inlineStr">
        <is>
          <t>Growth pendapatan – growth biaya</t>
        </is>
      </c>
      <c r="D8" s="45" t="inlineStr">
        <is>
          <t>pp</t>
        </is>
      </c>
      <c r="E8" s="62" t="inlineStr">
        <is>
          <t>n/a</t>
        </is>
      </c>
      <c r="F8" s="24">
        <f>F6-F7</f>
        <v/>
      </c>
      <c r="G8" s="11" t="inlineStr">
        <is>
          <t>Higher</t>
        </is>
      </c>
      <c r="H8" s="25" t="n">
        <v>0</v>
      </c>
      <c r="I8" s="11">
        <f>IF(G8="Info","Informasi",IF(G8="Higher",IF(F8&gt;=H8,"Baik","Perlu perbaikan"),IF(F8&lt;=H8,"Baik","Perlu perbaikan")))</f>
        <v/>
      </c>
      <c r="J8" s="8" t="inlineStr">
        <is>
          <t>Positif = pendapatan tumbuh lebih cepat dari biaya (leverage operasi sehat).</t>
        </is>
      </c>
    </row>
    <row r="9">
      <c r="A9" s="4" t="inlineStr">
        <is>
          <t>B. RASIO BIAYA TERHADAP PENDAPATAN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61" t="n">
        <v>4</v>
      </c>
      <c r="B10" s="10" t="inlineStr">
        <is>
          <t>Rasio total biaya thd pendapatan</t>
        </is>
      </c>
      <c r="C10" s="3" t="inlineStr">
        <is>
          <t>(BPP + beban usaha + bunga) ÷ pendapatan</t>
        </is>
      </c>
      <c r="D10" s="45" t="inlineStr">
        <is>
          <t>%</t>
        </is>
      </c>
      <c r="E10" s="42">
        <f>('A2 Laba Rugi Contoh'!C49+'A2 Laba Rugi Contoh'!C74-'A2 Laba Rugi Contoh'!C81)/'A2 Laba Rugi Contoh'!C13</f>
        <v/>
      </c>
      <c r="F10" s="42">
        <f>('A2 Laba Rugi Contoh'!D49+'A2 Laba Rugi Contoh'!D74-'A2 Laba Rugi Contoh'!D81)/'A2 Laba Rugi Contoh'!D13</f>
        <v/>
      </c>
      <c r="G10" s="11" t="inlineStr">
        <is>
          <t>Lower</t>
        </is>
      </c>
      <c r="H10" s="25" t="n">
        <v>0.8</v>
      </c>
      <c r="I10" s="11">
        <f>IF(G10="Info","Informasi",IF(G10="Higher",IF(F10&gt;=H10,"Baik","Perlu perbaikan"),IF(F10&lt;=H10,"Baik","Perlu perbaikan")))</f>
        <v/>
      </c>
      <c r="J10" s="8" t="inlineStr">
        <is>
          <t>Setiap Rp100 pendapatan menyerap Rp x biaya.</t>
        </is>
      </c>
    </row>
    <row r="11">
      <c r="A11" s="61" t="n">
        <v>5</v>
      </c>
      <c r="B11" s="10" t="inlineStr">
        <is>
          <t>Rasio BPP thd pendapatan</t>
        </is>
      </c>
      <c r="C11" s="3" t="inlineStr">
        <is>
          <t>BPP ÷ pendapatan</t>
        </is>
      </c>
      <c r="D11" s="45" t="inlineStr">
        <is>
          <t>%</t>
        </is>
      </c>
      <c r="E11" s="42">
        <f>'A2 Laba Rugi Contoh'!C49/'A2 Laba Rugi Contoh'!C13</f>
        <v/>
      </c>
      <c r="F11" s="42">
        <f>'A2 Laba Rugi Contoh'!D49/'A2 Laba Rugi Contoh'!D13</f>
        <v/>
      </c>
      <c r="G11" s="11" t="inlineStr">
        <is>
          <t>Lower</t>
        </is>
      </c>
      <c r="H11" s="25" t="n">
        <v>0.72</v>
      </c>
      <c r="I11" s="11">
        <f>IF(G11="Info","Informasi",IF(G11="Higher",IF(F11&gt;=H11,"Baik","Perlu perbaikan"),IF(F11&lt;=H11,"Baik","Perlu perbaikan")))</f>
        <v/>
      </c>
      <c r="J11" s="8" t="inlineStr">
        <is>
          <t>Kebalikan dari marjin laba kotor.</t>
        </is>
      </c>
    </row>
    <row r="12">
      <c r="A12" s="61" t="n">
        <v>6</v>
      </c>
      <c r="B12" s="10" t="inlineStr">
        <is>
          <t>Rasio beban usaha thd pendapatan</t>
        </is>
      </c>
      <c r="C12" s="3" t="inlineStr">
        <is>
          <t>(Penjualan + G&amp;A) ÷ pendapatan</t>
        </is>
      </c>
      <c r="D12" s="45" t="inlineStr">
        <is>
          <t>%</t>
        </is>
      </c>
      <c r="E12" s="42">
        <f>'A2 Laba Rugi Contoh'!C74/'A2 Laba Rugi Contoh'!C13</f>
        <v/>
      </c>
      <c r="F12" s="42">
        <f>'A2 Laba Rugi Contoh'!D74/'A2 Laba Rugi Contoh'!D13</f>
        <v/>
      </c>
      <c r="G12" s="11" t="inlineStr">
        <is>
          <t>Lower</t>
        </is>
      </c>
      <c r="H12" s="25" t="n">
        <v>0.07000000000000001</v>
      </c>
      <c r="I12" s="11">
        <f>IF(G12="Info","Informasi",IF(G12="Higher",IF(F12&gt;=H12,"Baik","Perlu perbaikan"),IF(F12&lt;=H12,"Baik","Perlu perbaikan")))</f>
        <v/>
      </c>
      <c r="J12" s="8" t="inlineStr">
        <is>
          <t>Efisiensi overhead non-produksi.</t>
        </is>
      </c>
    </row>
    <row r="13">
      <c r="A13" s="61" t="n">
        <v>7</v>
      </c>
      <c r="B13" s="10" t="inlineStr">
        <is>
          <t>Royalti thd pendapatan</t>
        </is>
      </c>
      <c r="C13" s="3" t="inlineStr">
        <is>
          <t>Royalti ÷ pendapatan</t>
        </is>
      </c>
      <c r="D13" s="45" t="inlineStr">
        <is>
          <t>%</t>
        </is>
      </c>
      <c r="E13" s="42">
        <f>'A2 Laba Rugi Contoh'!C33/'A2 Laba Rugi Contoh'!C13</f>
        <v/>
      </c>
      <c r="F13" s="42">
        <f>'A2 Laba Rugi Contoh'!D33/'A2 Laba Rugi Contoh'!D13</f>
        <v/>
      </c>
      <c r="G13" s="11" t="inlineStr">
        <is>
          <t>Lower</t>
        </is>
      </c>
      <c r="H13" s="25" t="n">
        <v>0.07000000000000001</v>
      </c>
      <c r="I13" s="11">
        <f>IF(G13="Info","Informasi",IF(G13="Higher",IF(F13&gt;=H13,"Baik","Perlu perbaikan"),IF(F13&lt;=H13,"Baik","Perlu perbaikan")))</f>
        <v/>
      </c>
      <c r="J13" s="8" t="inlineStr">
        <is>
          <t>Tidak dapat dikendalikan – mengikuti harga &amp; regulasi.</t>
        </is>
      </c>
    </row>
    <row r="14">
      <c r="A14" s="4" t="inlineStr">
        <is>
          <t>C. PROFITABILITAS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1" t="n">
        <v>8</v>
      </c>
      <c r="B15" s="10" t="inlineStr">
        <is>
          <t>Marjin laba kotor</t>
        </is>
      </c>
      <c r="C15" s="3" t="inlineStr">
        <is>
          <t>Laba kotor ÷ pendapatan</t>
        </is>
      </c>
      <c r="D15" s="45" t="inlineStr">
        <is>
          <t>%</t>
        </is>
      </c>
      <c r="E15" s="42">
        <f>'A2 Laba Rugi Contoh'!C52</f>
        <v/>
      </c>
      <c r="F15" s="42">
        <f>'A2 Laba Rugi Contoh'!D52</f>
        <v/>
      </c>
      <c r="G15" s="11" t="inlineStr">
        <is>
          <t>Higher</t>
        </is>
      </c>
      <c r="H15" s="25" t="n">
        <v>0.28</v>
      </c>
      <c r="I15" s="11">
        <f>IF(G15="Info","Informasi",IF(G15="Higher",IF(F15&gt;=H15,"Baik","Perlu perbaikan"),IF(F15&lt;=H15,"Baik","Perlu perbaikan")))</f>
        <v/>
      </c>
      <c r="J15" s="8" t="inlineStr"/>
    </row>
    <row r="16">
      <c r="A16" s="61" t="n">
        <v>9</v>
      </c>
      <c r="B16" s="10" t="inlineStr">
        <is>
          <t>EBITDA</t>
        </is>
      </c>
      <c r="C16" s="3" t="inlineStr">
        <is>
          <t>Laba usaha + D&amp;A</t>
        </is>
      </c>
      <c r="D16" s="45" t="inlineStr">
        <is>
          <t>Rp juta</t>
        </is>
      </c>
      <c r="E16" s="28">
        <f>'A2 Laba Rugi Contoh'!C93</f>
        <v/>
      </c>
      <c r="F16" s="28">
        <f>'A2 Laba Rugi Contoh'!D93</f>
        <v/>
      </c>
      <c r="G16" s="11" t="inlineStr">
        <is>
          <t>Higher</t>
        </is>
      </c>
      <c r="H16" s="17" t="n">
        <v>3000000</v>
      </c>
      <c r="I16" s="11">
        <f>IF(G16="Info","Informasi",IF(G16="Higher",IF(F16&gt;=H16,"Baik","Perlu perbaikan"),IF(F16&lt;=H16,"Baik","Perlu perbaikan")))</f>
        <v/>
      </c>
      <c r="J16" s="8" t="inlineStr">
        <is>
          <t>Ukuran kas operasi sebelum modal kerja, pajak &amp; bunga.</t>
        </is>
      </c>
    </row>
    <row r="17">
      <c r="A17" s="61" t="n">
        <v>10</v>
      </c>
      <c r="B17" s="10" t="inlineStr">
        <is>
          <t>Marjin EBITDA</t>
        </is>
      </c>
      <c r="C17" s="3" t="inlineStr">
        <is>
          <t>EBITDA ÷ pendapatan</t>
        </is>
      </c>
      <c r="D17" s="45" t="inlineStr">
        <is>
          <t>%</t>
        </is>
      </c>
      <c r="E17" s="42">
        <f>'A2 Laba Rugi Contoh'!C94</f>
        <v/>
      </c>
      <c r="F17" s="42">
        <f>'A2 Laba Rugi Contoh'!D94</f>
        <v/>
      </c>
      <c r="G17" s="11" t="inlineStr">
        <is>
          <t>Higher</t>
        </is>
      </c>
      <c r="H17" s="25" t="n">
        <v>0.28</v>
      </c>
      <c r="I17" s="11">
        <f>IF(G17="Info","Informasi",IF(G17="Higher",IF(F17&gt;=H17,"Baik","Perlu perbaikan"),IF(F17&lt;=H17,"Baik","Perlu perbaikan")))</f>
        <v/>
      </c>
      <c r="J17" s="8" t="inlineStr"/>
    </row>
    <row r="18">
      <c r="A18" s="61" t="n">
        <v>11</v>
      </c>
      <c r="B18" s="10" t="inlineStr">
        <is>
          <t>EBITDA per ton</t>
        </is>
      </c>
      <c r="C18" s="3" t="inlineStr">
        <is>
          <t>EBITDA ÷ ton jual ÷ kurs</t>
        </is>
      </c>
      <c r="D18" s="45" t="inlineStr">
        <is>
          <t>USD/t</t>
        </is>
      </c>
      <c r="E18" s="39">
        <f>'A2 Laba Rugi Contoh'!C93*1000000/'A1 Asumsi Contoh'!C21/'A1 Asumsi Contoh'!C7</f>
        <v/>
      </c>
      <c r="F18" s="39">
        <f>'A2 Laba Rugi Contoh'!D93*1000000/'A1 Asumsi Contoh'!D21/'A1 Asumsi Contoh'!D7</f>
        <v/>
      </c>
      <c r="G18" s="11" t="inlineStr">
        <is>
          <t>Higher</t>
        </is>
      </c>
      <c r="H18" s="18" t="n">
        <v>16</v>
      </c>
      <c r="I18" s="11">
        <f>IF(G18="Info","Informasi",IF(G18="Higher",IF(F18&gt;=H18,"Baik","Perlu perbaikan"),IF(F18&lt;=H18,"Baik","Perlu perbaikan")))</f>
        <v/>
      </c>
      <c r="J18" s="8" t="inlineStr">
        <is>
          <t>Pembanding antar-perusahaan yang netral skala.</t>
        </is>
      </c>
    </row>
    <row r="19">
      <c r="A19" s="61" t="n">
        <v>12</v>
      </c>
      <c r="B19" s="10" t="inlineStr">
        <is>
          <t>Marjin laba usaha</t>
        </is>
      </c>
      <c r="C19" s="3" t="inlineStr">
        <is>
          <t>Laba usaha ÷ pendapatan</t>
        </is>
      </c>
      <c r="D19" s="45" t="inlineStr">
        <is>
          <t>%</t>
        </is>
      </c>
      <c r="E19" s="42">
        <f>'A2 Laba Rugi Contoh'!C77</f>
        <v/>
      </c>
      <c r="F19" s="42">
        <f>'A2 Laba Rugi Contoh'!D77</f>
        <v/>
      </c>
      <c r="G19" s="11" t="inlineStr">
        <is>
          <t>Higher</t>
        </is>
      </c>
      <c r="H19" s="25" t="n">
        <v>0.22</v>
      </c>
      <c r="I19" s="11">
        <f>IF(G19="Info","Informasi",IF(G19="Higher",IF(F19&gt;=H19,"Baik","Perlu perbaikan"),IF(F19&lt;=H19,"Baik","Perlu perbaikan")))</f>
        <v/>
      </c>
      <c r="J19" s="8" t="inlineStr"/>
    </row>
    <row r="20">
      <c r="A20" s="61" t="n">
        <v>13</v>
      </c>
      <c r="B20" s="10" t="inlineStr">
        <is>
          <t>Marjin laba bersih</t>
        </is>
      </c>
      <c r="C20" s="3" t="inlineStr">
        <is>
          <t>Laba bersih ÷ pendapatan</t>
        </is>
      </c>
      <c r="D20" s="45" t="inlineStr">
        <is>
          <t>%</t>
        </is>
      </c>
      <c r="E20" s="42">
        <f>'A2 Laba Rugi Contoh'!C90</f>
        <v/>
      </c>
      <c r="F20" s="42">
        <f>'A2 Laba Rugi Contoh'!D90</f>
        <v/>
      </c>
      <c r="G20" s="11" t="inlineStr">
        <is>
          <t>Higher</t>
        </is>
      </c>
      <c r="H20" s="25" t="n">
        <v>0.16</v>
      </c>
      <c r="I20" s="11">
        <f>IF(G20="Info","Informasi",IF(G20="Higher",IF(F20&gt;=H20,"Baik","Perlu perbaikan"),IF(F20&lt;=H20,"Baik","Perlu perbaikan")))</f>
        <v/>
      </c>
      <c r="J20" s="8" t="inlineStr"/>
    </row>
    <row r="21">
      <c r="A21" s="4" t="inlineStr">
        <is>
          <t>D. HARGA vs BIAYA PER TON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>
      <c r="A22" s="61" t="n">
        <v>14</v>
      </c>
      <c r="B22" s="10" t="inlineStr">
        <is>
          <t>ASP blended</t>
        </is>
      </c>
      <c r="C22" s="3" t="inlineStr">
        <is>
          <t>Penjualan batubara neto ÷ ton</t>
        </is>
      </c>
      <c r="D22" s="45" t="inlineStr">
        <is>
          <t>USD/t</t>
        </is>
      </c>
      <c r="E22" s="39">
        <f>'B2 COP dan KPI'!G29</f>
        <v/>
      </c>
      <c r="F22" s="39">
        <f>'B2 COP dan KPI'!H29</f>
        <v/>
      </c>
      <c r="G22" s="11" t="inlineStr">
        <is>
          <t>Higher</t>
        </is>
      </c>
      <c r="H22" s="18" t="n">
        <v>58</v>
      </c>
      <c r="I22" s="11">
        <f>IF(G22="Info","Informasi",IF(G22="Higher",IF(F22&gt;=H22,"Baik","Perlu perbaikan"),IF(F22&lt;=H22,"Baik","Perlu perbaikan")))</f>
        <v/>
      </c>
      <c r="J22" s="8" t="inlineStr"/>
    </row>
    <row r="23">
      <c r="A23" s="61" t="n">
        <v>15</v>
      </c>
      <c r="B23" s="10" t="inlineStr">
        <is>
          <t>Realisasi harga ekspor vs indeks</t>
        </is>
      </c>
      <c r="C23" s="3" t="inlineStr">
        <is>
          <t>ASP ekspor ÷ indeks acuan</t>
        </is>
      </c>
      <c r="D23" s="45" t="inlineStr">
        <is>
          <t>%</t>
        </is>
      </c>
      <c r="E23" s="42">
        <f>'A1 Asumsi Contoh'!C9/'A1 Asumsi Contoh'!C8</f>
        <v/>
      </c>
      <c r="F23" s="42">
        <f>'A1 Asumsi Contoh'!D9/'A1 Asumsi Contoh'!D8</f>
        <v/>
      </c>
      <c r="G23" s="11" t="inlineStr">
        <is>
          <t>Higher</t>
        </is>
      </c>
      <c r="H23" s="25" t="n">
        <v>0.95</v>
      </c>
      <c r="I23" s="11">
        <f>IF(G23="Info","Informasi",IF(G23="Higher",IF(F23&gt;=H23,"Baik","Perlu perbaikan"),IF(F23&lt;=H23,"Baik","Perlu perbaikan")))</f>
        <v/>
      </c>
      <c r="J23" s="8" t="inlineStr">
        <is>
          <t>Mengukur kualitas pemasaran &amp; spesifikasi produk.</t>
        </is>
      </c>
    </row>
    <row r="24">
      <c r="A24" s="61" t="n">
        <v>16</v>
      </c>
      <c r="B24" s="10" t="inlineStr">
        <is>
          <t>Total cash cost</t>
        </is>
      </c>
      <c r="C24" s="3" t="inlineStr">
        <is>
          <t>Lihat B2</t>
        </is>
      </c>
      <c r="D24" s="45" t="inlineStr">
        <is>
          <t>USD/t</t>
        </is>
      </c>
      <c r="E24" s="39">
        <f>'B2 COP dan KPI'!G25</f>
        <v/>
      </c>
      <c r="F24" s="39">
        <f>'B2 COP dan KPI'!H25</f>
        <v/>
      </c>
      <c r="G24" s="11" t="inlineStr">
        <is>
          <t>Lower</t>
        </is>
      </c>
      <c r="H24" s="18" t="n">
        <v>43</v>
      </c>
      <c r="I24" s="11">
        <f>IF(G24="Info","Informasi",IF(G24="Higher",IF(F24&gt;=H24,"Baik","Perlu perbaikan"),IF(F24&lt;=H24,"Baik","Perlu perbaikan")))</f>
        <v/>
      </c>
      <c r="J24" s="8" t="inlineStr"/>
    </row>
    <row r="25">
      <c r="A25" s="61" t="n">
        <v>17</v>
      </c>
      <c r="B25" s="10" t="inlineStr">
        <is>
          <t>Marjin kas per ton</t>
        </is>
      </c>
      <c r="C25" s="3" t="inlineStr">
        <is>
          <t>ASP – total cash cost</t>
        </is>
      </c>
      <c r="D25" s="45" t="inlineStr">
        <is>
          <t>USD/t</t>
        </is>
      </c>
      <c r="E25" s="39">
        <f>'B2 COP dan KPI'!G30</f>
        <v/>
      </c>
      <c r="F25" s="39">
        <f>'B2 COP dan KPI'!H30</f>
        <v/>
      </c>
      <c r="G25" s="11" t="inlineStr">
        <is>
          <t>Higher</t>
        </is>
      </c>
      <c r="H25" s="18" t="n">
        <v>15</v>
      </c>
      <c r="I25" s="11">
        <f>IF(G25="Info","Informasi",IF(G25="Higher",IF(F25&gt;=H25,"Baik","Perlu perbaikan"),IF(F25&lt;=H25,"Baik","Perlu perbaikan")))</f>
        <v/>
      </c>
      <c r="J25" s="8" t="inlineStr"/>
    </row>
    <row r="26">
      <c r="A26" s="61" t="n">
        <v>18</v>
      </c>
      <c r="B26" s="10" t="inlineStr">
        <is>
          <t>Harga impas kas (cash breakeven)</t>
        </is>
      </c>
      <c r="C26" s="3" t="inlineStr">
        <is>
          <t>(Total cash cost + bunga) per ton</t>
        </is>
      </c>
      <c r="D26" s="45" t="inlineStr">
        <is>
          <t>USD/t</t>
        </is>
      </c>
      <c r="E26" s="39">
        <f>'B2 COP dan KPI'!G25-'A2 Laba Rugi Contoh'!C81*1000000/'A1 Asumsi Contoh'!C21/'A1 Asumsi Contoh'!C7</f>
        <v/>
      </c>
      <c r="F26" s="39">
        <f>'B2 COP dan KPI'!H25-'A2 Laba Rugi Contoh'!D81*1000000/'A1 Asumsi Contoh'!D21/'A1 Asumsi Contoh'!D7</f>
        <v/>
      </c>
      <c r="G26" s="11" t="inlineStr">
        <is>
          <t>Lower</t>
        </is>
      </c>
      <c r="H26" s="18" t="n">
        <v>45</v>
      </c>
      <c r="I26" s="11">
        <f>IF(G26="Info","Informasi",IF(G26="Higher",IF(F26&gt;=H26,"Baik","Perlu perbaikan"),IF(F26&lt;=H26,"Baik","Perlu perbaikan")))</f>
        <v/>
      </c>
      <c r="J26" s="8" t="inlineStr">
        <is>
          <t>Harga minimum agar kas operasi tidak negatif.</t>
        </is>
      </c>
    </row>
    <row r="27">
      <c r="A27" s="61" t="n">
        <v>19</v>
      </c>
      <c r="B27" s="10" t="inlineStr">
        <is>
          <t>Margin of safety harga</t>
        </is>
      </c>
      <c r="C27" s="3" t="inlineStr">
        <is>
          <t>(ASP – harga impas) ÷ ASP</t>
        </is>
      </c>
      <c r="D27" s="45" t="inlineStr">
        <is>
          <t>%</t>
        </is>
      </c>
      <c r="E27" s="42">
        <f>IFERROR(('B2 COP dan KPI'!G29-E26)/'B2 COP dan KPI'!G29,0)</f>
        <v/>
      </c>
      <c r="F27" s="42">
        <f>IFERROR(('B2 COP dan KPI'!H29-F26)/'B2 COP dan KPI'!H29,0)</f>
        <v/>
      </c>
      <c r="G27" s="11" t="inlineStr">
        <is>
          <t>Higher</t>
        </is>
      </c>
      <c r="H27" s="25" t="n">
        <v>0.2</v>
      </c>
      <c r="I27" s="11">
        <f>IF(G27="Info","Informasi",IF(G27="Higher",IF(F27&gt;=H27,"Baik","Perlu perbaikan"),IF(F27&lt;=H27,"Baik","Perlu perbaikan")))</f>
        <v/>
      </c>
      <c r="J27" s="8" t="inlineStr">
        <is>
          <t>Ketahanan terhadap penurunan harga batubara.</t>
        </is>
      </c>
    </row>
    <row r="28">
      <c r="A28" s="61" t="n">
        <v>20</v>
      </c>
      <c r="B28" s="10" t="inlineStr">
        <is>
          <t>Degree of operating leverage (DOL)</t>
        </is>
      </c>
      <c r="C28" s="3" t="inlineStr">
        <is>
          <t>%Δ laba usaha ÷ %Δ pendapatan</t>
        </is>
      </c>
      <c r="D28" s="45" t="inlineStr">
        <is>
          <t>x</t>
        </is>
      </c>
      <c r="E28" s="62" t="inlineStr">
        <is>
          <t>n/a</t>
        </is>
      </c>
      <c r="F28" s="64">
        <f>IFERROR(('A2 Laba Rugi Contoh'!D76/'A2 Laba Rugi Contoh'!C76-1)/F6,0)</f>
        <v/>
      </c>
      <c r="G28" s="11" t="inlineStr">
        <is>
          <t>Info</t>
        </is>
      </c>
      <c r="I28" s="11">
        <f>IF(G28="Info","Informasi",IF(G28="Higher",IF(F28&gt;=H28,"Baik","Perlu perbaikan"),IF(F28&lt;=H28,"Baik","Perlu perbaikan")))</f>
        <v/>
      </c>
      <c r="J28" s="8" t="inlineStr">
        <is>
          <t>DOL tinggi = laba sangat sensitif thd perubahan pendapatan.</t>
        </is>
      </c>
    </row>
    <row r="29">
      <c r="A29" s="4" t="inlineStr">
        <is>
          <t>E. KAS, LEVERAGE &amp; IMBAL HASIL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>
      <c r="A30" s="61" t="n">
        <v>21</v>
      </c>
      <c r="B30" s="10" t="inlineStr">
        <is>
          <t>Interest coverage</t>
        </is>
      </c>
      <c r="C30" s="3" t="inlineStr">
        <is>
          <t>EBITDA ÷ beban bunga</t>
        </is>
      </c>
      <c r="D30" s="45" t="inlineStr">
        <is>
          <t>x</t>
        </is>
      </c>
      <c r="E30" s="64">
        <f>IFERROR('A2 Laba Rugi Contoh'!C93/-'A2 Laba Rugi Contoh'!C81,0)</f>
        <v/>
      </c>
      <c r="F30" s="64">
        <f>IFERROR('A2 Laba Rugi Contoh'!D93/-'A2 Laba Rugi Contoh'!D81,0)</f>
        <v/>
      </c>
      <c r="G30" s="11" t="inlineStr">
        <is>
          <t>Higher</t>
        </is>
      </c>
      <c r="H30" s="65" t="n">
        <v>5</v>
      </c>
      <c r="I30" s="11">
        <f>IF(G30="Info","Informasi",IF(G30="Higher",IF(F30&gt;=H30,"Baik","Perlu perbaikan"),IF(F30&lt;=H30,"Baik","Perlu perbaikan")))</f>
        <v/>
      </c>
      <c r="J30" s="8" t="inlineStr"/>
    </row>
    <row r="31">
      <c r="A31" s="61" t="n">
        <v>22</v>
      </c>
      <c r="B31" s="10" t="inlineStr">
        <is>
          <t>Konversi kas (cash conversion)</t>
        </is>
      </c>
      <c r="C31" s="3" t="inlineStr">
        <is>
          <t>CFO ÷ EBITDA</t>
        </is>
      </c>
      <c r="D31" s="45" t="inlineStr">
        <is>
          <t>%</t>
        </is>
      </c>
      <c r="E31" s="42">
        <f>'A4 Arus Kas Contoh'!C25/'A2 Laba Rugi Contoh'!C93</f>
        <v/>
      </c>
      <c r="F31" s="42">
        <f>'A4 Arus Kas Contoh'!D25/'A2 Laba Rugi Contoh'!D93</f>
        <v/>
      </c>
      <c r="G31" s="11" t="inlineStr">
        <is>
          <t>Higher</t>
        </is>
      </c>
      <c r="H31" s="25" t="n">
        <v>0.8</v>
      </c>
      <c r="I31" s="11">
        <f>IF(G31="Info","Informasi",IF(G31="Higher",IF(F31&gt;=H31,"Baik","Perlu perbaikan"),IF(F31&lt;=H31,"Baik","Perlu perbaikan")))</f>
        <v/>
      </c>
      <c r="J31" s="8" t="inlineStr">
        <is>
          <t>Kualitas laba – seberapa banyak EBITDA menjadi kas.</t>
        </is>
      </c>
    </row>
    <row r="32">
      <c r="A32" s="61" t="n">
        <v>23</v>
      </c>
      <c r="B32" s="10" t="inlineStr">
        <is>
          <t>ROE</t>
        </is>
      </c>
      <c r="C32" s="3" t="inlineStr">
        <is>
          <t>Laba bersih ÷ ekuitas rata-rata</t>
        </is>
      </c>
      <c r="D32" s="45" t="inlineStr">
        <is>
          <t>%</t>
        </is>
      </c>
      <c r="E32" s="42">
        <f>'A2 Laba Rugi Contoh'!C89/(('A3 Neraca Contoh'!D51+'A3 Neraca Contoh'!C51)/2)</f>
        <v/>
      </c>
      <c r="F32" s="42">
        <f>'A2 Laba Rugi Contoh'!D89/(('A3 Neraca Contoh'!E51+'A3 Neraca Contoh'!D51)/2)</f>
        <v/>
      </c>
      <c r="G32" s="11" t="inlineStr">
        <is>
          <t>Higher</t>
        </is>
      </c>
      <c r="H32" s="25" t="n">
        <v>0.2</v>
      </c>
      <c r="I32" s="11">
        <f>IF(G32="Info","Informasi",IF(G32="Higher",IF(F32&gt;=H32,"Baik","Perlu perbaikan"),IF(F32&lt;=H32,"Baik","Perlu perbaikan")))</f>
        <v/>
      </c>
      <c r="J32" s="8" t="inlineStr"/>
    </row>
    <row r="33">
      <c r="A33" s="61" t="n">
        <v>24</v>
      </c>
      <c r="B33" s="10" t="inlineStr">
        <is>
          <t>ROA</t>
        </is>
      </c>
      <c r="C33" s="3" t="inlineStr">
        <is>
          <t>Laba bersih ÷ aset rata-rata</t>
        </is>
      </c>
      <c r="D33" s="45" t="inlineStr">
        <is>
          <t>%</t>
        </is>
      </c>
      <c r="E33" s="42">
        <f>'A2 Laba Rugi Contoh'!C89/(('A3 Neraca Contoh'!D26+'A3 Neraca Contoh'!C26)/2)</f>
        <v/>
      </c>
      <c r="F33" s="42">
        <f>'A2 Laba Rugi Contoh'!D89/(('A3 Neraca Contoh'!E26+'A3 Neraca Contoh'!D26)/2)</f>
        <v/>
      </c>
      <c r="G33" s="11" t="inlineStr">
        <is>
          <t>Higher</t>
        </is>
      </c>
      <c r="H33" s="25" t="n">
        <v>0.12</v>
      </c>
      <c r="I33" s="11">
        <f>IF(G33="Info","Informasi",IF(G33="Higher",IF(F33&gt;=H33,"Baik","Perlu perbaikan"),IF(F33&lt;=H33,"Baik","Perlu perbaikan")))</f>
        <v/>
      </c>
      <c r="J33" s="8" t="inlineStr"/>
    </row>
    <row r="34">
      <c r="A34" s="61" t="n">
        <v>25</v>
      </c>
      <c r="B34" s="10" t="inlineStr">
        <is>
          <t>Debt to equity (DER)</t>
        </is>
      </c>
      <c r="C34" s="3" t="inlineStr">
        <is>
          <t>Pinjaman ÷ ekuitas</t>
        </is>
      </c>
      <c r="D34" s="45" t="inlineStr">
        <is>
          <t>x</t>
        </is>
      </c>
      <c r="E34" s="64">
        <f>('A3 Neraca Contoh'!D34+'A3 Neraca Contoh'!D35+'A3 Neraca Contoh'!D38)/'A3 Neraca Contoh'!D51</f>
        <v/>
      </c>
      <c r="F34" s="64">
        <f>('A3 Neraca Contoh'!E34+'A3 Neraca Contoh'!E35+'A3 Neraca Contoh'!E38)/'A3 Neraca Contoh'!E51</f>
        <v/>
      </c>
      <c r="G34" s="11" t="inlineStr">
        <is>
          <t>Lower</t>
        </is>
      </c>
      <c r="H34" s="65" t="n">
        <v>0.5</v>
      </c>
      <c r="I34" s="11">
        <f>IF(G34="Info","Informasi",IF(G34="Higher",IF(F34&gt;=H34,"Baik","Perlu perbaikan"),IF(F34&lt;=H34,"Baik","Perlu perbaikan")))</f>
        <v/>
      </c>
      <c r="J34" s="8" t="inlineStr"/>
    </row>
    <row r="35">
      <c r="A35" s="61" t="n">
        <v>26</v>
      </c>
      <c r="B35" s="10" t="inlineStr">
        <is>
          <t>Net debt ÷ EBITDA</t>
        </is>
      </c>
      <c r="C35" s="3" t="inlineStr">
        <is>
          <t>(Pinjaman – kas) ÷ EBITDA</t>
        </is>
      </c>
      <c r="D35" s="45" t="inlineStr">
        <is>
          <t>x</t>
        </is>
      </c>
      <c r="E35" s="64">
        <f>(('A3 Neraca Contoh'!D34+'A3 Neraca Contoh'!D35+'A3 Neraca Contoh'!D38)-'A3 Neraca Contoh'!D8)/'A2 Laba Rugi Contoh'!C93</f>
        <v/>
      </c>
      <c r="F35" s="64">
        <f>(('A3 Neraca Contoh'!E34+'A3 Neraca Contoh'!E35+'A3 Neraca Contoh'!E38)-'A3 Neraca Contoh'!E8)/'A2 Laba Rugi Contoh'!D93</f>
        <v/>
      </c>
      <c r="G35" s="11" t="inlineStr">
        <is>
          <t>Lower</t>
        </is>
      </c>
      <c r="H35" s="65" t="n">
        <v>1</v>
      </c>
      <c r="I35" s="11">
        <f>IF(G35="Info","Informasi",IF(G35="Higher",IF(F35&gt;=H35,"Baik","Perlu perbaikan"),IF(F35&lt;=H35,"Baik","Perlu perbaikan")))</f>
        <v/>
      </c>
      <c r="J35" s="8" t="inlineStr">
        <is>
          <t>Negatif = posisi kas neto.</t>
        </is>
      </c>
    </row>
    <row r="36">
      <c r="A36" s="61" t="n">
        <v>27</v>
      </c>
      <c r="B36" s="10" t="inlineStr">
        <is>
          <t>Current ratio</t>
        </is>
      </c>
      <c r="C36" s="3" t="inlineStr">
        <is>
          <t>Aset lancar ÷ liabilitas lancar</t>
        </is>
      </c>
      <c r="D36" s="45" t="inlineStr">
        <is>
          <t>x</t>
        </is>
      </c>
      <c r="E36" s="64">
        <f>'A3 Neraca Contoh'!D15/'A3 Neraca Contoh'!D36</f>
        <v/>
      </c>
      <c r="F36" s="64">
        <f>'A3 Neraca Contoh'!E15/'A3 Neraca Contoh'!E36</f>
        <v/>
      </c>
      <c r="G36" s="11" t="inlineStr">
        <is>
          <t>Higher</t>
        </is>
      </c>
      <c r="H36" s="65" t="n">
        <v>1.5</v>
      </c>
      <c r="I36" s="11">
        <f>IF(G36="Info","Informasi",IF(G36="Higher",IF(F36&gt;=H36,"Baik","Perlu perbaikan"),IF(F36&lt;=H36,"Baik","Perlu perbaikan")))</f>
        <v/>
      </c>
      <c r="J36" s="8" t="inlineStr"/>
    </row>
    <row r="38">
      <c r="A38" s="4" t="inlineStr">
        <is>
          <t>RINGKASAN PENILAIAN MANAJEMEN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B39" s="10" t="inlineStr">
        <is>
          <t>Jumlah KPI "Baik"</t>
        </is>
      </c>
      <c r="F39" s="19">
        <f>COUNTIF(I5:I36,"Baik")</f>
        <v/>
      </c>
    </row>
    <row r="40">
      <c r="B40" s="10" t="inlineStr">
        <is>
          <t>Jumlah KPI "Perlu perbaikan"</t>
        </is>
      </c>
      <c r="F40" s="19">
        <f>COUNTIF(I5:I36,"Perlu perbaikan")</f>
        <v/>
      </c>
    </row>
    <row r="41">
      <c r="B41" s="10" t="inlineStr">
        <is>
          <t>Persentase KPI tercapai</t>
        </is>
      </c>
      <c r="F41" s="66">
        <f>IFERROR(F39/(F39+F40),0)</f>
        <v/>
      </c>
    </row>
    <row r="42">
      <c r="B42" s="10" t="inlineStr">
        <is>
          <t>Kesimpulan otomatis</t>
        </is>
      </c>
      <c r="F42" s="46">
        <f>IF(F41&gt;=0.8,"Kinerja manajemen BAIK – pertahankan disiplin biaya",IF(F41&gt;=0.6,"Kinerja CUKUP – fokus pada KPI merah","Kinerja KURANG – perlu rencana perbaikan biaya &amp; harga"))</f>
        <v/>
      </c>
    </row>
    <row r="44">
      <c r="B44" s="67" t="inlineStr">
        <is>
          <t>Cara membaca: nilai kinerja manajemen dari KPI yang dapat dikendalikan (cash cost excl. royalti, fuel ratio, USD/bcm, beban usaha/pendapatan),</t>
        </is>
      </c>
    </row>
    <row r="45">
      <c r="B45" s="67" t="inlineStr">
        <is>
          <t>bukan dari KPI yang digerakkan pasar (harga indeks, kurs, royalti). Gunakan jembatan EBITDA di B4 untuk memisahkan efek pasar vs efek manajemen.</t>
        </is>
      </c>
    </row>
  </sheetData>
  <conditionalFormatting sqref="I5:I37">
    <cfRule type="cellIs" priority="1" operator="equal" dxfId="0">
      <formula>"Baik"</formula>
    </cfRule>
    <cfRule type="cellIs" priority="2" operator="equal" dxfId="1">
      <formula>"Perlu perbaikan"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O6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18" customWidth="1" min="2" max="2"/>
    <col width="14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16" customWidth="1" min="9" max="9"/>
    <col width="15" customWidth="1" min="10" max="10"/>
    <col width="14" customWidth="1" min="11" max="11"/>
    <col width="16" customWidth="1" min="12" max="12"/>
    <col width="18" customWidth="1" min="13" max="13"/>
    <col width="16" customWidth="1" min="14" max="14"/>
    <col width="14" customWidth="1" min="15" max="15"/>
  </cols>
  <sheetData>
    <row r="1">
      <c r="A1" s="1" t="inlineStr">
        <is>
          <t>Analisa Efisiensi Biaya – Efek Volume vs Efek Tarif/Efisiensi &amp; Jembatan EBITDA (FY2025 vs FY2024)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Efek volume = biaya/unit 2024 × Δvolume; efek tarif = Δbiaya/unit × volume 2025; efek kurs = porsi efek tarif akibat perubahan Rp/USD (item berbasis USD).</t>
        </is>
      </c>
    </row>
    <row r="4">
      <c r="A4" s="4" t="inlineStr">
        <is>
          <t>1. ANALISA VARIANS BIAYA PER KOMPONEN (Rp juta)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</row>
    <row r="5">
      <c r="A5" s="16" t="inlineStr">
        <is>
          <t>Komponen biaya</t>
        </is>
      </c>
      <c r="B5" s="16" t="inlineStr">
        <is>
          <t>Pemicu volume</t>
        </is>
      </c>
      <c r="C5" s="16" t="inlineStr">
        <is>
          <t>Mata uang tarif</t>
        </is>
      </c>
      <c r="D5" s="16" t="inlineStr">
        <is>
          <t>Volume 2024</t>
        </is>
      </c>
      <c r="E5" s="16" t="inlineStr">
        <is>
          <t>Volume 2025</t>
        </is>
      </c>
      <c r="F5" s="16" t="inlineStr">
        <is>
          <t>Biaya 2024</t>
        </is>
      </c>
      <c r="G5" s="16" t="inlineStr">
        <is>
          <t>Biaya 2025</t>
        </is>
      </c>
      <c r="H5" s="16" t="inlineStr">
        <is>
          <t>Biaya/unit 2024 (Rp)</t>
        </is>
      </c>
      <c r="I5" s="16" t="inlineStr">
        <is>
          <t>Biaya/unit 2025 (Rp)</t>
        </is>
      </c>
      <c r="J5" s="16" t="inlineStr">
        <is>
          <t>Δ Total</t>
        </is>
      </c>
      <c r="K5" s="16" t="inlineStr">
        <is>
          <t>Efek volume</t>
        </is>
      </c>
      <c r="L5" s="16" t="inlineStr">
        <is>
          <t>Efek tarif / efisiensi</t>
        </is>
      </c>
      <c r="M5" s="16" t="inlineStr">
        <is>
          <t>Efek kurs (bagian dari efek tarif)</t>
        </is>
      </c>
      <c r="N5" s="16" t="inlineStr">
        <is>
          <t>Efisiensi riil (excl. kurs)</t>
        </is>
      </c>
      <c r="O5" s="16" t="inlineStr">
        <is>
          <t>Penilaian</t>
        </is>
      </c>
    </row>
    <row r="6">
      <c r="A6" s="10" t="inlineStr">
        <is>
          <t>Jasa kontraktor OB</t>
        </is>
      </c>
      <c r="B6" s="3" t="inlineStr">
        <is>
          <t>per bcm OB</t>
        </is>
      </c>
      <c r="C6" s="11" t="inlineStr">
        <is>
          <t>USD</t>
        </is>
      </c>
      <c r="D6" s="28">
        <f>'A1 Asumsi Contoh'!C16</f>
        <v/>
      </c>
      <c r="E6" s="28">
        <f>'A1 Asumsi Contoh'!D16</f>
        <v/>
      </c>
      <c r="F6" s="28">
        <f>'A2 Laba Rugi Contoh'!C17</f>
        <v/>
      </c>
      <c r="G6" s="28">
        <f>'A2 Laba Rugi Contoh'!D17</f>
        <v/>
      </c>
      <c r="H6" s="47">
        <f>IFERROR(F6*1000000/D6,0)</f>
        <v/>
      </c>
      <c r="I6" s="47">
        <f>IFERROR(G6*1000000/E6,0)</f>
        <v/>
      </c>
      <c r="J6" s="19">
        <f>G6-F6</f>
        <v/>
      </c>
      <c r="K6" s="19">
        <f>H6*(E6-D6)/1000000</f>
        <v/>
      </c>
      <c r="L6" s="19">
        <f>(I6-H6)*E6/1000000</f>
        <v/>
      </c>
      <c r="M6" s="28">
        <f>IF(C6="USD",G6*(1-'A1 Asumsi Contoh'!C7/'A1 Asumsi Contoh'!D7),0)</f>
        <v/>
      </c>
      <c r="N6" s="19">
        <f>L6-M6</f>
        <v/>
      </c>
      <c r="O6" s="11">
        <f>IF(N6&lt;=0,"Efisien","Tidak efisien")</f>
        <v/>
      </c>
    </row>
    <row r="7">
      <c r="A7" s="10" t="inlineStr">
        <is>
          <t>BBM</t>
        </is>
      </c>
      <c r="B7" s="3" t="inlineStr">
        <is>
          <t>per bcm OB</t>
        </is>
      </c>
      <c r="C7" s="11" t="inlineStr">
        <is>
          <t>Rp</t>
        </is>
      </c>
      <c r="D7" s="28">
        <f>'A1 Asumsi Contoh'!C16</f>
        <v/>
      </c>
      <c r="E7" s="28">
        <f>'A1 Asumsi Contoh'!D16</f>
        <v/>
      </c>
      <c r="F7" s="28">
        <f>'A2 Laba Rugi Contoh'!C18</f>
        <v/>
      </c>
      <c r="G7" s="28">
        <f>'A2 Laba Rugi Contoh'!D18</f>
        <v/>
      </c>
      <c r="H7" s="47">
        <f>IFERROR(F7*1000000/D7,0)</f>
        <v/>
      </c>
      <c r="I7" s="47">
        <f>IFERROR(G7*1000000/E7,0)</f>
        <v/>
      </c>
      <c r="J7" s="19">
        <f>G7-F7</f>
        <v/>
      </c>
      <c r="K7" s="19">
        <f>H7*(E7-D7)/1000000</f>
        <v/>
      </c>
      <c r="L7" s="19">
        <f>(I7-H7)*E7/1000000</f>
        <v/>
      </c>
      <c r="M7" s="28">
        <f>IF(C7="USD",G7*(1-'A1 Asumsi Contoh'!C7/'A1 Asumsi Contoh'!D7),0)</f>
        <v/>
      </c>
      <c r="N7" s="19">
        <f>L7-M7</f>
        <v/>
      </c>
      <c r="O7" s="11">
        <f>IF(N7&lt;=0,"Efisien","Tidak efisien")</f>
        <v/>
      </c>
    </row>
    <row r="8">
      <c r="A8" s="10" t="inlineStr">
        <is>
          <t>Peledakan</t>
        </is>
      </c>
      <c r="B8" s="3" t="inlineStr">
        <is>
          <t>per bcm OB</t>
        </is>
      </c>
      <c r="C8" s="11" t="inlineStr">
        <is>
          <t>USD</t>
        </is>
      </c>
      <c r="D8" s="28">
        <f>'A1 Asumsi Contoh'!C16</f>
        <v/>
      </c>
      <c r="E8" s="28">
        <f>'A1 Asumsi Contoh'!D16</f>
        <v/>
      </c>
      <c r="F8" s="28">
        <f>'A2 Laba Rugi Contoh'!C19</f>
        <v/>
      </c>
      <c r="G8" s="28">
        <f>'A2 Laba Rugi Contoh'!D19</f>
        <v/>
      </c>
      <c r="H8" s="47">
        <f>IFERROR(F8*1000000/D8,0)</f>
        <v/>
      </c>
      <c r="I8" s="47">
        <f>IFERROR(G8*1000000/E8,0)</f>
        <v/>
      </c>
      <c r="J8" s="19">
        <f>G8-F8</f>
        <v/>
      </c>
      <c r="K8" s="19">
        <f>H8*(E8-D8)/1000000</f>
        <v/>
      </c>
      <c r="L8" s="19">
        <f>(I8-H8)*E8/1000000</f>
        <v/>
      </c>
      <c r="M8" s="28">
        <f>IF(C8="USD",G8*(1-'A1 Asumsi Contoh'!C7/'A1 Asumsi Contoh'!D7),0)</f>
        <v/>
      </c>
      <c r="N8" s="19">
        <f>L8-M8</f>
        <v/>
      </c>
      <c r="O8" s="11">
        <f>IF(N8&lt;=0,"Efisien","Tidak efisien")</f>
        <v/>
      </c>
    </row>
    <row r="9">
      <c r="A9" s="10" t="inlineStr">
        <is>
          <t>Coal getting</t>
        </is>
      </c>
      <c r="B9" s="3" t="inlineStr">
        <is>
          <t>per ton produksi</t>
        </is>
      </c>
      <c r="C9" s="11" t="inlineStr">
        <is>
          <t>USD</t>
        </is>
      </c>
      <c r="D9" s="28">
        <f>'A1 Asumsi Contoh'!C14</f>
        <v/>
      </c>
      <c r="E9" s="28">
        <f>'A1 Asumsi Contoh'!D14</f>
        <v/>
      </c>
      <c r="F9" s="28">
        <f>'A2 Laba Rugi Contoh'!C20</f>
        <v/>
      </c>
      <c r="G9" s="28">
        <f>'A2 Laba Rugi Contoh'!D20</f>
        <v/>
      </c>
      <c r="H9" s="47">
        <f>IFERROR(F9*1000000/D9,0)</f>
        <v/>
      </c>
      <c r="I9" s="47">
        <f>IFERROR(G9*1000000/E9,0)</f>
        <v/>
      </c>
      <c r="J9" s="19">
        <f>G9-F9</f>
        <v/>
      </c>
      <c r="K9" s="19">
        <f>H9*(E9-D9)/1000000</f>
        <v/>
      </c>
      <c r="L9" s="19">
        <f>(I9-H9)*E9/1000000</f>
        <v/>
      </c>
      <c r="M9" s="28">
        <f>IF(C9="USD",G9*(1-'A1 Asumsi Contoh'!C7/'A1 Asumsi Contoh'!D7),0)</f>
        <v/>
      </c>
      <c r="N9" s="19">
        <f>L9-M9</f>
        <v/>
      </c>
      <c r="O9" s="11">
        <f>IF(N9&lt;=0,"Efisien","Tidak efisien")</f>
        <v/>
      </c>
    </row>
    <row r="10">
      <c r="A10" s="10" t="inlineStr">
        <is>
          <t>Biaya tambang tetap (sewa, pemeliharaan, dewatering, survei)</t>
        </is>
      </c>
      <c r="B10" s="3" t="inlineStr">
        <is>
          <t>per ton produksi</t>
        </is>
      </c>
      <c r="C10" s="11" t="inlineStr">
        <is>
          <t>Rp</t>
        </is>
      </c>
      <c r="D10" s="28">
        <f>'A1 Asumsi Contoh'!C14</f>
        <v/>
      </c>
      <c r="E10" s="28">
        <f>'A1 Asumsi Contoh'!D14</f>
        <v/>
      </c>
      <c r="F10" s="28">
        <f>'A2 Laba Rugi Contoh'!C21+'A2 Laba Rugi Contoh'!C22+'A2 Laba Rugi Contoh'!C23+'A2 Laba Rugi Contoh'!C24</f>
        <v/>
      </c>
      <c r="G10" s="28">
        <f>'A2 Laba Rugi Contoh'!D21+'A2 Laba Rugi Contoh'!D22+'A2 Laba Rugi Contoh'!D23+'A2 Laba Rugi Contoh'!D24</f>
        <v/>
      </c>
      <c r="H10" s="47">
        <f>IFERROR(F10*1000000/D10,0)</f>
        <v/>
      </c>
      <c r="I10" s="47">
        <f>IFERROR(G10*1000000/E10,0)</f>
        <v/>
      </c>
      <c r="J10" s="19">
        <f>G10-F10</f>
        <v/>
      </c>
      <c r="K10" s="19">
        <f>H10*(E10-D10)/1000000</f>
        <v/>
      </c>
      <c r="L10" s="19">
        <f>(I10-H10)*E10/1000000</f>
        <v/>
      </c>
      <c r="M10" s="28">
        <f>IF(C10="USD",G10*(1-'A1 Asumsi Contoh'!C7/'A1 Asumsi Contoh'!D7),0)</f>
        <v/>
      </c>
      <c r="N10" s="19">
        <f>L10-M10</f>
        <v/>
      </c>
      <c r="O10" s="11">
        <f>IF(N10&lt;=0,"Efisien","Tidak efisien")</f>
        <v/>
      </c>
    </row>
    <row r="11">
      <c r="A11" s="10" t="inlineStr">
        <is>
          <t>Crushing &amp; pengolahan</t>
        </is>
      </c>
      <c r="B11" s="3" t="inlineStr">
        <is>
          <t>per ton produksi</t>
        </is>
      </c>
      <c r="C11" s="11" t="inlineStr">
        <is>
          <t>USD</t>
        </is>
      </c>
      <c r="D11" s="28">
        <f>'A1 Asumsi Contoh'!C14</f>
        <v/>
      </c>
      <c r="E11" s="28">
        <f>'A1 Asumsi Contoh'!D14</f>
        <v/>
      </c>
      <c r="F11" s="28">
        <f>'A2 Laba Rugi Contoh'!C27</f>
        <v/>
      </c>
      <c r="G11" s="28">
        <f>'A2 Laba Rugi Contoh'!D27</f>
        <v/>
      </c>
      <c r="H11" s="47">
        <f>IFERROR(F11*1000000/D11,0)</f>
        <v/>
      </c>
      <c r="I11" s="47">
        <f>IFERROR(G11*1000000/E11,0)</f>
        <v/>
      </c>
      <c r="J11" s="19">
        <f>G11-F11</f>
        <v/>
      </c>
      <c r="K11" s="19">
        <f>H11*(E11-D11)/1000000</f>
        <v/>
      </c>
      <c r="L11" s="19">
        <f>(I11-H11)*E11/1000000</f>
        <v/>
      </c>
      <c r="M11" s="28">
        <f>IF(C11="USD",G11*(1-'A1 Asumsi Contoh'!C7/'A1 Asumsi Contoh'!D7),0)</f>
        <v/>
      </c>
      <c r="N11" s="19">
        <f>L11-M11</f>
        <v/>
      </c>
      <c r="O11" s="11">
        <f>IF(N11&lt;=0,"Efisien","Tidak efisien")</f>
        <v/>
      </c>
    </row>
    <row r="12">
      <c r="A12" s="10" t="inlineStr">
        <is>
          <t>Hauling</t>
        </is>
      </c>
      <c r="B12" s="3" t="inlineStr">
        <is>
          <t>per ton-km</t>
        </is>
      </c>
      <c r="C12" s="11" t="inlineStr">
        <is>
          <t>USD</t>
        </is>
      </c>
      <c r="D12" s="28">
        <f>'A1 Asumsi Contoh'!C14*'A1 Asumsi Contoh'!C17</f>
        <v/>
      </c>
      <c r="E12" s="28">
        <f>'A1 Asumsi Contoh'!D14*'A1 Asumsi Contoh'!D17</f>
        <v/>
      </c>
      <c r="F12" s="28">
        <f>'A2 Laba Rugi Contoh'!C28</f>
        <v/>
      </c>
      <c r="G12" s="28">
        <f>'A2 Laba Rugi Contoh'!D28</f>
        <v/>
      </c>
      <c r="H12" s="47">
        <f>IFERROR(F12*1000000/D12,0)</f>
        <v/>
      </c>
      <c r="I12" s="47">
        <f>IFERROR(G12*1000000/E12,0)</f>
        <v/>
      </c>
      <c r="J12" s="19">
        <f>G12-F12</f>
        <v/>
      </c>
      <c r="K12" s="19">
        <f>H12*(E12-D12)/1000000</f>
        <v/>
      </c>
      <c r="L12" s="19">
        <f>(I12-H12)*E12/1000000</f>
        <v/>
      </c>
      <c r="M12" s="28">
        <f>IF(C12="USD",G12*(1-'A1 Asumsi Contoh'!C7/'A1 Asumsi Contoh'!D7),0)</f>
        <v/>
      </c>
      <c r="N12" s="19">
        <f>L12-M12</f>
        <v/>
      </c>
      <c r="O12" s="11">
        <f>IF(N12&lt;=0,"Efisien","Tidak efisien")</f>
        <v/>
      </c>
    </row>
    <row r="13">
      <c r="A13" s="10" t="inlineStr">
        <is>
          <t>Pelabuhan &amp; stockpile</t>
        </is>
      </c>
      <c r="B13" s="3" t="inlineStr">
        <is>
          <t>per ton penjualan</t>
        </is>
      </c>
      <c r="C13" s="11" t="inlineStr">
        <is>
          <t>USD</t>
        </is>
      </c>
      <c r="D13" s="28">
        <f>'A1 Asumsi Contoh'!C21</f>
        <v/>
      </c>
      <c r="E13" s="28">
        <f>'A1 Asumsi Contoh'!D21</f>
        <v/>
      </c>
      <c r="F13" s="28">
        <f>'A2 Laba Rugi Contoh'!C29</f>
        <v/>
      </c>
      <c r="G13" s="28">
        <f>'A2 Laba Rugi Contoh'!D29</f>
        <v/>
      </c>
      <c r="H13" s="47">
        <f>IFERROR(F13*1000000/D13,0)</f>
        <v/>
      </c>
      <c r="I13" s="47">
        <f>IFERROR(G13*1000000/E13,0)</f>
        <v/>
      </c>
      <c r="J13" s="19">
        <f>G13-F13</f>
        <v/>
      </c>
      <c r="K13" s="19">
        <f>H13*(E13-D13)/1000000</f>
        <v/>
      </c>
      <c r="L13" s="19">
        <f>(I13-H13)*E13/1000000</f>
        <v/>
      </c>
      <c r="M13" s="28">
        <f>IF(C13="USD",G13*(1-'A1 Asumsi Contoh'!C7/'A1 Asumsi Contoh'!D7),0)</f>
        <v/>
      </c>
      <c r="N13" s="19">
        <f>L13-M13</f>
        <v/>
      </c>
      <c r="O13" s="11">
        <f>IF(N13&lt;=0,"Efisien","Tidak efisien")</f>
        <v/>
      </c>
    </row>
    <row r="14">
      <c r="A14" s="10" t="inlineStr">
        <is>
          <t>Tongkang &amp; transshipment</t>
        </is>
      </c>
      <c r="B14" s="3" t="inlineStr">
        <is>
          <t>per ton penjualan</t>
        </is>
      </c>
      <c r="C14" s="11" t="inlineStr">
        <is>
          <t>USD</t>
        </is>
      </c>
      <c r="D14" s="28">
        <f>'A1 Asumsi Contoh'!C21</f>
        <v/>
      </c>
      <c r="E14" s="28">
        <f>'A1 Asumsi Contoh'!D21</f>
        <v/>
      </c>
      <c r="F14" s="28">
        <f>'A2 Laba Rugi Contoh'!C30</f>
        <v/>
      </c>
      <c r="G14" s="28">
        <f>'A2 Laba Rugi Contoh'!D30</f>
        <v/>
      </c>
      <c r="H14" s="47">
        <f>IFERROR(F14*1000000/D14,0)</f>
        <v/>
      </c>
      <c r="I14" s="47">
        <f>IFERROR(G14*1000000/E14,0)</f>
        <v/>
      </c>
      <c r="J14" s="19">
        <f>G14-F14</f>
        <v/>
      </c>
      <c r="K14" s="19">
        <f>H14*(E14-D14)/1000000</f>
        <v/>
      </c>
      <c r="L14" s="19">
        <f>(I14-H14)*E14/1000000</f>
        <v/>
      </c>
      <c r="M14" s="28">
        <f>IF(C14="USD",G14*(1-'A1 Asumsi Contoh'!C7/'A1 Asumsi Contoh'!D7),0)</f>
        <v/>
      </c>
      <c r="N14" s="19">
        <f>L14-M14</f>
        <v/>
      </c>
      <c r="O14" s="11">
        <f>IF(N14&lt;=0,"Efisien","Tidak efisien")</f>
        <v/>
      </c>
    </row>
    <row r="15">
      <c r="A15" s="10" t="inlineStr">
        <is>
          <t>Royalti</t>
        </is>
      </c>
      <c r="B15" s="3" t="inlineStr">
        <is>
          <t>per Rp pendapatan</t>
        </is>
      </c>
      <c r="C15" s="11" t="inlineStr">
        <is>
          <t>Rp</t>
        </is>
      </c>
      <c r="D15" s="28">
        <f>'A2 Laba Rugi Contoh'!C10+'A2 Laba Rugi Contoh'!C11</f>
        <v/>
      </c>
      <c r="E15" s="28">
        <f>'A2 Laba Rugi Contoh'!D10+'A2 Laba Rugi Contoh'!D11</f>
        <v/>
      </c>
      <c r="F15" s="28">
        <f>'A2 Laba Rugi Contoh'!C33</f>
        <v/>
      </c>
      <c r="G15" s="28">
        <f>'A2 Laba Rugi Contoh'!D33</f>
        <v/>
      </c>
      <c r="H15" s="68">
        <f>IFERROR(F15/D15,0)</f>
        <v/>
      </c>
      <c r="I15" s="68">
        <f>IFERROR(G15/E15,0)</f>
        <v/>
      </c>
      <c r="J15" s="19">
        <f>G15-F15</f>
        <v/>
      </c>
      <c r="K15" s="19">
        <f>H15*(E15-D15)</f>
        <v/>
      </c>
      <c r="L15" s="19">
        <f>(I15-H15)*E15</f>
        <v/>
      </c>
      <c r="M15" s="28">
        <f>IF(C15="USD",G15*(1-'A1 Asumsi Contoh'!C7/'A1 Asumsi Contoh'!D7),0)</f>
        <v/>
      </c>
      <c r="N15" s="19">
        <f>L15-M15</f>
        <v/>
      </c>
      <c r="O15" s="11">
        <f>IF(N15&lt;=0,"Efisien","Tidak efisien")</f>
        <v/>
      </c>
    </row>
    <row r="16">
      <c r="A16" s="10" t="inlineStr">
        <is>
          <t>Overhead site</t>
        </is>
      </c>
      <c r="B16" s="3" t="inlineStr">
        <is>
          <t>per ton produksi</t>
        </is>
      </c>
      <c r="C16" s="11" t="inlineStr">
        <is>
          <t>Rp</t>
        </is>
      </c>
      <c r="D16" s="28">
        <f>'A1 Asumsi Contoh'!C14</f>
        <v/>
      </c>
      <c r="E16" s="28">
        <f>'A1 Asumsi Contoh'!D14</f>
        <v/>
      </c>
      <c r="F16" s="28">
        <f>'A2 Laba Rugi Contoh'!C41</f>
        <v/>
      </c>
      <c r="G16" s="28">
        <f>'A2 Laba Rugi Contoh'!D41</f>
        <v/>
      </c>
      <c r="H16" s="47">
        <f>IFERROR(F16*1000000/D16,0)</f>
        <v/>
      </c>
      <c r="I16" s="47">
        <f>IFERROR(G16*1000000/E16,0)</f>
        <v/>
      </c>
      <c r="J16" s="19">
        <f>G16-F16</f>
        <v/>
      </c>
      <c r="K16" s="19">
        <f>H16*(E16-D16)/1000000</f>
        <v/>
      </c>
      <c r="L16" s="19">
        <f>(I16-H16)*E16/1000000</f>
        <v/>
      </c>
      <c r="M16" s="28">
        <f>IF(C16="USD",G16*(1-'A1 Asumsi Contoh'!C7/'A1 Asumsi Contoh'!D7),0)</f>
        <v/>
      </c>
      <c r="N16" s="19">
        <f>L16-M16</f>
        <v/>
      </c>
      <c r="O16" s="11">
        <f>IF(N16&lt;=0,"Efisien","Tidak efisien")</f>
        <v/>
      </c>
    </row>
    <row r="17">
      <c r="A17" s="10" t="inlineStr">
        <is>
          <t>Perubahan persediaan</t>
        </is>
      </c>
      <c r="B17" s="3" t="inlineStr">
        <is>
          <t>n/a</t>
        </is>
      </c>
      <c r="C17" s="11" t="inlineStr">
        <is>
          <t>Rp</t>
        </is>
      </c>
      <c r="F17" s="28">
        <f>'A2 Laba Rugi Contoh'!C48</f>
        <v/>
      </c>
      <c r="G17" s="28">
        <f>'A2 Laba Rugi Contoh'!D48</f>
        <v/>
      </c>
      <c r="J17" s="19">
        <f>G17-F17</f>
        <v/>
      </c>
      <c r="K17" s="19">
        <f>J17</f>
        <v/>
      </c>
      <c r="L17" s="19" t="n">
        <v>0</v>
      </c>
      <c r="M17" s="28">
        <f>IF(C17="USD",G17*(1-'A1 Asumsi Contoh'!C7/'A1 Asumsi Contoh'!D7),0)</f>
        <v/>
      </c>
      <c r="N17" s="19">
        <f>L17-M17</f>
        <v/>
      </c>
      <c r="O17" s="11">
        <f>IF(N17&lt;=0,"Efisien","Tidak efisien")</f>
        <v/>
      </c>
    </row>
    <row r="18">
      <c r="A18" s="10" t="inlineStr">
        <is>
          <t>Beban penjualan</t>
        </is>
      </c>
      <c r="B18" s="3" t="inlineStr">
        <is>
          <t>per ton penjualan</t>
        </is>
      </c>
      <c r="C18" s="11" t="inlineStr">
        <is>
          <t>Rp</t>
        </is>
      </c>
      <c r="D18" s="28">
        <f>'A1 Asumsi Contoh'!C21</f>
        <v/>
      </c>
      <c r="E18" s="28">
        <f>'A1 Asumsi Contoh'!D21</f>
        <v/>
      </c>
      <c r="F18" s="28">
        <f>'A2 Laba Rugi Contoh'!C62</f>
        <v/>
      </c>
      <c r="G18" s="28">
        <f>'A2 Laba Rugi Contoh'!D62</f>
        <v/>
      </c>
      <c r="H18" s="47">
        <f>IFERROR(F18*1000000/D18,0)</f>
        <v/>
      </c>
      <c r="I18" s="47">
        <f>IFERROR(G18*1000000/E18,0)</f>
        <v/>
      </c>
      <c r="J18" s="19">
        <f>G18-F18</f>
        <v/>
      </c>
      <c r="K18" s="19">
        <f>H18*(E18-D18)/1000000</f>
        <v/>
      </c>
      <c r="L18" s="19">
        <f>(I18-H18)*E18/1000000</f>
        <v/>
      </c>
      <c r="M18" s="28">
        <f>IF(C18="USD",G18*(1-'A1 Asumsi Contoh'!C7/'A1 Asumsi Contoh'!D7),0)</f>
        <v/>
      </c>
      <c r="N18" s="19">
        <f>L18-M18</f>
        <v/>
      </c>
      <c r="O18" s="11">
        <f>IF(N18&lt;=0,"Efisien","Tidak efisien")</f>
        <v/>
      </c>
    </row>
    <row r="19">
      <c r="A19" s="10" t="inlineStr">
        <is>
          <t>Beban umum &amp; administrasi (excl. penyusutan)</t>
        </is>
      </c>
      <c r="B19" s="3" t="inlineStr">
        <is>
          <t>per ton penjualan</t>
        </is>
      </c>
      <c r="C19" s="11" t="inlineStr">
        <is>
          <t>Rp</t>
        </is>
      </c>
      <c r="D19" s="28">
        <f>'A1 Asumsi Contoh'!C21</f>
        <v/>
      </c>
      <c r="E19" s="28">
        <f>'A1 Asumsi Contoh'!D21</f>
        <v/>
      </c>
      <c r="F19" s="28">
        <f>'A2 Laba Rugi Contoh'!C73-'A2 Laba Rugi Contoh'!C71</f>
        <v/>
      </c>
      <c r="G19" s="28">
        <f>'A2 Laba Rugi Contoh'!D73-'A2 Laba Rugi Contoh'!D71</f>
        <v/>
      </c>
      <c r="H19" s="47">
        <f>IFERROR(F19*1000000/D19,0)</f>
        <v/>
      </c>
      <c r="I19" s="47">
        <f>IFERROR(G19*1000000/E19,0)</f>
        <v/>
      </c>
      <c r="J19" s="19">
        <f>G19-F19</f>
        <v/>
      </c>
      <c r="K19" s="19">
        <f>H19*(E19-D19)/1000000</f>
        <v/>
      </c>
      <c r="L19" s="19">
        <f>(I19-H19)*E19/1000000</f>
        <v/>
      </c>
      <c r="M19" s="28">
        <f>IF(C19="USD",G19*(1-'A1 Asumsi Contoh'!C7/'A1 Asumsi Contoh'!D7),0)</f>
        <v/>
      </c>
      <c r="N19" s="19">
        <f>L19-M19</f>
        <v/>
      </c>
      <c r="O19" s="11">
        <f>IF(N19&lt;=0,"Efisien","Tidak efisien")</f>
        <v/>
      </c>
    </row>
    <row r="20">
      <c r="A20" s="31" t="inlineStr">
        <is>
          <t>TOTAL BIAYA KAS (BPP excl. D&amp;A + beban usaha excl. penyusutan)</t>
        </is>
      </c>
      <c r="B20" s="32" t="n"/>
      <c r="C20" s="32" t="n"/>
      <c r="D20" s="32" t="n"/>
      <c r="E20" s="32" t="n"/>
      <c r="F20" s="33">
        <f>SUM(F6:F19)</f>
        <v/>
      </c>
      <c r="G20" s="33">
        <f>SUM(G6:G19)</f>
        <v/>
      </c>
      <c r="H20" s="32" t="n"/>
      <c r="I20" s="32" t="n"/>
      <c r="J20" s="33">
        <f>SUM(J6:J19)</f>
        <v/>
      </c>
      <c r="K20" s="33">
        <f>SUM(K6:K19)</f>
        <v/>
      </c>
      <c r="L20" s="33">
        <f>SUM(L6:L19)</f>
        <v/>
      </c>
      <c r="M20" s="33">
        <f>SUM(M6:M19)</f>
        <v/>
      </c>
      <c r="N20" s="33">
        <f>SUM(N6:N19)</f>
        <v/>
      </c>
      <c r="O20" s="69">
        <f>IF(N20&lt;=0,"Efisien","Tidak efisien")</f>
        <v/>
      </c>
    </row>
    <row r="21">
      <c r="A21" s="3" t="inlineStr">
        <is>
          <t>Cek: Δ total = efek volume + efek tarif (harus 0)</t>
        </is>
      </c>
      <c r="J21" s="38">
        <f>ROUND(J20-K20-L20,0)</f>
        <v/>
      </c>
    </row>
    <row r="22">
      <c r="A22" s="3" t="inlineStr">
        <is>
          <t>Royalti memakai pemicu pendapatan: "biaya/unit" = tarif efektif royalti; efek volume = tarif 2024 × Δpendapatan.</t>
        </is>
      </c>
    </row>
    <row r="24">
      <c r="A24" s="4" t="inlineStr">
        <is>
          <t>2. JEMBATAN PENDAPATAN BATUBARA (Rp juta)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</row>
    <row r="25">
      <c r="A25" s="16" t="inlineStr">
        <is>
          <t>Uraian</t>
        </is>
      </c>
      <c r="B25" s="16" t="inlineStr">
        <is>
          <t>Nilai</t>
        </is>
      </c>
      <c r="C25" s="16" t="inlineStr">
        <is>
          <t>Rumus</t>
        </is>
      </c>
    </row>
    <row r="26">
      <c r="A26" s="46" t="inlineStr">
        <is>
          <t>Pendapatan batubara 2024</t>
        </is>
      </c>
      <c r="B26" s="70">
        <f>'A2 Laba Rugi Contoh'!C10</f>
        <v/>
      </c>
      <c r="C26" s="3" t="inlineStr">
        <is>
          <t>Dari A2</t>
        </is>
      </c>
    </row>
    <row r="27">
      <c r="A27" s="10" t="inlineStr">
        <is>
          <t>Efek volume</t>
        </is>
      </c>
      <c r="B27" s="28">
        <f>('A1 Asumsi Contoh'!D21-'A1 Asumsi Contoh'!C21)*('A2 Laba Rugi Contoh'!C10*1000000/'A1 Asumsi Contoh'!C21/'A1 Asumsi Contoh'!C7)*'A1 Asumsi Contoh'!C7/1000000</f>
        <v/>
      </c>
      <c r="C27" s="3" t="inlineStr">
        <is>
          <t>ΔVolume × ASP 2024 × kurs 2024</t>
        </is>
      </c>
    </row>
    <row r="28">
      <c r="A28" s="10" t="inlineStr">
        <is>
          <t>Efek harga (USD)</t>
        </is>
      </c>
      <c r="B28" s="28">
        <f>'A1 Asumsi Contoh'!D21*(('A2 Laba Rugi Contoh'!D10*1000000/'A1 Asumsi Contoh'!D21/'A1 Asumsi Contoh'!D7)-('A2 Laba Rugi Contoh'!C10*1000000/'A1 Asumsi Contoh'!C21/'A1 Asumsi Contoh'!C7))*'A1 Asumsi Contoh'!C7/1000000</f>
        <v/>
      </c>
      <c r="C28" s="3" t="inlineStr">
        <is>
          <t>Volume 2025 × ΔASP × kurs 2024</t>
        </is>
      </c>
    </row>
    <row r="29">
      <c r="A29" s="10" t="inlineStr">
        <is>
          <t>Efek kurs</t>
        </is>
      </c>
      <c r="B29" s="28">
        <f>'A1 Asumsi Contoh'!D21*('A2 Laba Rugi Contoh'!D10*1000000/'A1 Asumsi Contoh'!D21/'A1 Asumsi Contoh'!D7)*('A1 Asumsi Contoh'!D7-'A1 Asumsi Contoh'!C7)/1000000</f>
        <v/>
      </c>
      <c r="C29" s="3" t="inlineStr">
        <is>
          <t>Volume 2025 × ASP 2025 × Δkurs</t>
        </is>
      </c>
    </row>
    <row r="30">
      <c r="A30" s="46" t="inlineStr">
        <is>
          <t>Pendapatan batubara 2025</t>
        </is>
      </c>
      <c r="B30" s="71">
        <f>SUM(B26:B29)</f>
        <v/>
      </c>
      <c r="C30" s="3" t="inlineStr">
        <is>
          <t>Harus sama dengan A2</t>
        </is>
      </c>
    </row>
    <row r="31">
      <c r="A31" s="10" t="inlineStr">
        <is>
          <t>Cek vs A2 (harus 0)</t>
        </is>
      </c>
      <c r="B31" s="28">
        <f>ROUND(B30-'A2 Laba Rugi Contoh'!D10,0)</f>
        <v/>
      </c>
      <c r="C31" s="3" t="inlineStr"/>
    </row>
    <row r="34">
      <c r="A34" s="4" t="inlineStr">
        <is>
          <t>3. JEMBATAN EBITDA FY2024 → FY2025: memisahkan efek PASAR vs efek MANAJEMEN (Rp juta)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  <row r="35">
      <c r="A35" s="16" t="inlineStr">
        <is>
          <t>Uraian</t>
        </is>
      </c>
      <c r="B35" s="16" t="inlineStr">
        <is>
          <t>Nilai</t>
        </is>
      </c>
      <c r="C35" s="16" t="inlineStr">
        <is>
          <t>Kategori</t>
        </is>
      </c>
      <c r="D35" s="16" t="inlineStr">
        <is>
          <t>Penjelasan</t>
        </is>
      </c>
    </row>
    <row r="36">
      <c r="A36" s="46" t="inlineStr">
        <is>
          <t>EBITDA FY2024</t>
        </is>
      </c>
      <c r="B36" s="70">
        <f>'A2 Laba Rugi Contoh'!C93</f>
        <v/>
      </c>
      <c r="C36" s="11" t="inlineStr"/>
      <c r="D36" s="3" t="inlineStr">
        <is>
          <t>Titik awal</t>
        </is>
      </c>
    </row>
    <row r="37">
      <c r="A37" s="10" t="inlineStr">
        <is>
          <t>+ Efek volume penjualan</t>
        </is>
      </c>
      <c r="B37" s="19">
        <f>B27</f>
        <v/>
      </c>
      <c r="C37" s="11" t="inlineStr">
        <is>
          <t>Operasional</t>
        </is>
      </c>
      <c r="D37" s="3" t="inlineStr">
        <is>
          <t>Tambahan ton terjual</t>
        </is>
      </c>
    </row>
    <row r="38">
      <c r="A38" s="10" t="inlineStr">
        <is>
          <t>+ Efek harga jual (USD)</t>
        </is>
      </c>
      <c r="B38" s="19">
        <f>B28</f>
        <v/>
      </c>
      <c r="C38" s="11" t="inlineStr">
        <is>
          <t>Pasar</t>
        </is>
      </c>
      <c r="D38" s="3" t="inlineStr">
        <is>
          <t>Perubahan harga indeks &amp; realisasi</t>
        </is>
      </c>
    </row>
    <row r="39">
      <c r="A39" s="10" t="inlineStr">
        <is>
          <t>+ Efek kurs atas pendapatan</t>
        </is>
      </c>
      <c r="B39" s="19">
        <f>B29</f>
        <v/>
      </c>
      <c r="C39" s="11" t="inlineStr">
        <is>
          <t>Pasar</t>
        </is>
      </c>
      <c r="D39" s="3" t="inlineStr">
        <is>
          <t>Pelemahan/penguatan Rupiah</t>
        </is>
      </c>
    </row>
    <row r="40">
      <c r="A40" s="10" t="inlineStr">
        <is>
          <t>+ Perubahan penalti kualitas &amp; pendapatan jasa</t>
        </is>
      </c>
      <c r="B40" s="28">
        <f>('A2 Laba Rugi Contoh'!D11+'A2 Laba Rugi Contoh'!D12)-('A2 Laba Rugi Contoh'!C11+'A2 Laba Rugi Contoh'!C12)</f>
        <v/>
      </c>
      <c r="C40" s="11" t="inlineStr">
        <is>
          <t>Manajemen</t>
        </is>
      </c>
      <c r="D40" s="3" t="inlineStr">
        <is>
          <t>Kualitas produk &amp; utilisasi aset</t>
        </is>
      </c>
    </row>
    <row r="41">
      <c r="A41" s="10" t="inlineStr">
        <is>
          <t>– Efek volume atas biaya</t>
        </is>
      </c>
      <c r="B41" s="19">
        <f>-K20</f>
        <v/>
      </c>
      <c r="C41" s="11" t="inlineStr">
        <is>
          <t>Operasional</t>
        </is>
      </c>
      <c r="D41" s="3" t="inlineStr">
        <is>
          <t>Biaya tambahan karena volume naik</t>
        </is>
      </c>
    </row>
    <row r="42">
      <c r="A42" s="10" t="inlineStr">
        <is>
          <t>– Efek kurs atas biaya (USD)</t>
        </is>
      </c>
      <c r="B42" s="19">
        <f>-M20</f>
        <v/>
      </c>
      <c r="C42" s="11" t="inlineStr">
        <is>
          <t>Pasar</t>
        </is>
      </c>
      <c r="D42" s="3" t="inlineStr">
        <is>
          <t>Tarif USD dikonversi ke Rupiah</t>
        </is>
      </c>
    </row>
    <row r="43">
      <c r="A43" s="10" t="inlineStr">
        <is>
          <t>– Efisiensi riil biaya (excl. kurs)</t>
        </is>
      </c>
      <c r="B43" s="19">
        <f>-N20</f>
        <v/>
      </c>
      <c r="C43" s="11" t="inlineStr">
        <is>
          <t>Manajemen</t>
        </is>
      </c>
      <c r="D43" s="3" t="inlineStr">
        <is>
          <t>Tarif, produktivitas, SR, BBM, overhead; negatif = boros</t>
        </is>
      </c>
    </row>
    <row r="44">
      <c r="A44" s="46" t="inlineStr">
        <is>
          <t>EBITDA FY2025 (hasil jembatan)</t>
        </is>
      </c>
      <c r="B44" s="71">
        <f>SUM(B36:B43)</f>
        <v/>
      </c>
      <c r="C44" s="11" t="inlineStr"/>
      <c r="D44" s="3" t="inlineStr"/>
    </row>
    <row r="45">
      <c r="A45" s="10" t="inlineStr">
        <is>
          <t>Cek vs A2 (harus 0)</t>
        </is>
      </c>
      <c r="B45" s="28">
        <f>ROUND(B44-'A2 Laba Rugi Contoh'!D93,0)</f>
        <v/>
      </c>
      <c r="C45" s="11" t="inlineStr"/>
      <c r="D45" s="3" t="inlineStr"/>
    </row>
    <row r="47">
      <c r="A47" s="46" t="inlineStr">
        <is>
          <t>Total efek PASAR (harga, kurs, royalti via harga)</t>
        </is>
      </c>
      <c r="B47" s="71">
        <f>SUMIF(C36:C43,"Pasar",B36:B43)</f>
        <v/>
      </c>
      <c r="D47" s="3" t="inlineStr">
        <is>
          <t>Catatan: efek royalti akibat harga termasuk di efisiensi royalti (tarif efektif); untuk presisi lebih, pisahkan tarif royalti per tier HBA.</t>
        </is>
      </c>
    </row>
    <row r="48">
      <c r="A48" s="46" t="inlineStr">
        <is>
          <t>Total efek OPERASIONAL (volume)</t>
        </is>
      </c>
      <c r="B48" s="71">
        <f>SUMIF(C36:C43,"Operasional",B36:B43)</f>
        <v/>
      </c>
    </row>
    <row r="49">
      <c r="A49" s="46" t="inlineStr">
        <is>
          <t>Total efek MANAJEMEN (efisiensi &amp; kualitas)</t>
        </is>
      </c>
      <c r="B49" s="71">
        <f>SUMIF(C36:C43,"Manajemen",B36:B43)</f>
        <v/>
      </c>
      <c r="C49" s="46">
        <f>IF(B49&gt;=0,"Manajemen menambah nilai","Manajemen menggerus nilai")</f>
        <v/>
      </c>
    </row>
    <row r="52">
      <c r="A52" s="4" t="inlineStr">
        <is>
          <t>4. INISIATIF EFISIENSI BIAYA &amp; POTENSI PENGHEMATAN (berbasis data FY2025)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>
      <c r="A53" s="16" t="inlineStr">
        <is>
          <t>Inisiatif</t>
        </is>
      </c>
      <c r="B53" s="16" t="inlineStr">
        <is>
          <t>Tuas (lever)</t>
        </is>
      </c>
      <c r="C53" s="16" t="inlineStr">
        <is>
          <t>Asumsi perbaikan</t>
        </is>
      </c>
      <c r="D53" s="16" t="inlineStr">
        <is>
          <t>Satuan asumsi</t>
        </is>
      </c>
      <c r="E53" s="16" t="inlineStr">
        <is>
          <t>Potensi penghematan (Rp juta/tahun)</t>
        </is>
      </c>
      <c r="F53" s="16" t="inlineStr">
        <is>
          <t>Setara USD/t terjual</t>
        </is>
      </c>
      <c r="G53" s="16" t="inlineStr">
        <is>
          <t>% thd EBITDA 2025</t>
        </is>
      </c>
      <c r="H53" s="16" t="inlineStr">
        <is>
          <t>KPI pemantau</t>
        </is>
      </c>
      <c r="I53" s="16" t="inlineStr">
        <is>
          <t>PIC</t>
        </is>
      </c>
      <c r="J53" s="16" t="inlineStr">
        <is>
          <t>Timeline</t>
        </is>
      </c>
    </row>
    <row r="54">
      <c r="A54" s="10" t="inlineStr">
        <is>
          <t>Program penghematan BBM (idle time, payload, fuel monitoring)</t>
        </is>
      </c>
      <c r="B54" s="8" t="inlineStr">
        <is>
          <t>Fuel ratio</t>
        </is>
      </c>
      <c r="C54" s="18" t="n">
        <v>0.05</v>
      </c>
      <c r="D54" s="45" t="inlineStr">
        <is>
          <t>L/bcm</t>
        </is>
      </c>
      <c r="E54" s="28">
        <f>'A1 Asumsi Contoh'!D16*C54*'A1 Asumsi Contoh'!D30/1000000</f>
        <v/>
      </c>
      <c r="F54" s="39">
        <f>E54*1000000/'A1 Asumsi Contoh'!D21/'A1 Asumsi Contoh'!D7</f>
        <v/>
      </c>
      <c r="G54" s="42">
        <f>E54/'A2 Laba Rugi Contoh'!D93</f>
        <v/>
      </c>
      <c r="H54" s="8" t="inlineStr">
        <is>
          <t>Fuel ratio L/bcm</t>
        </is>
      </c>
      <c r="I54" s="8" t="inlineStr">
        <is>
          <t>Mining Ops</t>
        </is>
      </c>
      <c r="J54" s="8" t="inlineStr">
        <is>
          <t>Q1–Q2</t>
        </is>
      </c>
    </row>
    <row r="55">
      <c r="A55" s="10" t="inlineStr">
        <is>
          <t>Negosiasi ulang tarif kontraktor OB (rise &amp; fall, benchmark)</t>
        </is>
      </c>
      <c r="B55" s="8" t="inlineStr">
        <is>
          <t>Tarif USD/bcm</t>
        </is>
      </c>
      <c r="C55" s="25" t="n">
        <v>0.03</v>
      </c>
      <c r="D55" s="45" t="inlineStr">
        <is>
          <t>% tarif</t>
        </is>
      </c>
      <c r="E55" s="28">
        <f>'A2 Laba Rugi Contoh'!D17*C55</f>
        <v/>
      </c>
      <c r="F55" s="39">
        <f>E55*1000000/'A1 Asumsi Contoh'!D21/'A1 Asumsi Contoh'!D7</f>
        <v/>
      </c>
      <c r="G55" s="42">
        <f>E55/'A2 Laba Rugi Contoh'!D93</f>
        <v/>
      </c>
      <c r="H55" s="8" t="inlineStr">
        <is>
          <t>USD/bcm OB</t>
        </is>
      </c>
      <c r="I55" s="8" t="inlineStr">
        <is>
          <t>Procurement</t>
        </is>
      </c>
      <c r="J55" s="8" t="inlineStr">
        <is>
          <t>Q1</t>
        </is>
      </c>
    </row>
    <row r="56">
      <c r="A56" s="10" t="inlineStr">
        <is>
          <t>Optimasi desain pit &amp; sekuens (turunkan SR)</t>
        </is>
      </c>
      <c r="B56" s="8" t="inlineStr">
        <is>
          <t>Stripping ratio</t>
        </is>
      </c>
      <c r="C56" s="18" t="n">
        <v>0.2</v>
      </c>
      <c r="D56" s="45" t="inlineStr">
        <is>
          <t>bcm/t</t>
        </is>
      </c>
      <c r="E56" s="28">
        <f>'A1 Asumsi Contoh'!D14*C56*'B2 COP dan KPI'!D9*1000000/'B2 COP dan KPI'!F9/1000000</f>
        <v/>
      </c>
      <c r="F56" s="39">
        <f>E56*1000000/'A1 Asumsi Contoh'!D21/'A1 Asumsi Contoh'!D7</f>
        <v/>
      </c>
      <c r="G56" s="42">
        <f>E56/'A2 Laba Rugi Contoh'!D93</f>
        <v/>
      </c>
      <c r="H56" s="8" t="inlineStr">
        <is>
          <t>SR aktual vs plan</t>
        </is>
      </c>
      <c r="I56" s="8" t="inlineStr">
        <is>
          <t>Mine Planning</t>
        </is>
      </c>
      <c r="J56" s="8" t="inlineStr">
        <is>
          <t>Q2–Q4</t>
        </is>
      </c>
    </row>
    <row r="57">
      <c r="A57" s="10" t="inlineStr">
        <is>
          <t>Perbaikan jalan hauling &amp; dispatch (cycle time)</t>
        </is>
      </c>
      <c r="B57" s="8" t="inlineStr">
        <is>
          <t>Tarif hauling</t>
        </is>
      </c>
      <c r="C57" s="25" t="n">
        <v>0.05</v>
      </c>
      <c r="D57" s="45" t="inlineStr">
        <is>
          <t>% biaya</t>
        </is>
      </c>
      <c r="E57" s="28">
        <f>'A2 Laba Rugi Contoh'!D28*C57</f>
        <v/>
      </c>
      <c r="F57" s="39">
        <f>E57*1000000/'A1 Asumsi Contoh'!D21/'A1 Asumsi Contoh'!D7</f>
        <v/>
      </c>
      <c r="G57" s="42">
        <f>E57/'A2 Laba Rugi Contoh'!D93</f>
        <v/>
      </c>
      <c r="H57" s="8" t="inlineStr">
        <is>
          <t>USD/t-km</t>
        </is>
      </c>
      <c r="I57" s="8" t="inlineStr">
        <is>
          <t>Logistik</t>
        </is>
      </c>
      <c r="J57" s="8" t="inlineStr">
        <is>
          <t>Q2</t>
        </is>
      </c>
    </row>
    <row r="58">
      <c r="A58" s="10" t="inlineStr">
        <is>
          <t>Kontrak tongkang jangka panjang &amp; optimasi load-out</t>
        </is>
      </c>
      <c r="B58" s="8" t="inlineStr">
        <is>
          <t>Tarif barging</t>
        </is>
      </c>
      <c r="C58" s="25" t="n">
        <v>0.03</v>
      </c>
      <c r="D58" s="45" t="inlineStr">
        <is>
          <t>% biaya</t>
        </is>
      </c>
      <c r="E58" s="28">
        <f>'A2 Laba Rugi Contoh'!D30*C58</f>
        <v/>
      </c>
      <c r="F58" s="39">
        <f>E58*1000000/'A1 Asumsi Contoh'!D21/'A1 Asumsi Contoh'!D7</f>
        <v/>
      </c>
      <c r="G58" s="42">
        <f>E58/'A2 Laba Rugi Contoh'!D93</f>
        <v/>
      </c>
      <c r="H58" s="8" t="inlineStr">
        <is>
          <t>USD/t barging</t>
        </is>
      </c>
      <c r="I58" s="8" t="inlineStr">
        <is>
          <t>Logistik</t>
        </is>
      </c>
      <c r="J58" s="8" t="inlineStr">
        <is>
          <t>Q1–Q2</t>
        </is>
      </c>
    </row>
    <row r="59">
      <c r="A59" s="10" t="inlineStr">
        <is>
          <t>Pengendalian demurrage (laycan planning)</t>
        </is>
      </c>
      <c r="B59" s="8" t="inlineStr">
        <is>
          <t>Demurrage</t>
        </is>
      </c>
      <c r="C59" s="25" t="n">
        <v>0.5</v>
      </c>
      <c r="D59" s="45" t="inlineStr">
        <is>
          <t>% biaya</t>
        </is>
      </c>
      <c r="E59" s="28">
        <f>'A2 Laba Rugi Contoh'!D59*C59</f>
        <v/>
      </c>
      <c r="F59" s="39">
        <f>E59*1000000/'A1 Asumsi Contoh'!D21/'A1 Asumsi Contoh'!D7</f>
        <v/>
      </c>
      <c r="G59" s="42">
        <f>E59/'A2 Laba Rugi Contoh'!D93</f>
        <v/>
      </c>
      <c r="H59" s="8" t="inlineStr">
        <is>
          <t>Hari demurrage</t>
        </is>
      </c>
      <c r="I59" s="8" t="inlineStr">
        <is>
          <t>Marketing</t>
        </is>
      </c>
      <c r="J59" s="8" t="inlineStr">
        <is>
          <t>Q1</t>
        </is>
      </c>
    </row>
    <row r="60">
      <c r="A60" s="10" t="inlineStr">
        <is>
          <t>Quality control &amp; blending (kurangi penalti)</t>
        </is>
      </c>
      <c r="B60" s="8" t="inlineStr">
        <is>
          <t>Penalti kualitas</t>
        </is>
      </c>
      <c r="C60" s="25" t="n">
        <v>0.5</v>
      </c>
      <c r="D60" s="45" t="inlineStr">
        <is>
          <t>% penalti</t>
        </is>
      </c>
      <c r="E60" s="28">
        <f>-'A2 Laba Rugi Contoh'!D11*C60</f>
        <v/>
      </c>
      <c r="F60" s="39">
        <f>E60*1000000/'A1 Asumsi Contoh'!D21/'A1 Asumsi Contoh'!D7</f>
        <v/>
      </c>
      <c r="G60" s="42">
        <f>E60/'A2 Laba Rugi Contoh'!D93</f>
        <v/>
      </c>
      <c r="H60" s="8" t="inlineStr">
        <is>
          <t>Penalti % pendapatan</t>
        </is>
      </c>
      <c r="I60" s="8" t="inlineStr">
        <is>
          <t>QC / Marketing</t>
        </is>
      </c>
      <c r="J60" s="8" t="inlineStr">
        <is>
          <t>Q1–Q2</t>
        </is>
      </c>
    </row>
    <row r="61">
      <c r="A61" s="10" t="inlineStr">
        <is>
          <t>Sentralisasi pengadaan &amp; rasionalisasi overhead</t>
        </is>
      </c>
      <c r="B61" s="8" t="inlineStr">
        <is>
          <t>Overhead + G&amp;A</t>
        </is>
      </c>
      <c r="C61" s="25" t="n">
        <v>0.05</v>
      </c>
      <c r="D61" s="45" t="inlineStr">
        <is>
          <t>% biaya</t>
        </is>
      </c>
      <c r="E61" s="28">
        <f>('A2 Laba Rugi Contoh'!D41-'A2 Laba Rugi Contoh'!D38+'A2 Laba Rugi Contoh'!D73-'A2 Laba Rugi Contoh'!D71)*C61</f>
        <v/>
      </c>
      <c r="F61" s="39">
        <f>E61*1000000/'A1 Asumsi Contoh'!D21/'A1 Asumsi Contoh'!D7</f>
        <v/>
      </c>
      <c r="G61" s="42">
        <f>E61/'A2 Laba Rugi Contoh'!D93</f>
        <v/>
      </c>
      <c r="H61" s="8" t="inlineStr">
        <is>
          <t>Overhead USD/t</t>
        </is>
      </c>
      <c r="I61" s="8" t="inlineStr">
        <is>
          <t>Finance / HR</t>
        </is>
      </c>
      <c r="J61" s="8" t="inlineStr">
        <is>
          <t>Q1–Q3</t>
        </is>
      </c>
    </row>
    <row r="62">
      <c r="A62" s="10" t="inlineStr">
        <is>
          <t>Peningkatan realisasi harga ekspor (marketing &amp; spesifikasi)</t>
        </is>
      </c>
      <c r="B62" s="8" t="inlineStr">
        <is>
          <t>Harga realisasi</t>
        </is>
      </c>
      <c r="C62" s="18" t="n">
        <v>1</v>
      </c>
      <c r="D62" s="45" t="inlineStr">
        <is>
          <t>USD/t ekspor</t>
        </is>
      </c>
      <c r="E62" s="28">
        <f>'A1 Asumsi Contoh'!D18*C62*'A1 Asumsi Contoh'!D7/1000000</f>
        <v/>
      </c>
      <c r="F62" s="39">
        <f>E62*1000000/'A1 Asumsi Contoh'!D21/'A1 Asumsi Contoh'!D7</f>
        <v/>
      </c>
      <c r="G62" s="42">
        <f>E62/'A2 Laba Rugi Contoh'!D93</f>
        <v/>
      </c>
      <c r="H62" s="8" t="inlineStr">
        <is>
          <t>ASP vs indeks</t>
        </is>
      </c>
      <c r="I62" s="8" t="inlineStr">
        <is>
          <t>Marketing</t>
        </is>
      </c>
      <c r="J62" s="8" t="inlineStr">
        <is>
          <t>Q1–Q4</t>
        </is>
      </c>
    </row>
    <row r="63">
      <c r="A63" s="48" t="inlineStr">
        <is>
          <t>TOTAL POTENSI</t>
        </is>
      </c>
      <c r="B63" s="72" t="n"/>
      <c r="C63" s="72" t="n"/>
      <c r="D63" s="72" t="n"/>
      <c r="E63" s="58">
        <f>SUM(E54:E62)</f>
        <v/>
      </c>
      <c r="F63" s="73">
        <f>SUM(F54:F62)</f>
        <v/>
      </c>
      <c r="G63" s="74">
        <f>SUM(G54:G62)</f>
        <v/>
      </c>
      <c r="H63" s="72" t="n"/>
      <c r="I63" s="72" t="n"/>
      <c r="J63" s="72" t="n"/>
      <c r="K63" s="72" t="n"/>
      <c r="L63" s="72" t="n"/>
      <c r="M63" s="72" t="n"/>
      <c r="N63" s="72" t="n"/>
      <c r="O63" s="72" t="n"/>
    </row>
    <row r="64">
      <c r="A64" s="3" t="inlineStr">
        <is>
          <t>Asumsi perbaikan (sel kuning) adalah contoh penyusun – sesuaikan dengan hasil kajian lapangan GEG.</t>
        </is>
      </c>
    </row>
  </sheetData>
  <conditionalFormatting sqref="O6:O20">
    <cfRule type="cellIs" priority="1" operator="equal" dxfId="0">
      <formula>"Efisien"</formula>
    </cfRule>
    <cfRule type="cellIs" priority="2" operator="equal" dxfId="1">
      <formula>"Tidak efisien"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3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0" customWidth="1" min="3" max="3"/>
    <col width="45" customWidth="1" min="4" max="4"/>
    <col width="60" customWidth="1" min="5" max="5"/>
  </cols>
  <sheetData>
    <row r="1">
      <c r="A1" s="1" t="inlineStr">
        <is>
          <t>Referensi Emiten Batubara di BEI &amp; Kisaran KPI Industri (indikatif)</t>
        </is>
      </c>
      <c r="B1" s="2" t="n"/>
      <c r="C1" s="2" t="n"/>
      <c r="D1" s="2" t="n"/>
      <c r="E1" s="2" t="n"/>
    </row>
    <row r="2">
      <c r="A2" s="3" t="inlineStr">
        <is>
          <t>Gunakan untuk membandingkan format &amp; KPI. Angka kisaran bersifat indikatif – WAJIB divalidasi dengan laporan tahunan/keuangan terbaru.</t>
        </is>
      </c>
    </row>
    <row r="4">
      <c r="A4" s="4" t="inlineStr">
        <is>
          <t>1. EMITEN BATUBARA TBK SEBAGAI ACUAN FORMAT LAPORAN</t>
        </is>
      </c>
      <c r="B4" s="5" t="n"/>
      <c r="C4" s="5" t="n"/>
      <c r="D4" s="5" t="n"/>
      <c r="E4" s="5" t="n"/>
    </row>
    <row r="5">
      <c r="A5" s="16" t="inlineStr">
        <is>
          <t>Kode</t>
        </is>
      </c>
      <c r="B5" s="16" t="inlineStr">
        <is>
          <t>Emiten</t>
        </is>
      </c>
      <c r="C5" s="16" t="inlineStr">
        <is>
          <t>Mata uang penyajian</t>
        </is>
      </c>
      <c r="D5" s="16" t="inlineStr">
        <is>
          <t>Karakteristik yang relevan</t>
        </is>
      </c>
      <c r="E5" s="16" t="inlineStr">
        <is>
          <t>Hal yang dapat dipelajari</t>
        </is>
      </c>
    </row>
    <row r="6">
      <c r="A6" s="15" t="inlineStr">
        <is>
          <t>PTBA</t>
        </is>
      </c>
      <c r="B6" s="15" t="inlineStr">
        <is>
          <t>PT Bukit Asam Tbk</t>
        </is>
      </c>
      <c r="C6" s="15" t="inlineStr">
        <is>
          <t>Rupiah</t>
        </is>
      </c>
      <c r="D6" s="15" t="inlineStr">
        <is>
          <t>BUMN (MIND ID); tambang sendiri + kontraktor; angkutan kereta api</t>
        </is>
      </c>
      <c r="E6" s="15" t="inlineStr">
        <is>
          <t>Format LK dalam Rupiah – paling mirip kebutuhan GEG; rincian BPP per jenis biaya</t>
        </is>
      </c>
    </row>
    <row r="7">
      <c r="A7" s="15" t="inlineStr">
        <is>
          <t>ITMG</t>
        </is>
      </c>
      <c r="B7" s="15" t="inlineStr">
        <is>
          <t>PT Indo Tambangraya Megah Tbk</t>
        </is>
      </c>
      <c r="C7" s="15" t="inlineStr">
        <is>
          <t>USD</t>
        </is>
      </c>
      <c r="D7" s="15" t="inlineStr">
        <is>
          <t>Grup Banpu; beberapa konsesi di Kaltim/Kalsel</t>
        </is>
      </c>
      <c r="E7" s="15" t="inlineStr">
        <is>
          <t>Rincian BPP (kontraktor, BBM, royalti), KPI SR &amp; cash cost di laporan tahunan</t>
        </is>
      </c>
    </row>
    <row r="8">
      <c r="A8" s="15" t="inlineStr">
        <is>
          <t>AADI</t>
        </is>
      </c>
      <c r="B8" s="15" t="inlineStr">
        <is>
          <t>PT Adaro Andalan Indonesia Tbk</t>
        </is>
      </c>
      <c r="C8" s="15" t="inlineStr">
        <is>
          <t>USD</t>
        </is>
      </c>
      <c r="D8" s="15" t="inlineStr">
        <is>
          <t>Pemisahan bisnis batubara termal grup Adaro (2024); integrasi tambang–logistik</t>
        </is>
      </c>
      <c r="E8" s="15" t="inlineStr">
        <is>
          <t>Contoh integrasi hauling, barging, pelabuhan; pelaporan segmen</t>
        </is>
      </c>
    </row>
    <row r="9">
      <c r="A9" s="15" t="inlineStr">
        <is>
          <t>BUMI</t>
        </is>
      </c>
      <c r="B9" s="15" t="inlineStr">
        <is>
          <t>PT Bumi Resources Tbk</t>
        </is>
      </c>
      <c r="C9" s="15" t="inlineStr">
        <is>
          <t>USD</t>
        </is>
      </c>
      <c r="D9" s="15" t="inlineStr">
        <is>
          <t>Pemegang KPC &amp; Arutmin (IUPK)</t>
        </is>
      </c>
      <c r="E9" s="15" t="inlineStr">
        <is>
          <t>Struktur royalti IUPK; laporan entitas asosiasi</t>
        </is>
      </c>
    </row>
    <row r="10">
      <c r="A10" s="15" t="inlineStr">
        <is>
          <t>BYAN</t>
        </is>
      </c>
      <c r="B10" s="15" t="inlineStr">
        <is>
          <t>PT Bayan Resources Tbk</t>
        </is>
      </c>
      <c r="C10" s="15" t="inlineStr">
        <is>
          <t>USD</t>
        </is>
      </c>
      <c r="D10" s="15" t="inlineStr">
        <is>
          <t>Biaya produksi rendah, SR rendah, logistik sungai</t>
        </is>
      </c>
      <c r="E10" s="15" t="inlineStr">
        <is>
          <t>Benchmark efisiensi biaya &amp; SR</t>
        </is>
      </c>
    </row>
    <row r="11">
      <c r="A11" s="15" t="inlineStr">
        <is>
          <t>INDY</t>
        </is>
      </c>
      <c r="B11" s="15" t="inlineStr">
        <is>
          <t>PT Indika Energy Tbk</t>
        </is>
      </c>
      <c r="C11" s="15" t="inlineStr">
        <is>
          <t>USD</t>
        </is>
      </c>
      <c r="D11" s="15" t="inlineStr">
        <is>
          <t>Grup energi terdiversifikasi (Kideco)</t>
        </is>
      </c>
      <c r="E11" s="15" t="inlineStr">
        <is>
          <t>Pelaporan segmen &amp; diversifikasi</t>
        </is>
      </c>
    </row>
    <row r="12">
      <c r="A12" s="15" t="inlineStr">
        <is>
          <t>GEMS</t>
        </is>
      </c>
      <c r="B12" s="15" t="inlineStr">
        <is>
          <t>PT Golden Energy Mines Tbk</t>
        </is>
      </c>
      <c r="C12" s="15" t="inlineStr">
        <is>
          <t>USD</t>
        </is>
      </c>
      <c r="D12" s="15" t="inlineStr">
        <is>
          <t>Produsen batubara kalori menengah–rendah</t>
        </is>
      </c>
      <c r="E12" s="15" t="inlineStr">
        <is>
          <t>Profil produk CV rendah mirip banyak tambang IUP</t>
        </is>
      </c>
    </row>
    <row r="13">
      <c r="A13" s="15" t="inlineStr">
        <is>
          <t>HRUM</t>
        </is>
      </c>
      <c r="B13" s="15" t="inlineStr">
        <is>
          <t>PT Harum Energy Tbk</t>
        </is>
      </c>
      <c r="C13" s="15" t="inlineStr">
        <is>
          <t>USD</t>
        </is>
      </c>
      <c r="D13" s="15" t="inlineStr">
        <is>
          <t>Batubara + diversifikasi nikel</t>
        </is>
      </c>
      <c r="E13" s="15" t="inlineStr">
        <is>
          <t>Pelaporan segmen lintas komoditas</t>
        </is>
      </c>
    </row>
    <row r="15">
      <c r="A15" s="67" t="inlineStr">
        <is>
          <t>Sumber unduhan: www.idx.co.id → Perusahaan Tercatat → Laporan Keuangan &amp; Tahunan; situs Investor Relations masing-masing emiten; MODI/MinerbaOne (Kementerian ESDM) untuk data produksi &amp; HBA.</t>
        </is>
      </c>
    </row>
    <row r="16">
      <c r="A16" s="67" t="inlineStr">
        <is>
          <t>Di catatan atas laporan keuangan (CALK), cari catatan: "Pendapatan" (per pelanggan/pasar), "Beban Pokok Pendapatan" (rincian per jenis biaya), "Beban Usaha", "Informasi Segmen", "Provisi Reklamasi".</t>
        </is>
      </c>
    </row>
    <row r="18">
      <c r="A18" s="4" t="inlineStr">
        <is>
          <t>2. KISARAN KPI INDUSTRI BATUBARA TERMAL INDONESIA (INDIKATIF – validasi sebelum dipakai sebagai target)</t>
        </is>
      </c>
      <c r="B18" s="5" t="n"/>
      <c r="C18" s="5" t="n"/>
      <c r="D18" s="5" t="n"/>
      <c r="E18" s="5" t="n"/>
    </row>
    <row r="19">
      <c r="A19" s="16" t="inlineStr">
        <is>
          <t>KPI</t>
        </is>
      </c>
      <c r="B19" s="16" t="inlineStr">
        <is>
          <t>Satuan</t>
        </is>
      </c>
      <c r="C19" s="16" t="inlineStr">
        <is>
          <t>Kisaran indikatif</t>
        </is>
      </c>
      <c r="D19" s="16" t="inlineStr">
        <is>
          <t>Faktor penentu</t>
        </is>
      </c>
      <c r="E19" s="16" t="inlineStr">
        <is>
          <t>Catatan</t>
        </is>
      </c>
    </row>
    <row r="20">
      <c r="A20" s="15" t="inlineStr">
        <is>
          <t>Stripping ratio</t>
        </is>
      </c>
      <c r="B20" s="15" t="inlineStr">
        <is>
          <t>bcm/t</t>
        </is>
      </c>
      <c r="C20" s="15" t="inlineStr">
        <is>
          <t>3 – 12</t>
        </is>
      </c>
      <c r="D20" s="15" t="inlineStr">
        <is>
          <t>Geologi, kedalaman seam, desain pit</t>
        </is>
      </c>
      <c r="E20" s="15" t="inlineStr">
        <is>
          <t>Tambang SR rendah (&lt;5) umumnya berbiaya rendah</t>
        </is>
      </c>
    </row>
    <row r="21">
      <c r="A21" s="15" t="inlineStr">
        <is>
          <t>Tarif kontraktor OB (excl. BBM)</t>
        </is>
      </c>
      <c r="B21" s="15" t="inlineStr">
        <is>
          <t>USD/bcm</t>
        </is>
      </c>
      <c r="C21" s="15" t="inlineStr">
        <is>
          <t>± 1,5 – 3,0</t>
        </is>
      </c>
      <c r="D21" s="15" t="inlineStr">
        <is>
          <t>Jarak angkut OB, fleet, kontrak rise &amp; fall</t>
        </is>
      </c>
      <c r="E21" s="15" t="inlineStr">
        <is>
          <t>Sangat bergantung kontrak</t>
        </is>
      </c>
    </row>
    <row r="22">
      <c r="A22" s="15" t="inlineStr">
        <is>
          <t>Fuel ratio</t>
        </is>
      </c>
      <c r="B22" s="15" t="inlineStr">
        <is>
          <t>L/bcm</t>
        </is>
      </c>
      <c r="C22" s="15" t="inlineStr">
        <is>
          <t>± 0,8 – 1,2</t>
        </is>
      </c>
      <c r="D22" s="15" t="inlineStr">
        <is>
          <t>Jarak &amp; grade jalan, umur armada</t>
        </is>
      </c>
      <c r="E22" s="15" t="inlineStr"/>
    </row>
    <row r="23">
      <c r="A23" s="15" t="inlineStr">
        <is>
          <t>Tarif hauling batubara</t>
        </is>
      </c>
      <c r="B23" s="15" t="inlineStr">
        <is>
          <t>USD/t-km</t>
        </is>
      </c>
      <c r="C23" s="15" t="inlineStr">
        <is>
          <t>± 0,08 – 0,15</t>
        </is>
      </c>
      <c r="D23" s="15" t="inlineStr">
        <is>
          <t>Kondisi jalan, kapasitas truk</t>
        </is>
      </c>
      <c r="E23" s="15" t="inlineStr"/>
    </row>
    <row r="24">
      <c r="A24" s="15" t="inlineStr">
        <is>
          <t>Tarif barging</t>
        </is>
      </c>
      <c r="B24" s="15" t="inlineStr">
        <is>
          <t>USD/t</t>
        </is>
      </c>
      <c r="C24" s="15" t="inlineStr">
        <is>
          <t>± 3 – 8</t>
        </is>
      </c>
      <c r="D24" s="15" t="inlineStr">
        <is>
          <t>Jarak sungai/laut, musim, pasar tongkang</t>
        </is>
      </c>
      <c r="E24" s="15" t="inlineStr"/>
    </row>
    <row r="25">
      <c r="A25" s="15" t="inlineStr">
        <is>
          <t>Cash cost FOB excl. royalti</t>
        </is>
      </c>
      <c r="B25" s="15" t="inlineStr">
        <is>
          <t>USD/t</t>
        </is>
      </c>
      <c r="C25" s="15" t="inlineStr">
        <is>
          <t>± 25 – 50</t>
        </is>
      </c>
      <c r="D25" s="15" t="inlineStr">
        <is>
          <t>SR, logistik, skala</t>
        </is>
      </c>
      <c r="E25" s="15" t="inlineStr">
        <is>
          <t>Bandingkan pada CV setara</t>
        </is>
      </c>
    </row>
    <row r="26">
      <c r="A26" s="15" t="inlineStr">
        <is>
          <t>Royalti</t>
        </is>
      </c>
      <c r="B26" s="15" t="inlineStr">
        <is>
          <t>% harga</t>
        </is>
      </c>
      <c r="C26" s="15" t="inlineStr">
        <is>
          <t>IUP: bertingkat (PP 26/2022); IUPK: 14%–28% (PP 15/2022)</t>
        </is>
      </c>
      <c r="D26" s="15" t="inlineStr">
        <is>
          <t>CV, HBA, jenis izin</t>
        </is>
      </c>
      <c r="E26" s="15" t="inlineStr">
        <is>
          <t>Cek regulasi terbaru</t>
        </is>
      </c>
    </row>
    <row r="27">
      <c r="A27" s="15" t="inlineStr">
        <is>
          <t>Physical availability (PA)</t>
        </is>
      </c>
      <c r="B27" s="15" t="inlineStr">
        <is>
          <t>%</t>
        </is>
      </c>
      <c r="C27" s="15" t="inlineStr">
        <is>
          <t>± 85 – 92</t>
        </is>
      </c>
      <c r="D27" s="15" t="inlineStr">
        <is>
          <t>Program perawatan</t>
        </is>
      </c>
      <c r="E27" s="15" t="inlineStr"/>
    </row>
    <row r="28">
      <c r="A28" s="15" t="inlineStr">
        <is>
          <t>Use of availability (UA)</t>
        </is>
      </c>
      <c r="B28" s="15" t="inlineStr">
        <is>
          <t>%</t>
        </is>
      </c>
      <c r="C28" s="15" t="inlineStr">
        <is>
          <t>± 70 – 85</t>
        </is>
      </c>
      <c r="D28" s="15" t="inlineStr">
        <is>
          <t>Hujan, slippery, manajemen dispatch</t>
        </is>
      </c>
      <c r="E28" s="15" t="inlineStr"/>
    </row>
    <row r="29">
      <c r="A29" s="15" t="inlineStr">
        <is>
          <t>Marjin EBITDA</t>
        </is>
      </c>
      <c r="B29" s="15" t="inlineStr">
        <is>
          <t>%</t>
        </is>
      </c>
      <c r="C29" s="15" t="inlineStr">
        <is>
          <t>sangat siklikal: ± 15 – 45</t>
        </is>
      </c>
      <c r="D29" s="15" t="inlineStr">
        <is>
          <t>Harga batubara, biaya</t>
        </is>
      </c>
      <c r="E29" s="15" t="inlineStr">
        <is>
          <t>Bandingkan dalam tahun yang sama</t>
        </is>
      </c>
    </row>
    <row r="30">
      <c r="A30" s="15" t="inlineStr">
        <is>
          <t>Kewajiban DMO</t>
        </is>
      </c>
      <c r="B30" s="15" t="inlineStr">
        <is>
          <t>% penjualan</t>
        </is>
      </c>
      <c r="C30" s="15" t="inlineStr">
        <is>
          <t>≥ 25</t>
        </is>
      </c>
      <c r="D30" s="15" t="inlineStr">
        <is>
          <t>Kepmen ESDM</t>
        </is>
      </c>
      <c r="E30" s="15" t="inlineStr">
        <is>
          <t>Kompensasi/denda bila tidak terpenuhi</t>
        </is>
      </c>
    </row>
    <row r="32">
      <c r="A32" s="75" t="inlineStr">
        <is>
          <t>Disclaimer: kisaran di atas adalah perkiraan umum penyusun untuk orientasi, bukan kutipan dari laporan emiten tertentu.</t>
        </is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10" customWidth="1" min="2" max="2"/>
    <col width="2" customWidth="1" min="3" max="3"/>
  </cols>
  <sheetData>
    <row r="1">
      <c r="A1" s="1" t="inlineStr">
        <is>
          <t>GEG – Petunjuk Penggunaan Template Pelaporan Bulanan</t>
        </is>
      </c>
      <c r="B1" s="2" t="n"/>
      <c r="C1" s="2" t="n"/>
    </row>
    <row r="2">
      <c r="A2" s="3" t="inlineStr">
        <is>
          <t>Global Energy Group | FP&amp;A monthly management reporting pack</t>
        </is>
      </c>
    </row>
    <row r="4">
      <c r="A4" s="4" t="inlineStr">
        <is>
          <t>A. STRUKTUR TEMPLATE</t>
        </is>
      </c>
      <c r="B4" s="5" t="n"/>
      <c r="C4" s="5" t="n"/>
    </row>
    <row r="5">
      <c r="A5" s="46" t="inlineStr">
        <is>
          <t>C1 GEG Setting</t>
        </is>
      </c>
      <c r="B5" s="15" t="inlineStr">
        <is>
          <t>Pilih bulan laporan, skala penilaian KPI, predikat. Satu sel (C6) menggerakkan seluruh laporan.</t>
        </is>
      </c>
    </row>
    <row r="6">
      <c r="A6" s="46" t="inlineStr">
        <is>
          <t>C2 / C3 Ops Budget &amp; Aktual</t>
        </is>
      </c>
      <c r="B6" s="15" t="inlineStr">
        <is>
          <t>Data operasional bulanan: OB, produksi, SR, hauling, barging, penjualan per pasar, harga, kurs, BBM, PA/UA, K3, reklamasi.</t>
        </is>
      </c>
    </row>
    <row r="7">
      <c r="A7" s="46" t="inlineStr">
        <is>
          <t>C4 / C5 LR Budget &amp; Aktual</t>
        </is>
      </c>
      <c r="B7" s="15" t="inlineStr">
        <is>
          <t>Laba rugi bulanan per kode akun (chart of accounts standar tambang). Subtotal otomatis.</t>
        </is>
      </c>
    </row>
    <row r="8">
      <c r="A8" s="46" t="inlineStr">
        <is>
          <t>C6 Neraca Aktual</t>
        </is>
      </c>
      <c r="B8" s="15" t="inlineStr">
        <is>
          <t>Saldo neraca akhir bulan + saldo awal tahun. Baris cek harus 0.</t>
        </is>
      </c>
    </row>
    <row r="9">
      <c r="A9" s="46" t="inlineStr">
        <is>
          <t>C7 Arus Kas</t>
        </is>
      </c>
      <c r="B9" s="15" t="inlineStr">
        <is>
          <t>Otomatis (metode tidak langsung) dari C5 &amp; C6, termasuk rekonsiliasi kas &amp; free cash flow.</t>
        </is>
      </c>
    </row>
    <row r="10">
      <c r="A10" s="46" t="inlineStr">
        <is>
          <t>C8 Lap LR</t>
        </is>
      </c>
      <c r="B10" s="15" t="inlineStr">
        <is>
          <t>Laba rugi bulan berjalan &amp; YTD: aktual vs budget, varians, F/U.</t>
        </is>
      </c>
    </row>
    <row r="11">
      <c r="A11" s="46" t="inlineStr">
        <is>
          <t>C9 Lap Ops</t>
        </is>
      </c>
      <c r="B11" s="15" t="inlineStr">
        <is>
          <t>Kinerja operasional bulan berjalan &amp; YTD vs budget dengan status tercapai.</t>
        </is>
      </c>
    </row>
    <row r="12">
      <c r="A12" s="46" t="inlineStr">
        <is>
          <t>C10 COP</t>
        </is>
      </c>
      <c r="B12" s="15" t="inlineStr">
        <is>
          <t>Cost of production per unit (USD/bcm, USD/t, USD/t-km), cash cost, total cost, marjin kas.</t>
        </is>
      </c>
    </row>
    <row r="13">
      <c r="A13" s="46" t="inlineStr">
        <is>
          <t>C11 KPI Scorecard</t>
        </is>
      </c>
      <c r="B13" s="15" t="inlineStr">
        <is>
          <t>28 KPI dalam 5 perspektif, bobot 100%, skor 1–5, status Hijau/Kuning/Merah, predikat kinerja.</t>
        </is>
      </c>
    </row>
    <row r="14">
      <c r="A14" s="4" t="inlineStr">
        <is>
          <t>B. KODE WARNA</t>
        </is>
      </c>
      <c r="B14" s="5" t="n"/>
      <c r="C14" s="5" t="n"/>
    </row>
    <row r="15">
      <c r="A15" s="46" t="inlineStr">
        <is>
          <t>Teks biru + sel kuning muda</t>
        </is>
      </c>
      <c r="B15" s="15" t="inlineStr">
        <is>
          <t>Sel input – diisi dari GL / laporan produksi. Data contoh sudah terisi: GANTI dengan data GEG.</t>
        </is>
      </c>
    </row>
    <row r="16">
      <c r="A16" s="46" t="inlineStr">
        <is>
          <t>Teks hitam</t>
        </is>
      </c>
      <c r="B16" s="15" t="inlineStr">
        <is>
          <t>Rumus – jangan ditimpa.</t>
        </is>
      </c>
    </row>
    <row r="17">
      <c r="A17" s="46" t="inlineStr">
        <is>
          <t>Teks hijau</t>
        </is>
      </c>
      <c r="B17" s="15" t="inlineStr">
        <is>
          <t>Tautan dari sheet lain.</t>
        </is>
      </c>
    </row>
    <row r="18">
      <c r="A18" s="46" t="inlineStr">
        <is>
          <t>Sel kuning terang</t>
        </is>
      </c>
      <c r="B18" s="15" t="inlineStr">
        <is>
          <t>Parameter kunci (bulan laporan, skor total).</t>
        </is>
      </c>
    </row>
    <row r="19">
      <c r="A19" s="4" t="inlineStr">
        <is>
          <t>C. LANGKAH PENUTUPAN BULANAN (MONTHLY CLOSING)</t>
        </is>
      </c>
      <c r="B19" s="5" t="n"/>
      <c r="C19" s="5" t="n"/>
    </row>
    <row r="20">
      <c r="A20" s="46" t="inlineStr">
        <is>
          <t>H+3</t>
        </is>
      </c>
      <c r="B20" s="15" t="inlineStr">
        <is>
          <t>Operasi menyerahkan data produksi final (rekonsiliasi survei bulanan OB &amp; stok, bukan hanya truck count).</t>
        </is>
      </c>
    </row>
    <row r="21">
      <c r="A21" s="46" t="inlineStr">
        <is>
          <t>H+5</t>
        </is>
      </c>
      <c r="B21" s="15" t="inlineStr">
        <is>
          <t>Akuntansi menutup buku; mapping GL → kode akun template (4xxx pendapatan, 5xxx BPP, 6xxx beban usaha, 7xxx lain-lain, 8xxx pajak).</t>
        </is>
      </c>
    </row>
    <row r="22">
      <c r="A22" s="46" t="inlineStr">
        <is>
          <t>H+6</t>
        </is>
      </c>
      <c r="B22" s="15" t="inlineStr">
        <is>
          <t>FP&amp;A input C3, C5, C6 → cek baris "Cek keseimbangan" (C6) dan "Cek vs kas di neraca" (C7) = 0.</t>
        </is>
      </c>
    </row>
    <row r="23">
      <c r="A23" s="46" t="inlineStr">
        <is>
          <t>H+7</t>
        </is>
      </c>
      <c r="B23" s="15" t="inlineStr">
        <is>
          <t>FP&amp;A menulis komentar varians &gt; ±5% atau &gt; Rp 1 miliar di C8/C10; review KPI merah bersama PIC.</t>
        </is>
      </c>
    </row>
    <row r="24">
      <c r="A24" s="46" t="inlineStr">
        <is>
          <t>H+8</t>
        </is>
      </c>
      <c r="B24" s="15" t="inlineStr">
        <is>
          <t>Paket laporan ke Direksi: C8, C9, C10, C11 (+ grafik bila perlu).</t>
        </is>
      </c>
    </row>
    <row r="25">
      <c r="A25" s="4" t="inlineStr">
        <is>
          <t>D. ATURAN PENTING</t>
        </is>
      </c>
      <c r="B25" s="5" t="n"/>
      <c r="C25" s="5" t="n"/>
    </row>
    <row r="26">
      <c r="A26" s="46" t="inlineStr">
        <is>
          <t>Konsistensi basis</t>
        </is>
      </c>
      <c r="B26" s="15" t="inlineStr">
        <is>
          <t>Mining cost per ton PRODUKSI; logistik, royalti, penjualan &amp; cash cost per ton PENJUALAN; OB per BCM.</t>
        </is>
      </c>
    </row>
    <row r="27">
      <c r="A27" s="46" t="inlineStr">
        <is>
          <t>Tanda (sign)</t>
        </is>
      </c>
      <c r="B27" s="15" t="inlineStr">
        <is>
          <t>Beban diisi positif. Penalti kualitas &amp; beban keuangan diisi negatif. Perubahan persediaan: positif bila stok turun.</t>
        </is>
      </c>
    </row>
    <row r="28">
      <c r="A28" s="46" t="inlineStr">
        <is>
          <t>Budget</t>
        </is>
      </c>
      <c r="B28" s="15" t="inlineStr">
        <is>
          <t>Budget/RKAP dikunci setelah disetujui; revisi disimpan sebagai versi terpisah (mis. Forecast Q2).</t>
        </is>
      </c>
    </row>
    <row r="29">
      <c r="A29" s="46" t="inlineStr">
        <is>
          <t>Rekonsiliasi</t>
        </is>
      </c>
      <c r="B29" s="15" t="inlineStr">
        <is>
          <t>Volume penjualan C3 harus cocok dengan invoice &amp; B/L; produksi harus cocok dengan laporan RKAB/MODI.</t>
        </is>
      </c>
    </row>
    <row r="30">
      <c r="A30" s="46" t="inlineStr">
        <is>
          <t>Menambah akun</t>
        </is>
      </c>
      <c r="B30" s="15" t="inlineStr">
        <is>
          <t>Sisipkan baris DI ATAS baris subtotal agar rumus SUM otomatis mencakup; periksa ulang C8 &amp; C10.</t>
        </is>
      </c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H2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" customWidth="1" min="2" max="2"/>
    <col width="26" customWidth="1" min="3" max="3"/>
    <col width="4" customWidth="1" min="4" max="4"/>
    <col width="4" customWidth="1" min="5" max="5"/>
    <col width="6" customWidth="1" min="6" max="6"/>
    <col width="10" customWidth="1" min="7" max="7"/>
  </cols>
  <sheetData>
    <row r="1">
      <c r="A1" s="1" t="inlineStr">
        <is>
          <t>GEG – Pengaturan Laporan &amp; Parameter KPI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Ubah BULAN LAPORAN (sel kuning terang) untuk menggeser seluruh laporan bulanan &amp; scorecard.</t>
        </is>
      </c>
    </row>
    <row r="3">
      <c r="F3" s="46" t="inlineStr">
        <is>
          <t>No</t>
        </is>
      </c>
      <c r="G3" s="46" t="inlineStr">
        <is>
          <t>Bulan</t>
        </is>
      </c>
    </row>
    <row r="4">
      <c r="A4" s="46" t="inlineStr">
        <is>
          <t>Nama perusahaan</t>
        </is>
      </c>
      <c r="C4" s="76" t="inlineStr">
        <is>
          <t>PT Global Energy Group</t>
        </is>
      </c>
      <c r="F4" s="19" t="n">
        <v>1</v>
      </c>
      <c r="G4" s="10" t="inlineStr">
        <is>
          <t>Jan</t>
        </is>
      </c>
    </row>
    <row r="5">
      <c r="A5" s="46" t="inlineStr">
        <is>
          <t>Tahun anggaran</t>
        </is>
      </c>
      <c r="C5" s="77" t="n">
        <v>2026</v>
      </c>
      <c r="F5" s="19" t="n">
        <v>2</v>
      </c>
      <c r="G5" s="10" t="inlineStr">
        <is>
          <t>Feb</t>
        </is>
      </c>
    </row>
    <row r="6">
      <c r="A6" s="46" t="inlineStr">
        <is>
          <t>Bulan laporan (1–12)</t>
        </is>
      </c>
      <c r="C6" s="78" t="n">
        <v>8</v>
      </c>
      <c r="F6" s="19" t="n">
        <v>3</v>
      </c>
      <c r="G6" s="10" t="inlineStr">
        <is>
          <t>Mar</t>
        </is>
      </c>
    </row>
    <row r="7">
      <c r="A7" s="46" t="inlineStr">
        <is>
          <t>Nama bulan laporan</t>
        </is>
      </c>
      <c r="C7" s="10">
        <f>INDEX($G$4:$G$15,C6)</f>
        <v/>
      </c>
      <c r="F7" s="19" t="n">
        <v>4</v>
      </c>
      <c r="G7" s="10" t="inlineStr">
        <is>
          <t>Apr</t>
        </is>
      </c>
    </row>
    <row r="8">
      <c r="A8" s="46" t="inlineStr">
        <is>
          <t>Satuan uang</t>
        </is>
      </c>
      <c r="C8" s="76" t="inlineStr">
        <is>
          <t>Rp juta</t>
        </is>
      </c>
      <c r="F8" s="19" t="n">
        <v>5</v>
      </c>
      <c r="G8" s="10" t="inlineStr">
        <is>
          <t>Mei</t>
        </is>
      </c>
    </row>
    <row r="9">
      <c r="A9" s="46" t="inlineStr">
        <is>
          <t>Kurs budget (informasi)</t>
        </is>
      </c>
      <c r="C9" s="17" t="n">
        <v>16400</v>
      </c>
      <c r="F9" s="19" t="n">
        <v>6</v>
      </c>
      <c r="G9" s="10" t="inlineStr">
        <is>
          <t>Jun</t>
        </is>
      </c>
    </row>
    <row r="10">
      <c r="F10" s="19" t="n">
        <v>7</v>
      </c>
      <c r="G10" s="10" t="inlineStr">
        <is>
          <t>Jul</t>
        </is>
      </c>
    </row>
    <row r="11">
      <c r="A11" s="4" t="inlineStr">
        <is>
          <t>SKALA PENILAIAN KPI</t>
        </is>
      </c>
      <c r="B11" s="5" t="n"/>
      <c r="C11" s="5" t="n"/>
      <c r="D11" s="5" t="n"/>
      <c r="F11" s="19" t="n">
        <v>8</v>
      </c>
      <c r="G11" s="10" t="inlineStr">
        <is>
          <t>Agu</t>
        </is>
      </c>
    </row>
    <row r="12">
      <c r="A12" s="10" t="inlineStr">
        <is>
          <t>Skor 5 jika pencapaian ≥</t>
        </is>
      </c>
      <c r="C12" s="25" t="n">
        <v>1.05</v>
      </c>
      <c r="F12" s="19" t="n">
        <v>9</v>
      </c>
      <c r="G12" s="10" t="inlineStr">
        <is>
          <t>Sep</t>
        </is>
      </c>
    </row>
    <row r="13">
      <c r="A13" s="10" t="inlineStr">
        <is>
          <t>Skor 4 jika pencapaian ≥</t>
        </is>
      </c>
      <c r="C13" s="25" t="n">
        <v>1</v>
      </c>
      <c r="F13" s="19" t="n">
        <v>10</v>
      </c>
      <c r="G13" s="10" t="inlineStr">
        <is>
          <t>Okt</t>
        </is>
      </c>
    </row>
    <row r="14">
      <c r="A14" s="10" t="inlineStr">
        <is>
          <t>Skor 3 jika pencapaian ≥</t>
        </is>
      </c>
      <c r="C14" s="25" t="n">
        <v>0.95</v>
      </c>
      <c r="F14" s="19" t="n">
        <v>11</v>
      </c>
      <c r="G14" s="10" t="inlineStr">
        <is>
          <t>Nov</t>
        </is>
      </c>
    </row>
    <row r="15">
      <c r="A15" s="10" t="inlineStr">
        <is>
          <t>Skor 2 jika pencapaian ≥</t>
        </is>
      </c>
      <c r="C15" s="25" t="n">
        <v>0.9</v>
      </c>
      <c r="F15" s="19" t="n">
        <v>12</v>
      </c>
      <c r="G15" s="10" t="inlineStr">
        <is>
          <t>Des</t>
        </is>
      </c>
    </row>
    <row r="16">
      <c r="A16" s="10" t="inlineStr">
        <is>
          <t>Status HIJAU jika pencapaian ≥</t>
        </is>
      </c>
      <c r="C16" s="25" t="n">
        <v>1</v>
      </c>
    </row>
    <row r="17">
      <c r="A17" s="10" t="inlineStr">
        <is>
          <t>Status KUNING jika pencapaian ≥</t>
        </is>
      </c>
      <c r="C17" s="25" t="n">
        <v>0.95</v>
      </c>
    </row>
    <row r="18">
      <c r="A18" s="10" t="inlineStr">
        <is>
          <t>Batas atas pencapaian (cap)</t>
        </is>
      </c>
      <c r="C18" s="25" t="n">
        <v>1.2</v>
      </c>
    </row>
    <row r="19">
      <c r="A19" s="3" t="inlineStr">
        <is>
          <t>Skor 1 bila di bawah ambang skor 2; status MERAH bila di bawah ambang kuning.</t>
        </is>
      </c>
    </row>
    <row r="21">
      <c r="A21" s="4" t="inlineStr">
        <is>
          <t>PREDIKAT SKOR TERTIMBANG</t>
        </is>
      </c>
      <c r="B21" s="5" t="n"/>
      <c r="C21" s="5" t="n"/>
      <c r="D21" s="5" t="n"/>
    </row>
    <row r="22">
      <c r="A22" s="46" t="inlineStr">
        <is>
          <t>Skor minimum</t>
        </is>
      </c>
      <c r="C22" s="46" t="inlineStr">
        <is>
          <t>Predikat</t>
        </is>
      </c>
    </row>
    <row r="23">
      <c r="A23" s="79" t="n">
        <v>4.5</v>
      </c>
      <c r="C23" s="10" t="inlineStr">
        <is>
          <t>Sangat Baik</t>
        </is>
      </c>
    </row>
    <row r="24">
      <c r="A24" s="79" t="n">
        <v>3.5</v>
      </c>
      <c r="C24" s="10" t="inlineStr">
        <is>
          <t>Baik</t>
        </is>
      </c>
    </row>
    <row r="25">
      <c r="A25" s="79" t="n">
        <v>2.5</v>
      </c>
      <c r="C25" s="10" t="inlineStr">
        <is>
          <t>Cukup</t>
        </is>
      </c>
    </row>
    <row r="26">
      <c r="A26" s="79" t="n">
        <v>1.5</v>
      </c>
      <c r="C26" s="10" t="inlineStr">
        <is>
          <t>Kurang</t>
        </is>
      </c>
    </row>
    <row r="27">
      <c r="A27" s="79" t="n">
        <v>0</v>
      </c>
      <c r="C27" s="10" t="inlineStr">
        <is>
          <t>Buruk</t>
        </is>
      </c>
    </row>
  </sheetData>
  <dataValidations count="1">
    <dataValidation sqref="C6" showDropDown="0" showInputMessage="0" showErrorMessage="1" allowBlank="0" error="Isi 1–12" type="whole" operator="between">
      <formula1>1</formula1>
      <formula2>12</formula2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3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>
      <c r="A1" s="1" t="inlineStr">
        <is>
          <t>GEG – Data Operasional BUDGET / RKAP Bulanan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Isi sel kuning (teks biru) per bulan. Baris hitam = rumus otomatis. Kolom P = total/rata-rata tahun.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>
        <is>
          <t>No</t>
        </is>
      </c>
      <c r="B6" s="16" t="inlineStr">
        <is>
          <t>Parameter</t>
        </is>
      </c>
      <c r="C6" s="16" t="inlineStr">
        <is>
          <t>Satuan</t>
        </is>
      </c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  <c r="P6" s="16" t="inlineStr">
        <is>
          <t>FY / YTD</t>
        </is>
      </c>
    </row>
    <row r="7">
      <c r="A7" s="4" t="inlineStr">
        <is>
          <t>PRODUKSI &amp; OPERASI TAMBANG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A8" s="61" t="n">
        <v>1</v>
      </c>
      <c r="B8" s="10" t="inlineStr">
        <is>
          <t>OB removal</t>
        </is>
      </c>
      <c r="C8" s="3" t="inlineStr">
        <is>
          <t>bcm</t>
        </is>
      </c>
      <c r="D8" s="17" t="n">
        <v>1677000</v>
      </c>
      <c r="E8" s="17" t="n">
        <v>1638000</v>
      </c>
      <c r="F8" s="17" t="n">
        <v>1813500</v>
      </c>
      <c r="G8" s="17" t="n">
        <v>1950000</v>
      </c>
      <c r="H8" s="17" t="n">
        <v>2047500</v>
      </c>
      <c r="I8" s="17" t="n">
        <v>2086500</v>
      </c>
      <c r="J8" s="17" t="n">
        <v>2145000</v>
      </c>
      <c r="K8" s="17" t="n">
        <v>2145000</v>
      </c>
      <c r="L8" s="17" t="n">
        <v>2067000</v>
      </c>
      <c r="M8" s="17" t="n">
        <v>1989000</v>
      </c>
      <c r="N8" s="17" t="n">
        <v>1891500</v>
      </c>
      <c r="O8" s="17" t="n">
        <v>1794000</v>
      </c>
      <c r="P8" s="71">
        <f>SUM(D8:O8)</f>
        <v/>
      </c>
    </row>
    <row r="9">
      <c r="A9" s="61" t="n">
        <v>2</v>
      </c>
      <c r="B9" s="10" t="inlineStr">
        <is>
          <t>Produksi batubara (coal getting / ROM)</t>
        </is>
      </c>
      <c r="C9" s="3" t="inlineStr">
        <is>
          <t>ton</t>
        </is>
      </c>
      <c r="D9" s="17" t="n">
        <v>215000</v>
      </c>
      <c r="E9" s="17" t="n">
        <v>210000</v>
      </c>
      <c r="F9" s="17" t="n">
        <v>232500</v>
      </c>
      <c r="G9" s="17" t="n">
        <v>250000</v>
      </c>
      <c r="H9" s="17" t="n">
        <v>262500</v>
      </c>
      <c r="I9" s="17" t="n">
        <v>267500</v>
      </c>
      <c r="J9" s="17" t="n">
        <v>275000</v>
      </c>
      <c r="K9" s="17" t="n">
        <v>275000</v>
      </c>
      <c r="L9" s="17" t="n">
        <v>265000</v>
      </c>
      <c r="M9" s="17" t="n">
        <v>255000</v>
      </c>
      <c r="N9" s="17" t="n">
        <v>242500</v>
      </c>
      <c r="O9" s="17" t="n">
        <v>230000</v>
      </c>
      <c r="P9" s="71">
        <f>SUM(D9:O9)</f>
        <v/>
      </c>
    </row>
    <row r="10">
      <c r="A10" s="61" t="n">
        <v>3</v>
      </c>
      <c r="B10" s="10" t="inlineStr">
        <is>
          <t>Stripping ratio</t>
        </is>
      </c>
      <c r="C10" s="3" t="inlineStr">
        <is>
          <t>bcm/t</t>
        </is>
      </c>
      <c r="D10" s="47">
        <f>IFERROR(D8/D9,0)</f>
        <v/>
      </c>
      <c r="E10" s="47">
        <f>IFERROR(E8/E9,0)</f>
        <v/>
      </c>
      <c r="F10" s="47">
        <f>IFERROR(F8/F9,0)</f>
        <v/>
      </c>
      <c r="G10" s="47">
        <f>IFERROR(G8/G9,0)</f>
        <v/>
      </c>
      <c r="H10" s="47">
        <f>IFERROR(H8/H9,0)</f>
        <v/>
      </c>
      <c r="I10" s="47">
        <f>IFERROR(I8/I9,0)</f>
        <v/>
      </c>
      <c r="J10" s="47">
        <f>IFERROR(J8/J9,0)</f>
        <v/>
      </c>
      <c r="K10" s="47">
        <f>IFERROR(K8/K9,0)</f>
        <v/>
      </c>
      <c r="L10" s="47">
        <f>IFERROR(L8/L9,0)</f>
        <v/>
      </c>
      <c r="M10" s="47">
        <f>IFERROR(M8/M9,0)</f>
        <v/>
      </c>
      <c r="N10" s="47">
        <f>IFERROR(N8/N9,0)</f>
        <v/>
      </c>
      <c r="O10" s="47">
        <f>IFERROR(O8/O9,0)</f>
        <v/>
      </c>
      <c r="P10" s="60">
        <f>IFERROR(P8/P9,0)</f>
        <v/>
      </c>
    </row>
    <row r="11">
      <c r="A11" s="61" t="n">
        <v>4</v>
      </c>
      <c r="B11" s="10" t="inlineStr">
        <is>
          <t>Hauling batubara ke pelabuhan</t>
        </is>
      </c>
      <c r="C11" s="3" t="inlineStr">
        <is>
          <t>ton</t>
        </is>
      </c>
      <c r="D11" s="17" t="n">
        <v>212850</v>
      </c>
      <c r="E11" s="17" t="n">
        <v>207900</v>
      </c>
      <c r="F11" s="17" t="n">
        <v>230175</v>
      </c>
      <c r="G11" s="17" t="n">
        <v>247500</v>
      </c>
      <c r="H11" s="17" t="n">
        <v>259875</v>
      </c>
      <c r="I11" s="17" t="n">
        <v>264825</v>
      </c>
      <c r="J11" s="17" t="n">
        <v>272250</v>
      </c>
      <c r="K11" s="17" t="n">
        <v>272250</v>
      </c>
      <c r="L11" s="17" t="n">
        <v>262350</v>
      </c>
      <c r="M11" s="17" t="n">
        <v>252450</v>
      </c>
      <c r="N11" s="17" t="n">
        <v>240075</v>
      </c>
      <c r="O11" s="17" t="n">
        <v>227700</v>
      </c>
      <c r="P11" s="71">
        <f>SUM(D11:O11)</f>
        <v/>
      </c>
    </row>
    <row r="12">
      <c r="A12" s="61" t="n">
        <v>5</v>
      </c>
      <c r="B12" s="10" t="inlineStr">
        <is>
          <t>Jarak hauling rata-rata</t>
        </is>
      </c>
      <c r="C12" s="3" t="inlineStr">
        <is>
          <t>km</t>
        </is>
      </c>
      <c r="D12" s="79" t="n">
        <v>30</v>
      </c>
      <c r="E12" s="79" t="n">
        <v>30</v>
      </c>
      <c r="F12" s="79" t="n">
        <v>30</v>
      </c>
      <c r="G12" s="79" t="n">
        <v>30</v>
      </c>
      <c r="H12" s="79" t="n">
        <v>30</v>
      </c>
      <c r="I12" s="79" t="n">
        <v>30</v>
      </c>
      <c r="J12" s="79" t="n">
        <v>30</v>
      </c>
      <c r="K12" s="79" t="n">
        <v>30</v>
      </c>
      <c r="L12" s="79" t="n">
        <v>30</v>
      </c>
      <c r="M12" s="79" t="n">
        <v>30</v>
      </c>
      <c r="N12" s="79" t="n">
        <v>30</v>
      </c>
      <c r="O12" s="79" t="n">
        <v>30</v>
      </c>
      <c r="P12" s="81">
        <f>IFERROR(SUMPRODUCT(D12:O12,D11:O11)/SUM(D11:O11),0)</f>
        <v/>
      </c>
    </row>
    <row r="13">
      <c r="A13" s="61" t="n">
        <v>6</v>
      </c>
      <c r="B13" s="10" t="inlineStr">
        <is>
          <t>Barging / pemuatan tongkang</t>
        </is>
      </c>
      <c r="C13" s="3" t="inlineStr">
        <is>
          <t>ton</t>
        </is>
      </c>
      <c r="D13" s="17" t="n">
        <v>210700</v>
      </c>
      <c r="E13" s="17" t="n">
        <v>205800</v>
      </c>
      <c r="F13" s="17" t="n">
        <v>227850</v>
      </c>
      <c r="G13" s="17" t="n">
        <v>245000</v>
      </c>
      <c r="H13" s="17" t="n">
        <v>257250</v>
      </c>
      <c r="I13" s="17" t="n">
        <v>262150</v>
      </c>
      <c r="J13" s="17" t="n">
        <v>269500</v>
      </c>
      <c r="K13" s="17" t="n">
        <v>269500</v>
      </c>
      <c r="L13" s="17" t="n">
        <v>259700</v>
      </c>
      <c r="M13" s="17" t="n">
        <v>249900</v>
      </c>
      <c r="N13" s="17" t="n">
        <v>237650</v>
      </c>
      <c r="O13" s="17" t="n">
        <v>225400</v>
      </c>
      <c r="P13" s="71">
        <f>SUM(D13:O13)</f>
        <v/>
      </c>
    </row>
    <row r="14">
      <c r="A14" s="61" t="n">
        <v>7</v>
      </c>
      <c r="B14" s="10" t="inlineStr">
        <is>
          <t>Stok batubara akhir bulan (ROM + pelabuhan)</t>
        </is>
      </c>
      <c r="C14" s="3" t="inlineStr">
        <is>
          <t>ton</t>
        </is>
      </c>
      <c r="D14" s="17" t="n">
        <v>184300</v>
      </c>
      <c r="E14" s="17" t="n">
        <v>188500</v>
      </c>
      <c r="F14" s="17" t="n">
        <v>193150</v>
      </c>
      <c r="G14" s="17" t="n">
        <v>198150</v>
      </c>
      <c r="H14" s="17" t="n">
        <v>203400</v>
      </c>
      <c r="I14" s="17" t="n">
        <v>208750</v>
      </c>
      <c r="J14" s="17" t="n">
        <v>214250</v>
      </c>
      <c r="K14" s="17" t="n">
        <v>219750</v>
      </c>
      <c r="L14" s="17" t="n">
        <v>225050</v>
      </c>
      <c r="M14" s="17" t="n">
        <v>230150</v>
      </c>
      <c r="N14" s="17" t="n">
        <v>235000</v>
      </c>
      <c r="O14" s="17" t="n">
        <v>239600</v>
      </c>
      <c r="P14" s="71">
        <f>IFERROR(INDEX(D14:O14,COUNT(D14:O14)),0)</f>
        <v/>
      </c>
    </row>
    <row r="15">
      <c r="A15" s="4" t="inlineStr">
        <is>
          <t>PENJUALAN &amp; HARGA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A16" s="61" t="n">
        <v>8</v>
      </c>
      <c r="B16" s="10" t="inlineStr">
        <is>
          <t>Penjualan – Ekspor</t>
        </is>
      </c>
      <c r="C16" s="3" t="inlineStr">
        <is>
          <t>ton</t>
        </is>
      </c>
      <c r="D16" s="17" t="n">
        <v>126420</v>
      </c>
      <c r="E16" s="17" t="n">
        <v>123480</v>
      </c>
      <c r="F16" s="17" t="n">
        <v>136710</v>
      </c>
      <c r="G16" s="17" t="n">
        <v>147000</v>
      </c>
      <c r="H16" s="17" t="n">
        <v>154350</v>
      </c>
      <c r="I16" s="17" t="n">
        <v>157290</v>
      </c>
      <c r="J16" s="17" t="n">
        <v>161700</v>
      </c>
      <c r="K16" s="17" t="n">
        <v>161700</v>
      </c>
      <c r="L16" s="17" t="n">
        <v>155820</v>
      </c>
      <c r="M16" s="17" t="n">
        <v>149940</v>
      </c>
      <c r="N16" s="17" t="n">
        <v>142590</v>
      </c>
      <c r="O16" s="17" t="n">
        <v>135240</v>
      </c>
      <c r="P16" s="71">
        <f>SUM(D16:O16)</f>
        <v/>
      </c>
    </row>
    <row r="17">
      <c r="A17" s="61" t="n">
        <v>9</v>
      </c>
      <c r="B17" s="10" t="inlineStr">
        <is>
          <t>Penjualan – Domestik DMO</t>
        </is>
      </c>
      <c r="C17" s="3" t="inlineStr">
        <is>
          <t>ton</t>
        </is>
      </c>
      <c r="D17" s="17" t="n">
        <v>58996</v>
      </c>
      <c r="E17" s="17" t="n">
        <v>57624</v>
      </c>
      <c r="F17" s="17" t="n">
        <v>63798</v>
      </c>
      <c r="G17" s="17" t="n">
        <v>68600</v>
      </c>
      <c r="H17" s="17" t="n">
        <v>72030</v>
      </c>
      <c r="I17" s="17" t="n">
        <v>73402</v>
      </c>
      <c r="J17" s="17" t="n">
        <v>75460</v>
      </c>
      <c r="K17" s="17" t="n">
        <v>75460</v>
      </c>
      <c r="L17" s="17" t="n">
        <v>72716</v>
      </c>
      <c r="M17" s="17" t="n">
        <v>69972</v>
      </c>
      <c r="N17" s="17" t="n">
        <v>66542</v>
      </c>
      <c r="O17" s="17" t="n">
        <v>63112</v>
      </c>
      <c r="P17" s="71">
        <f>SUM(D17:O17)</f>
        <v/>
      </c>
    </row>
    <row r="18">
      <c r="A18" s="61" t="n">
        <v>10</v>
      </c>
      <c r="B18" s="10" t="inlineStr">
        <is>
          <t>Penjualan – Domestik non-DMO</t>
        </is>
      </c>
      <c r="C18" s="3" t="inlineStr">
        <is>
          <t>ton</t>
        </is>
      </c>
      <c r="D18" s="17" t="n">
        <v>25284</v>
      </c>
      <c r="E18" s="17" t="n">
        <v>24696</v>
      </c>
      <c r="F18" s="17" t="n">
        <v>27342</v>
      </c>
      <c r="G18" s="17" t="n">
        <v>29400</v>
      </c>
      <c r="H18" s="17" t="n">
        <v>30870</v>
      </c>
      <c r="I18" s="17" t="n">
        <v>31458</v>
      </c>
      <c r="J18" s="17" t="n">
        <v>32340</v>
      </c>
      <c r="K18" s="17" t="n">
        <v>32340</v>
      </c>
      <c r="L18" s="17" t="n">
        <v>31164</v>
      </c>
      <c r="M18" s="17" t="n">
        <v>29988</v>
      </c>
      <c r="N18" s="17" t="n">
        <v>28518</v>
      </c>
      <c r="O18" s="17" t="n">
        <v>27048</v>
      </c>
      <c r="P18" s="71">
        <f>SUM(D18:O18)</f>
        <v/>
      </c>
    </row>
    <row r="19">
      <c r="A19" s="61" t="n">
        <v>11</v>
      </c>
      <c r="B19" s="10" t="inlineStr">
        <is>
          <t>Total penjualan</t>
        </is>
      </c>
      <c r="C19" s="3" t="inlineStr">
        <is>
          <t>ton</t>
        </is>
      </c>
      <c r="D19" s="19">
        <f>D16+D17+D18</f>
        <v/>
      </c>
      <c r="E19" s="19">
        <f>E16+E17+E18</f>
        <v/>
      </c>
      <c r="F19" s="19">
        <f>F16+F17+F18</f>
        <v/>
      </c>
      <c r="G19" s="19">
        <f>G16+G17+G18</f>
        <v/>
      </c>
      <c r="H19" s="19">
        <f>H16+H17+H18</f>
        <v/>
      </c>
      <c r="I19" s="19">
        <f>I16+I17+I18</f>
        <v/>
      </c>
      <c r="J19" s="19">
        <f>J16+J17+J18</f>
        <v/>
      </c>
      <c r="K19" s="19">
        <f>K16+K17+K18</f>
        <v/>
      </c>
      <c r="L19" s="19">
        <f>L16+L17+L18</f>
        <v/>
      </c>
      <c r="M19" s="19">
        <f>M16+M17+M18</f>
        <v/>
      </c>
      <c r="N19" s="19">
        <f>N16+N17+N18</f>
        <v/>
      </c>
      <c r="O19" s="19">
        <f>O16+O17+O18</f>
        <v/>
      </c>
      <c r="P19" s="71">
        <f>P16+P17+P18</f>
        <v/>
      </c>
    </row>
    <row r="20">
      <c r="A20" s="61" t="n">
        <v>12</v>
      </c>
      <c r="B20" s="10" t="inlineStr">
        <is>
          <t>ASP – Ekspor</t>
        </is>
      </c>
      <c r="C20" s="3" t="inlineStr">
        <is>
          <t>USD/t</t>
        </is>
      </c>
      <c r="D20" s="18" t="n">
        <v>62</v>
      </c>
      <c r="E20" s="18" t="n">
        <v>62</v>
      </c>
      <c r="F20" s="18" t="n">
        <v>62</v>
      </c>
      <c r="G20" s="18" t="n">
        <v>62</v>
      </c>
      <c r="H20" s="18" t="n">
        <v>62</v>
      </c>
      <c r="I20" s="18" t="n">
        <v>62</v>
      </c>
      <c r="J20" s="18" t="n">
        <v>62</v>
      </c>
      <c r="K20" s="18" t="n">
        <v>62</v>
      </c>
      <c r="L20" s="18" t="n">
        <v>62</v>
      </c>
      <c r="M20" s="18" t="n">
        <v>62</v>
      </c>
      <c r="N20" s="18" t="n">
        <v>62</v>
      </c>
      <c r="O20" s="18" t="n">
        <v>62</v>
      </c>
      <c r="P20" s="60">
        <f>IFERROR(SUMPRODUCT(D20:O20,D16:O16)/SUM(D16:O16),0)</f>
        <v/>
      </c>
    </row>
    <row r="21">
      <c r="A21" s="61" t="n">
        <v>13</v>
      </c>
      <c r="B21" s="10" t="inlineStr">
        <is>
          <t>ASP – Domestik DMO</t>
        </is>
      </c>
      <c r="C21" s="3" t="inlineStr">
        <is>
          <t>USD/t</t>
        </is>
      </c>
      <c r="D21" s="18" t="n">
        <v>42</v>
      </c>
      <c r="E21" s="18" t="n">
        <v>42</v>
      </c>
      <c r="F21" s="18" t="n">
        <v>42</v>
      </c>
      <c r="G21" s="18" t="n">
        <v>42</v>
      </c>
      <c r="H21" s="18" t="n">
        <v>42</v>
      </c>
      <c r="I21" s="18" t="n">
        <v>42</v>
      </c>
      <c r="J21" s="18" t="n">
        <v>42</v>
      </c>
      <c r="K21" s="18" t="n">
        <v>42</v>
      </c>
      <c r="L21" s="18" t="n">
        <v>42</v>
      </c>
      <c r="M21" s="18" t="n">
        <v>42</v>
      </c>
      <c r="N21" s="18" t="n">
        <v>42</v>
      </c>
      <c r="O21" s="18" t="n">
        <v>42</v>
      </c>
      <c r="P21" s="60">
        <f>IFERROR(SUMPRODUCT(D21:O21,D17:O17)/SUM(D17:O17),0)</f>
        <v/>
      </c>
    </row>
    <row r="22">
      <c r="A22" s="61" t="n">
        <v>14</v>
      </c>
      <c r="B22" s="10" t="inlineStr">
        <is>
          <t>ASP – Domestik non-DMO</t>
        </is>
      </c>
      <c r="C22" s="3" t="inlineStr">
        <is>
          <t>USD/t</t>
        </is>
      </c>
      <c r="D22" s="18" t="n">
        <v>50</v>
      </c>
      <c r="E22" s="18" t="n">
        <v>50</v>
      </c>
      <c r="F22" s="18" t="n">
        <v>50</v>
      </c>
      <c r="G22" s="18" t="n">
        <v>50</v>
      </c>
      <c r="H22" s="18" t="n">
        <v>50</v>
      </c>
      <c r="I22" s="18" t="n">
        <v>50</v>
      </c>
      <c r="J22" s="18" t="n">
        <v>50</v>
      </c>
      <c r="K22" s="18" t="n">
        <v>50</v>
      </c>
      <c r="L22" s="18" t="n">
        <v>50</v>
      </c>
      <c r="M22" s="18" t="n">
        <v>50</v>
      </c>
      <c r="N22" s="18" t="n">
        <v>50</v>
      </c>
      <c r="O22" s="18" t="n">
        <v>50</v>
      </c>
      <c r="P22" s="60">
        <f>IFERROR(SUMPRODUCT(D22:O22,D18:O18)/SUM(D18:O18),0)</f>
        <v/>
      </c>
    </row>
    <row r="23">
      <c r="A23" s="61" t="n">
        <v>15</v>
      </c>
      <c r="B23" s="10" t="inlineStr">
        <is>
          <t>Harga indeks acuan (HBA/ICI setara CV)</t>
        </is>
      </c>
      <c r="C23" s="3" t="inlineStr">
        <is>
          <t>USD/t</t>
        </is>
      </c>
      <c r="D23" s="18" t="n">
        <v>66</v>
      </c>
      <c r="E23" s="18" t="n">
        <v>66</v>
      </c>
      <c r="F23" s="18" t="n">
        <v>66</v>
      </c>
      <c r="G23" s="18" t="n">
        <v>66</v>
      </c>
      <c r="H23" s="18" t="n">
        <v>66</v>
      </c>
      <c r="I23" s="18" t="n">
        <v>66</v>
      </c>
      <c r="J23" s="18" t="n">
        <v>66</v>
      </c>
      <c r="K23" s="18" t="n">
        <v>66</v>
      </c>
      <c r="L23" s="18" t="n">
        <v>66</v>
      </c>
      <c r="M23" s="18" t="n">
        <v>66</v>
      </c>
      <c r="N23" s="18" t="n">
        <v>66</v>
      </c>
      <c r="O23" s="18" t="n">
        <v>66</v>
      </c>
      <c r="P23" s="60">
        <f>IFERROR(AVERAGE(D23:O23),0)</f>
        <v/>
      </c>
    </row>
    <row r="24">
      <c r="A24" s="61" t="n">
        <v>16</v>
      </c>
      <c r="B24" s="10" t="inlineStr">
        <is>
          <t>Nilai kalori realisasi</t>
        </is>
      </c>
      <c r="C24" s="3" t="inlineStr">
        <is>
          <t>kcal/kg GAR</t>
        </is>
      </c>
      <c r="D24" s="17" t="n">
        <v>4300</v>
      </c>
      <c r="E24" s="17" t="n">
        <v>4300</v>
      </c>
      <c r="F24" s="17" t="n">
        <v>4300</v>
      </c>
      <c r="G24" s="17" t="n">
        <v>4300</v>
      </c>
      <c r="H24" s="17" t="n">
        <v>4300</v>
      </c>
      <c r="I24" s="17" t="n">
        <v>4300</v>
      </c>
      <c r="J24" s="17" t="n">
        <v>4300</v>
      </c>
      <c r="K24" s="17" t="n">
        <v>4300</v>
      </c>
      <c r="L24" s="17" t="n">
        <v>4300</v>
      </c>
      <c r="M24" s="17" t="n">
        <v>4300</v>
      </c>
      <c r="N24" s="17" t="n">
        <v>4300</v>
      </c>
      <c r="O24" s="17" t="n">
        <v>4300</v>
      </c>
      <c r="P24" s="71">
        <f>IFERROR(SUMPRODUCT(D24:O24,D19:O19)/SUM(D19:O19),0)</f>
        <v/>
      </c>
    </row>
    <row r="25">
      <c r="A25" s="61" t="n">
        <v>17</v>
      </c>
      <c r="B25" s="10" t="inlineStr">
        <is>
          <t>Kurs rata-rata</t>
        </is>
      </c>
      <c r="C25" s="3" t="inlineStr">
        <is>
          <t>Rp/USD</t>
        </is>
      </c>
      <c r="D25" s="17" t="n">
        <v>16400</v>
      </c>
      <c r="E25" s="17" t="n">
        <v>16400</v>
      </c>
      <c r="F25" s="17" t="n">
        <v>16400</v>
      </c>
      <c r="G25" s="17" t="n">
        <v>16400</v>
      </c>
      <c r="H25" s="17" t="n">
        <v>16400</v>
      </c>
      <c r="I25" s="17" t="n">
        <v>16400</v>
      </c>
      <c r="J25" s="17" t="n">
        <v>16400</v>
      </c>
      <c r="K25" s="17" t="n">
        <v>16400</v>
      </c>
      <c r="L25" s="17" t="n">
        <v>16400</v>
      </c>
      <c r="M25" s="17" t="n">
        <v>16400</v>
      </c>
      <c r="N25" s="17" t="n">
        <v>16400</v>
      </c>
      <c r="O25" s="17" t="n">
        <v>16400</v>
      </c>
      <c r="P25" s="71">
        <f>IFERROR(AVERAGE(D25:O25),0)</f>
        <v/>
      </c>
    </row>
    <row r="26">
      <c r="A26" s="4" t="inlineStr">
        <is>
          <t>SARANA, BBM &amp; CUACA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61" t="n">
        <v>18</v>
      </c>
      <c r="B27" s="10" t="inlineStr">
        <is>
          <t>Konsumsi BBM</t>
        </is>
      </c>
      <c r="C27" s="3" t="inlineStr">
        <is>
          <t>liter</t>
        </is>
      </c>
      <c r="D27" s="17" t="n">
        <v>1593150</v>
      </c>
      <c r="E27" s="17" t="n">
        <v>1556100</v>
      </c>
      <c r="F27" s="17" t="n">
        <v>1722825</v>
      </c>
      <c r="G27" s="17" t="n">
        <v>1852500</v>
      </c>
      <c r="H27" s="17" t="n">
        <v>1945125</v>
      </c>
      <c r="I27" s="17" t="n">
        <v>1982175</v>
      </c>
      <c r="J27" s="17" t="n">
        <v>2037750</v>
      </c>
      <c r="K27" s="17" t="n">
        <v>2037750</v>
      </c>
      <c r="L27" s="17" t="n">
        <v>1963650</v>
      </c>
      <c r="M27" s="17" t="n">
        <v>1889550</v>
      </c>
      <c r="N27" s="17" t="n">
        <v>1796925</v>
      </c>
      <c r="O27" s="17" t="n">
        <v>1704300</v>
      </c>
      <c r="P27" s="71">
        <f>SUM(D27:O27)</f>
        <v/>
      </c>
    </row>
    <row r="28">
      <c r="A28" s="61" t="n">
        <v>19</v>
      </c>
      <c r="B28" s="10" t="inlineStr">
        <is>
          <t>Fuel ratio</t>
        </is>
      </c>
      <c r="C28" s="3" t="inlineStr">
        <is>
          <t>L/bcm</t>
        </is>
      </c>
      <c r="D28" s="47">
        <f>IFERROR(D27/D8,0)</f>
        <v/>
      </c>
      <c r="E28" s="47">
        <f>IFERROR(E27/E8,0)</f>
        <v/>
      </c>
      <c r="F28" s="47">
        <f>IFERROR(F27/F8,0)</f>
        <v/>
      </c>
      <c r="G28" s="47">
        <f>IFERROR(G27/G8,0)</f>
        <v/>
      </c>
      <c r="H28" s="47">
        <f>IFERROR(H27/H8,0)</f>
        <v/>
      </c>
      <c r="I28" s="47">
        <f>IFERROR(I27/I8,0)</f>
        <v/>
      </c>
      <c r="J28" s="47">
        <f>IFERROR(J27/J8,0)</f>
        <v/>
      </c>
      <c r="K28" s="47">
        <f>IFERROR(K27/K8,0)</f>
        <v/>
      </c>
      <c r="L28" s="47">
        <f>IFERROR(L27/L8,0)</f>
        <v/>
      </c>
      <c r="M28" s="47">
        <f>IFERROR(M27/M8,0)</f>
        <v/>
      </c>
      <c r="N28" s="47">
        <f>IFERROR(N27/N8,0)</f>
        <v/>
      </c>
      <c r="O28" s="47">
        <f>IFERROR(O27/O8,0)</f>
        <v/>
      </c>
      <c r="P28" s="60">
        <f>IFERROR(P27/P8,0)</f>
        <v/>
      </c>
    </row>
    <row r="29">
      <c r="A29" s="61" t="n">
        <v>20</v>
      </c>
      <c r="B29" s="10" t="inlineStr">
        <is>
          <t>Jam hujan + slippery</t>
        </is>
      </c>
      <c r="C29" s="3" t="inlineStr">
        <is>
          <t>jam</t>
        </is>
      </c>
      <c r="D29" s="17" t="n">
        <v>180</v>
      </c>
      <c r="E29" s="17" t="n">
        <v>170</v>
      </c>
      <c r="F29" s="17" t="n">
        <v>160</v>
      </c>
      <c r="G29" s="17" t="n">
        <v>120</v>
      </c>
      <c r="H29" s="17" t="n">
        <v>100</v>
      </c>
      <c r="I29" s="17" t="n">
        <v>80</v>
      </c>
      <c r="J29" s="17" t="n">
        <v>60</v>
      </c>
      <c r="K29" s="17" t="n">
        <v>60</v>
      </c>
      <c r="L29" s="17" t="n">
        <v>70</v>
      </c>
      <c r="M29" s="17" t="n">
        <v>110</v>
      </c>
      <c r="N29" s="17" t="n">
        <v>150</v>
      </c>
      <c r="O29" s="17" t="n">
        <v>170</v>
      </c>
      <c r="P29" s="71">
        <f>SUM(D29:O29)</f>
        <v/>
      </c>
    </row>
    <row r="30">
      <c r="A30" s="61" t="n">
        <v>21</v>
      </c>
      <c r="B30" s="10" t="inlineStr">
        <is>
          <t>Physical availability (PA) armada utama</t>
        </is>
      </c>
      <c r="C30" s="3" t="inlineStr">
        <is>
          <t>%</t>
        </is>
      </c>
      <c r="D30" s="25" t="n">
        <v>0.88</v>
      </c>
      <c r="E30" s="25" t="n">
        <v>0.88</v>
      </c>
      <c r="F30" s="25" t="n">
        <v>0.88</v>
      </c>
      <c r="G30" s="25" t="n">
        <v>0.88</v>
      </c>
      <c r="H30" s="25" t="n">
        <v>0.88</v>
      </c>
      <c r="I30" s="25" t="n">
        <v>0.88</v>
      </c>
      <c r="J30" s="25" t="n">
        <v>0.88</v>
      </c>
      <c r="K30" s="25" t="n">
        <v>0.88</v>
      </c>
      <c r="L30" s="25" t="n">
        <v>0.88</v>
      </c>
      <c r="M30" s="25" t="n">
        <v>0.88</v>
      </c>
      <c r="N30" s="25" t="n">
        <v>0.88</v>
      </c>
      <c r="O30" s="25" t="n">
        <v>0.88</v>
      </c>
      <c r="P30" s="66">
        <f>IFERROR(AVERAGE(D30:O30),0)</f>
        <v/>
      </c>
    </row>
    <row r="31">
      <c r="A31" s="61" t="n">
        <v>22</v>
      </c>
      <c r="B31" s="10" t="inlineStr">
        <is>
          <t>Use of availability (UA) armada utama</t>
        </is>
      </c>
      <c r="C31" s="3" t="inlineStr">
        <is>
          <t>%</t>
        </is>
      </c>
      <c r="D31" s="25" t="n">
        <v>0.75</v>
      </c>
      <c r="E31" s="25" t="n">
        <v>0.75</v>
      </c>
      <c r="F31" s="25" t="n">
        <v>0.75</v>
      </c>
      <c r="G31" s="25" t="n">
        <v>0.75</v>
      </c>
      <c r="H31" s="25" t="n">
        <v>0.75</v>
      </c>
      <c r="I31" s="25" t="n">
        <v>0.75</v>
      </c>
      <c r="J31" s="25" t="n">
        <v>0.75</v>
      </c>
      <c r="K31" s="25" t="n">
        <v>0.75</v>
      </c>
      <c r="L31" s="25" t="n">
        <v>0.75</v>
      </c>
      <c r="M31" s="25" t="n">
        <v>0.75</v>
      </c>
      <c r="N31" s="25" t="n">
        <v>0.75</v>
      </c>
      <c r="O31" s="25" t="n">
        <v>0.75</v>
      </c>
      <c r="P31" s="66">
        <f>IFERROR(AVERAGE(D31:O31),0)</f>
        <v/>
      </c>
    </row>
    <row r="32">
      <c r="A32" s="4" t="inlineStr">
        <is>
          <t>SDM, K3 &amp; LINGKUNGAN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61" t="n">
        <v>23</v>
      </c>
      <c r="B33" s="10" t="inlineStr">
        <is>
          <t>Jumlah tenaga kerja (organik + kontraktor)</t>
        </is>
      </c>
      <c r="C33" s="3" t="inlineStr">
        <is>
          <t>orang</t>
        </is>
      </c>
      <c r="D33" s="17" t="n">
        <v>1450</v>
      </c>
      <c r="E33" s="17" t="n">
        <v>1450</v>
      </c>
      <c r="F33" s="17" t="n">
        <v>1450</v>
      </c>
      <c r="G33" s="17" t="n">
        <v>1450</v>
      </c>
      <c r="H33" s="17" t="n">
        <v>1450</v>
      </c>
      <c r="I33" s="17" t="n">
        <v>1450</v>
      </c>
      <c r="J33" s="17" t="n">
        <v>1450</v>
      </c>
      <c r="K33" s="17" t="n">
        <v>1450</v>
      </c>
      <c r="L33" s="17" t="n">
        <v>1450</v>
      </c>
      <c r="M33" s="17" t="n">
        <v>1450</v>
      </c>
      <c r="N33" s="17" t="n">
        <v>1450</v>
      </c>
      <c r="O33" s="17" t="n">
        <v>1450</v>
      </c>
      <c r="P33" s="71">
        <f>IFERROR(INDEX(D33:O33,COUNT(D33:O33)),0)</f>
        <v/>
      </c>
    </row>
    <row r="34">
      <c r="A34" s="61" t="n">
        <v>24</v>
      </c>
      <c r="B34" s="10" t="inlineStr">
        <is>
          <t>Jam kerja orang (man-hours)</t>
        </is>
      </c>
      <c r="C34" s="3" t="inlineStr">
        <is>
          <t>jam</t>
        </is>
      </c>
      <c r="D34" s="17" t="n">
        <v>362500</v>
      </c>
      <c r="E34" s="17" t="n">
        <v>362500</v>
      </c>
      <c r="F34" s="17" t="n">
        <v>362500</v>
      </c>
      <c r="G34" s="17" t="n">
        <v>362500</v>
      </c>
      <c r="H34" s="17" t="n">
        <v>362500</v>
      </c>
      <c r="I34" s="17" t="n">
        <v>362500</v>
      </c>
      <c r="J34" s="17" t="n">
        <v>362500</v>
      </c>
      <c r="K34" s="17" t="n">
        <v>362500</v>
      </c>
      <c r="L34" s="17" t="n">
        <v>362500</v>
      </c>
      <c r="M34" s="17" t="n">
        <v>362500</v>
      </c>
      <c r="N34" s="17" t="n">
        <v>362500</v>
      </c>
      <c r="O34" s="17" t="n">
        <v>362500</v>
      </c>
      <c r="P34" s="71">
        <f>SUM(D34:O34)</f>
        <v/>
      </c>
    </row>
    <row r="35">
      <c r="A35" s="61" t="n">
        <v>25</v>
      </c>
      <c r="B35" s="10" t="inlineStr">
        <is>
          <t>Kecelakaan hilang waktu kerja (LTI)</t>
        </is>
      </c>
      <c r="C35" s="3" t="inlineStr">
        <is>
          <t>kasus</t>
        </is>
      </c>
      <c r="D35" s="17" t="n">
        <v>0</v>
      </c>
      <c r="E35" s="17" t="n">
        <v>0</v>
      </c>
      <c r="F35" s="17" t="n">
        <v>0</v>
      </c>
      <c r="G35" s="17" t="n">
        <v>0</v>
      </c>
      <c r="H35" s="17" t="n">
        <v>0</v>
      </c>
      <c r="I35" s="17" t="n">
        <v>0</v>
      </c>
      <c r="J35" s="17" t="n">
        <v>0</v>
      </c>
      <c r="K35" s="17" t="n">
        <v>0</v>
      </c>
      <c r="L35" s="17" t="n">
        <v>0</v>
      </c>
      <c r="M35" s="17" t="n">
        <v>0</v>
      </c>
      <c r="N35" s="17" t="n">
        <v>0</v>
      </c>
      <c r="O35" s="17" t="n">
        <v>0</v>
      </c>
      <c r="P35" s="71">
        <f>SUM(D35:O35)</f>
        <v/>
      </c>
    </row>
    <row r="36">
      <c r="A36" s="61" t="n">
        <v>26</v>
      </c>
      <c r="B36" s="10" t="inlineStr">
        <is>
          <t>LTIFR</t>
        </is>
      </c>
      <c r="C36" s="3" t="inlineStr">
        <is>
          <t>per 1 juta jam</t>
        </is>
      </c>
      <c r="D36" s="47">
        <f>IFERROR(D35*1000000/D34,0)</f>
        <v/>
      </c>
      <c r="E36" s="47">
        <f>IFERROR(E35*1000000/E34,0)</f>
        <v/>
      </c>
      <c r="F36" s="47">
        <f>IFERROR(F35*1000000/F34,0)</f>
        <v/>
      </c>
      <c r="G36" s="47">
        <f>IFERROR(G35*1000000/G34,0)</f>
        <v/>
      </c>
      <c r="H36" s="47">
        <f>IFERROR(H35*1000000/H34,0)</f>
        <v/>
      </c>
      <c r="I36" s="47">
        <f>IFERROR(I35*1000000/I34,0)</f>
        <v/>
      </c>
      <c r="J36" s="47">
        <f>IFERROR(J35*1000000/J34,0)</f>
        <v/>
      </c>
      <c r="K36" s="47">
        <f>IFERROR(K35*1000000/K34,0)</f>
        <v/>
      </c>
      <c r="L36" s="47">
        <f>IFERROR(L35*1000000/L34,0)</f>
        <v/>
      </c>
      <c r="M36" s="47">
        <f>IFERROR(M35*1000000/M34,0)</f>
        <v/>
      </c>
      <c r="N36" s="47">
        <f>IFERROR(N35*1000000/N34,0)</f>
        <v/>
      </c>
      <c r="O36" s="47">
        <f>IFERROR(O35*1000000/O34,0)</f>
        <v/>
      </c>
      <c r="P36" s="60">
        <f>IFERROR(P35*1000000/P34,0)</f>
        <v/>
      </c>
    </row>
    <row r="37">
      <c r="A37" s="61" t="n">
        <v>27</v>
      </c>
      <c r="B37" s="10" t="inlineStr">
        <is>
          <t>Bukaan lahan</t>
        </is>
      </c>
      <c r="C37" s="3" t="inlineStr">
        <is>
          <t>ha</t>
        </is>
      </c>
      <c r="D37" s="79" t="n">
        <v>12</v>
      </c>
      <c r="E37" s="79" t="n">
        <v>12</v>
      </c>
      <c r="F37" s="79" t="n">
        <v>12</v>
      </c>
      <c r="G37" s="79" t="n">
        <v>12</v>
      </c>
      <c r="H37" s="79" t="n">
        <v>12</v>
      </c>
      <c r="I37" s="79" t="n">
        <v>12</v>
      </c>
      <c r="J37" s="79" t="n">
        <v>12</v>
      </c>
      <c r="K37" s="79" t="n">
        <v>12</v>
      </c>
      <c r="L37" s="79" t="n">
        <v>12</v>
      </c>
      <c r="M37" s="79" t="n">
        <v>12</v>
      </c>
      <c r="N37" s="79" t="n">
        <v>12</v>
      </c>
      <c r="O37" s="79" t="n">
        <v>12</v>
      </c>
      <c r="P37" s="81">
        <f>SUM(D37:O37)</f>
        <v/>
      </c>
    </row>
    <row r="38">
      <c r="A38" s="61" t="n">
        <v>28</v>
      </c>
      <c r="B38" s="10" t="inlineStr">
        <is>
          <t>Reklamasi &amp; revegetasi</t>
        </is>
      </c>
      <c r="C38" s="3" t="inlineStr">
        <is>
          <t>ha</t>
        </is>
      </c>
      <c r="D38" s="79" t="n">
        <v>8</v>
      </c>
      <c r="E38" s="79" t="n">
        <v>8</v>
      </c>
      <c r="F38" s="79" t="n">
        <v>8</v>
      </c>
      <c r="G38" s="79" t="n">
        <v>8</v>
      </c>
      <c r="H38" s="79" t="n">
        <v>8</v>
      </c>
      <c r="I38" s="79" t="n">
        <v>8</v>
      </c>
      <c r="J38" s="79" t="n">
        <v>8</v>
      </c>
      <c r="K38" s="79" t="n">
        <v>8</v>
      </c>
      <c r="L38" s="79" t="n">
        <v>8</v>
      </c>
      <c r="M38" s="79" t="n">
        <v>8</v>
      </c>
      <c r="N38" s="79" t="n">
        <v>8</v>
      </c>
      <c r="O38" s="79" t="n">
        <v>8</v>
      </c>
      <c r="P38" s="81">
        <f>SUM(D38:O38)</f>
        <v/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3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>
      <c r="A1" s="1" t="inlineStr">
        <is>
          <t>GEG – Data Operasional AKTUAL Bulanan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Isi sel kuning (teks biru) per bulan. Baris hitam = rumus otomatis. Kolom P = total/rata-rata tahun.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>
        <is>
          <t>No</t>
        </is>
      </c>
      <c r="B6" s="16" t="inlineStr">
        <is>
          <t>Parameter</t>
        </is>
      </c>
      <c r="C6" s="16" t="inlineStr">
        <is>
          <t>Satuan</t>
        </is>
      </c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  <c r="P6" s="16" t="inlineStr">
        <is>
          <t>FY / YTD</t>
        </is>
      </c>
    </row>
    <row r="7">
      <c r="A7" s="4" t="inlineStr">
        <is>
          <t>PRODUKSI &amp; OPERASI TAMBANG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A8" s="61" t="n">
        <v>1</v>
      </c>
      <c r="B8" s="10" t="inlineStr">
        <is>
          <t>OB removal</t>
        </is>
      </c>
      <c r="C8" s="3" t="inlineStr">
        <is>
          <t>bcm</t>
        </is>
      </c>
      <c r="D8" s="17" t="n">
        <v>1558766</v>
      </c>
      <c r="E8" s="17" t="n">
        <v>1726600</v>
      </c>
      <c r="F8" s="17" t="n">
        <v>1750198</v>
      </c>
      <c r="G8" s="17" t="n">
        <v>2095849</v>
      </c>
      <c r="H8" s="17" t="n">
        <v>1934365</v>
      </c>
      <c r="I8" s="17" t="n">
        <v>1883049</v>
      </c>
      <c r="J8" s="17" t="n">
        <v>2195899</v>
      </c>
      <c r="K8" s="17" t="n">
        <v>2218568</v>
      </c>
      <c r="L8" s="17" t="n"/>
      <c r="M8" s="17" t="n"/>
      <c r="N8" s="17" t="n"/>
      <c r="O8" s="17" t="n"/>
      <c r="P8" s="71">
        <f>SUM(D8:O8)</f>
        <v/>
      </c>
    </row>
    <row r="9">
      <c r="A9" s="61" t="n">
        <v>2</v>
      </c>
      <c r="B9" s="10" t="inlineStr">
        <is>
          <t>Produksi batubara (coal getting / ROM)</t>
        </is>
      </c>
      <c r="C9" s="3" t="inlineStr">
        <is>
          <t>ton</t>
        </is>
      </c>
      <c r="D9" s="17" t="n">
        <v>193042</v>
      </c>
      <c r="E9" s="17" t="n">
        <v>212866</v>
      </c>
      <c r="F9" s="17" t="n">
        <v>209826</v>
      </c>
      <c r="G9" s="17" t="n">
        <v>255864</v>
      </c>
      <c r="H9" s="17" t="n">
        <v>237723</v>
      </c>
      <c r="I9" s="17" t="n">
        <v>239194</v>
      </c>
      <c r="J9" s="17" t="n">
        <v>274042</v>
      </c>
      <c r="K9" s="17" t="n">
        <v>283132</v>
      </c>
      <c r="L9" s="17" t="n"/>
      <c r="M9" s="17" t="n"/>
      <c r="N9" s="17" t="n"/>
      <c r="O9" s="17" t="n"/>
      <c r="P9" s="71">
        <f>SUM(D9:O9)</f>
        <v/>
      </c>
    </row>
    <row r="10">
      <c r="A10" s="61" t="n">
        <v>3</v>
      </c>
      <c r="B10" s="10" t="inlineStr">
        <is>
          <t>Stripping ratio</t>
        </is>
      </c>
      <c r="C10" s="3" t="inlineStr">
        <is>
          <t>bcm/t</t>
        </is>
      </c>
      <c r="D10" s="47">
        <f>IFERROR(D8/D9,0)</f>
        <v/>
      </c>
      <c r="E10" s="47">
        <f>IFERROR(E8/E9,0)</f>
        <v/>
      </c>
      <c r="F10" s="47">
        <f>IFERROR(F8/F9,0)</f>
        <v/>
      </c>
      <c r="G10" s="47">
        <f>IFERROR(G8/G9,0)</f>
        <v/>
      </c>
      <c r="H10" s="47">
        <f>IFERROR(H8/H9,0)</f>
        <v/>
      </c>
      <c r="I10" s="47">
        <f>IFERROR(I8/I9,0)</f>
        <v/>
      </c>
      <c r="J10" s="47">
        <f>IFERROR(J8/J9,0)</f>
        <v/>
      </c>
      <c r="K10" s="47">
        <f>IFERROR(K8/K9,0)</f>
        <v/>
      </c>
      <c r="L10" s="47">
        <f>IFERROR(L8/L9,0)</f>
        <v/>
      </c>
      <c r="M10" s="47">
        <f>IFERROR(M8/M9,0)</f>
        <v/>
      </c>
      <c r="N10" s="47">
        <f>IFERROR(N8/N9,0)</f>
        <v/>
      </c>
      <c r="O10" s="47">
        <f>IFERROR(O8/O9,0)</f>
        <v/>
      </c>
      <c r="P10" s="60">
        <f>IFERROR(P8/P9,0)</f>
        <v/>
      </c>
    </row>
    <row r="11">
      <c r="A11" s="61" t="n">
        <v>4</v>
      </c>
      <c r="B11" s="10" t="inlineStr">
        <is>
          <t>Hauling batubara ke pelabuhan</t>
        </is>
      </c>
      <c r="C11" s="3" t="inlineStr">
        <is>
          <t>ton</t>
        </is>
      </c>
      <c r="D11" s="17" t="n">
        <v>191111</v>
      </c>
      <c r="E11" s="17" t="n">
        <v>210737</v>
      </c>
      <c r="F11" s="17" t="n">
        <v>207728</v>
      </c>
      <c r="G11" s="17" t="n">
        <v>253305</v>
      </c>
      <c r="H11" s="17" t="n">
        <v>235345</v>
      </c>
      <c r="I11" s="17" t="n">
        <v>236803</v>
      </c>
      <c r="J11" s="17" t="n">
        <v>271302</v>
      </c>
      <c r="K11" s="17" t="n">
        <v>280301</v>
      </c>
      <c r="L11" s="17" t="n"/>
      <c r="M11" s="17" t="n"/>
      <c r="N11" s="17" t="n"/>
      <c r="O11" s="17" t="n"/>
      <c r="P11" s="71">
        <f>SUM(D11:O11)</f>
        <v/>
      </c>
    </row>
    <row r="12">
      <c r="A12" s="61" t="n">
        <v>5</v>
      </c>
      <c r="B12" s="10" t="inlineStr">
        <is>
          <t>Jarak hauling rata-rata</t>
        </is>
      </c>
      <c r="C12" s="3" t="inlineStr">
        <is>
          <t>km</t>
        </is>
      </c>
      <c r="D12" s="79" t="n">
        <v>30.77</v>
      </c>
      <c r="E12" s="79" t="n">
        <v>31.3</v>
      </c>
      <c r="F12" s="79" t="n">
        <v>31.44</v>
      </c>
      <c r="G12" s="79" t="n">
        <v>30.95</v>
      </c>
      <c r="H12" s="79" t="n">
        <v>30.31</v>
      </c>
      <c r="I12" s="79" t="n">
        <v>30.01</v>
      </c>
      <c r="J12" s="79" t="n">
        <v>30.02</v>
      </c>
      <c r="K12" s="79" t="n">
        <v>30.18</v>
      </c>
      <c r="L12" s="79" t="n"/>
      <c r="M12" s="79" t="n"/>
      <c r="N12" s="79" t="n"/>
      <c r="O12" s="79" t="n"/>
      <c r="P12" s="81">
        <f>IFERROR(SUMPRODUCT(D12:O12,D11:O11)/SUM(D11:O11),0)</f>
        <v/>
      </c>
    </row>
    <row r="13">
      <c r="A13" s="61" t="n">
        <v>6</v>
      </c>
      <c r="B13" s="10" t="inlineStr">
        <is>
          <t>Barging / pemuatan tongkang</t>
        </is>
      </c>
      <c r="C13" s="3" t="inlineStr">
        <is>
          <t>ton</t>
        </is>
      </c>
      <c r="D13" s="17" t="n">
        <v>191690</v>
      </c>
      <c r="E13" s="17" t="n">
        <v>206750</v>
      </c>
      <c r="F13" s="17" t="n">
        <v>207765</v>
      </c>
      <c r="G13" s="17" t="n">
        <v>245050</v>
      </c>
      <c r="H13" s="17" t="n">
        <v>233246</v>
      </c>
      <c r="I13" s="17" t="n">
        <v>228348</v>
      </c>
      <c r="J13" s="17" t="n">
        <v>261662</v>
      </c>
      <c r="K13" s="17" t="n">
        <v>269504</v>
      </c>
      <c r="L13" s="17" t="n"/>
      <c r="M13" s="17" t="n"/>
      <c r="N13" s="17" t="n"/>
      <c r="O13" s="17" t="n"/>
      <c r="P13" s="71">
        <f>SUM(D13:O13)</f>
        <v/>
      </c>
    </row>
    <row r="14">
      <c r="A14" s="61" t="n">
        <v>7</v>
      </c>
      <c r="B14" s="10" t="inlineStr">
        <is>
          <t>Stok batubara akhir bulan (ROM + pelabuhan)</t>
        </is>
      </c>
      <c r="C14" s="3" t="inlineStr">
        <is>
          <t>ton</t>
        </is>
      </c>
      <c r="D14" s="17" t="n">
        <v>181351</v>
      </c>
      <c r="E14" s="17" t="n">
        <v>187466</v>
      </c>
      <c r="F14" s="17" t="n">
        <v>189527</v>
      </c>
      <c r="G14" s="17" t="n">
        <v>200341</v>
      </c>
      <c r="H14" s="17" t="n">
        <v>204818</v>
      </c>
      <c r="I14" s="17" t="n">
        <v>215664</v>
      </c>
      <c r="J14" s="17" t="n">
        <v>228044</v>
      </c>
      <c r="K14" s="17" t="n">
        <v>241673</v>
      </c>
      <c r="L14" s="17" t="n"/>
      <c r="M14" s="17" t="n"/>
      <c r="N14" s="17" t="n"/>
      <c r="O14" s="17" t="n"/>
      <c r="P14" s="71">
        <f>IFERROR(INDEX(D14:O14,COUNT(D14:O14)),0)</f>
        <v/>
      </c>
    </row>
    <row r="15">
      <c r="A15" s="4" t="inlineStr">
        <is>
          <t>PENJUALAN &amp; HARGA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A16" s="61" t="n">
        <v>8</v>
      </c>
      <c r="B16" s="10" t="inlineStr">
        <is>
          <t>Penjualan – Ekspor</t>
        </is>
      </c>
      <c r="C16" s="3" t="inlineStr">
        <is>
          <t>ton</t>
        </is>
      </c>
      <c r="D16" s="17" t="n">
        <v>106807</v>
      </c>
      <c r="E16" s="17" t="n">
        <v>125328</v>
      </c>
      <c r="F16" s="17" t="n">
        <v>127752</v>
      </c>
      <c r="G16" s="17" t="n">
        <v>140154</v>
      </c>
      <c r="H16" s="17" t="n">
        <v>135776</v>
      </c>
      <c r="I16" s="17" t="n">
        <v>132850</v>
      </c>
      <c r="J16" s="17" t="n">
        <v>144335</v>
      </c>
      <c r="K16" s="17" t="n">
        <v>158086</v>
      </c>
      <c r="L16" s="17" t="n"/>
      <c r="M16" s="17" t="n"/>
      <c r="N16" s="17" t="n"/>
      <c r="O16" s="17" t="n"/>
      <c r="P16" s="71">
        <f>SUM(D16:O16)</f>
        <v/>
      </c>
    </row>
    <row r="17">
      <c r="A17" s="61" t="n">
        <v>9</v>
      </c>
      <c r="B17" s="10" t="inlineStr">
        <is>
          <t>Penjualan – Domestik DMO</t>
        </is>
      </c>
      <c r="C17" s="3" t="inlineStr">
        <is>
          <t>ton</t>
        </is>
      </c>
      <c r="D17" s="17" t="n">
        <v>51552</v>
      </c>
      <c r="E17" s="17" t="n">
        <v>60923</v>
      </c>
      <c r="F17" s="17" t="n">
        <v>57010</v>
      </c>
      <c r="G17" s="17" t="n">
        <v>69428</v>
      </c>
      <c r="H17" s="17" t="n">
        <v>62821</v>
      </c>
      <c r="I17" s="17" t="n">
        <v>62389</v>
      </c>
      <c r="J17" s="17" t="n">
        <v>69320</v>
      </c>
      <c r="K17" s="17" t="n">
        <v>76506</v>
      </c>
      <c r="L17" s="17" t="n"/>
      <c r="M17" s="17" t="n"/>
      <c r="N17" s="17" t="n"/>
      <c r="O17" s="17" t="n"/>
      <c r="P17" s="71">
        <f>SUM(D17:O17)</f>
        <v/>
      </c>
    </row>
    <row r="18">
      <c r="A18" s="61" t="n">
        <v>10</v>
      </c>
      <c r="B18" s="10" t="inlineStr">
        <is>
          <t>Penjualan – Domestik non-DMO</t>
        </is>
      </c>
      <c r="C18" s="3" t="inlineStr">
        <is>
          <t>ton</t>
        </is>
      </c>
      <c r="D18" s="17" t="n">
        <v>33332</v>
      </c>
      <c r="E18" s="17" t="n">
        <v>20500</v>
      </c>
      <c r="F18" s="17" t="n">
        <v>23003</v>
      </c>
      <c r="G18" s="17" t="n">
        <v>35468</v>
      </c>
      <c r="H18" s="17" t="n">
        <v>34649</v>
      </c>
      <c r="I18" s="17" t="n">
        <v>33109</v>
      </c>
      <c r="J18" s="17" t="n">
        <v>48007</v>
      </c>
      <c r="K18" s="17" t="n">
        <v>34912</v>
      </c>
      <c r="L18" s="17" t="n"/>
      <c r="M18" s="17" t="n"/>
      <c r="N18" s="17" t="n"/>
      <c r="O18" s="17" t="n"/>
      <c r="P18" s="71">
        <f>SUM(D18:O18)</f>
        <v/>
      </c>
    </row>
    <row r="19">
      <c r="A19" s="61" t="n">
        <v>11</v>
      </c>
      <c r="B19" s="10" t="inlineStr">
        <is>
          <t>Total penjualan</t>
        </is>
      </c>
      <c r="C19" s="3" t="inlineStr">
        <is>
          <t>ton</t>
        </is>
      </c>
      <c r="D19" s="19">
        <f>D16+D17+D18</f>
        <v/>
      </c>
      <c r="E19" s="19">
        <f>E16+E17+E18</f>
        <v/>
      </c>
      <c r="F19" s="19">
        <f>F16+F17+F18</f>
        <v/>
      </c>
      <c r="G19" s="19">
        <f>G16+G17+G18</f>
        <v/>
      </c>
      <c r="H19" s="19">
        <f>H16+H17+H18</f>
        <v/>
      </c>
      <c r="I19" s="19">
        <f>I16+I17+I18</f>
        <v/>
      </c>
      <c r="J19" s="19">
        <f>J16+J17+J18</f>
        <v/>
      </c>
      <c r="K19" s="19">
        <f>K16+K17+K18</f>
        <v/>
      </c>
      <c r="L19" s="19">
        <f>L16+L17+L18</f>
        <v/>
      </c>
      <c r="M19" s="19">
        <f>M16+M17+M18</f>
        <v/>
      </c>
      <c r="N19" s="19">
        <f>N16+N17+N18</f>
        <v/>
      </c>
      <c r="O19" s="19">
        <f>O16+O17+O18</f>
        <v/>
      </c>
      <c r="P19" s="71">
        <f>P16+P17+P18</f>
        <v/>
      </c>
    </row>
    <row r="20">
      <c r="A20" s="61" t="n">
        <v>12</v>
      </c>
      <c r="B20" s="10" t="inlineStr">
        <is>
          <t>ASP – Ekspor</t>
        </is>
      </c>
      <c r="C20" s="3" t="inlineStr">
        <is>
          <t>USD/t</t>
        </is>
      </c>
      <c r="D20" s="18" t="n">
        <v>61.01</v>
      </c>
      <c r="E20" s="18" t="n">
        <v>62.54</v>
      </c>
      <c r="F20" s="18" t="n">
        <v>58.78</v>
      </c>
      <c r="G20" s="18" t="n">
        <v>61.95</v>
      </c>
      <c r="H20" s="18" t="n">
        <v>61.63</v>
      </c>
      <c r="I20" s="18" t="n">
        <v>60.7</v>
      </c>
      <c r="J20" s="18" t="n">
        <v>61.49</v>
      </c>
      <c r="K20" s="18" t="n">
        <v>63.09</v>
      </c>
      <c r="L20" s="18" t="n"/>
      <c r="M20" s="18" t="n"/>
      <c r="N20" s="18" t="n"/>
      <c r="O20" s="18" t="n"/>
      <c r="P20" s="60">
        <f>IFERROR(SUMPRODUCT(D20:O20,D16:O16)/SUM(D16:O16),0)</f>
        <v/>
      </c>
    </row>
    <row r="21">
      <c r="A21" s="61" t="n">
        <v>13</v>
      </c>
      <c r="B21" s="10" t="inlineStr">
        <is>
          <t>ASP – Domestik DMO</t>
        </is>
      </c>
      <c r="C21" s="3" t="inlineStr">
        <is>
          <t>USD/t</t>
        </is>
      </c>
      <c r="D21" s="18" t="n">
        <v>42</v>
      </c>
      <c r="E21" s="18" t="n">
        <v>42</v>
      </c>
      <c r="F21" s="18" t="n">
        <v>42</v>
      </c>
      <c r="G21" s="18" t="n">
        <v>42</v>
      </c>
      <c r="H21" s="18" t="n">
        <v>42</v>
      </c>
      <c r="I21" s="18" t="n">
        <v>42</v>
      </c>
      <c r="J21" s="18" t="n">
        <v>42</v>
      </c>
      <c r="K21" s="18" t="n">
        <v>42</v>
      </c>
      <c r="L21" s="18" t="n"/>
      <c r="M21" s="18" t="n"/>
      <c r="N21" s="18" t="n"/>
      <c r="O21" s="18" t="n"/>
      <c r="P21" s="60">
        <f>IFERROR(SUMPRODUCT(D21:O21,D17:O17)/SUM(D17:O17),0)</f>
        <v/>
      </c>
    </row>
    <row r="22">
      <c r="A22" s="61" t="n">
        <v>14</v>
      </c>
      <c r="B22" s="10" t="inlineStr">
        <is>
          <t>ASP – Domestik non-DMO</t>
        </is>
      </c>
      <c r="C22" s="3" t="inlineStr">
        <is>
          <t>USD/t</t>
        </is>
      </c>
      <c r="D22" s="18" t="n">
        <v>49.45</v>
      </c>
      <c r="E22" s="18" t="n">
        <v>48.89</v>
      </c>
      <c r="F22" s="18" t="n">
        <v>49.92</v>
      </c>
      <c r="G22" s="18" t="n">
        <v>50.82</v>
      </c>
      <c r="H22" s="18" t="n">
        <v>49.42</v>
      </c>
      <c r="I22" s="18" t="n">
        <v>50.42</v>
      </c>
      <c r="J22" s="18" t="n">
        <v>49.52</v>
      </c>
      <c r="K22" s="18" t="n">
        <v>48.56</v>
      </c>
      <c r="L22" s="18" t="n"/>
      <c r="M22" s="18" t="n"/>
      <c r="N22" s="18" t="n"/>
      <c r="O22" s="18" t="n"/>
      <c r="P22" s="60">
        <f>IFERROR(SUMPRODUCT(D22:O22,D18:O18)/SUM(D18:O18),0)</f>
        <v/>
      </c>
    </row>
    <row r="23">
      <c r="A23" s="61" t="n">
        <v>15</v>
      </c>
      <c r="B23" s="10" t="inlineStr">
        <is>
          <t>Harga indeks acuan (HBA/ICI setara CV)</t>
        </is>
      </c>
      <c r="C23" s="3" t="inlineStr">
        <is>
          <t>USD/t</t>
        </is>
      </c>
      <c r="D23" s="18" t="n">
        <v>67.12</v>
      </c>
      <c r="E23" s="18" t="n">
        <v>66.09999999999999</v>
      </c>
      <c r="F23" s="18" t="n">
        <v>65.87</v>
      </c>
      <c r="G23" s="18" t="n">
        <v>65.97</v>
      </c>
      <c r="H23" s="18" t="n">
        <v>64.16</v>
      </c>
      <c r="I23" s="18" t="n">
        <v>67.37</v>
      </c>
      <c r="J23" s="18" t="n">
        <v>67.73</v>
      </c>
      <c r="K23" s="18" t="n">
        <v>65.7</v>
      </c>
      <c r="L23" s="18" t="n"/>
      <c r="M23" s="18" t="n"/>
      <c r="N23" s="18" t="n"/>
      <c r="O23" s="18" t="n"/>
      <c r="P23" s="60">
        <f>IFERROR(AVERAGE(D23:O23),0)</f>
        <v/>
      </c>
    </row>
    <row r="24">
      <c r="A24" s="61" t="n">
        <v>16</v>
      </c>
      <c r="B24" s="10" t="inlineStr">
        <is>
          <t>Nilai kalori realisasi</t>
        </is>
      </c>
      <c r="C24" s="3" t="inlineStr">
        <is>
          <t>kcal/kg GAR</t>
        </is>
      </c>
      <c r="D24" s="17" t="n">
        <v>4288</v>
      </c>
      <c r="E24" s="17" t="n">
        <v>4318</v>
      </c>
      <c r="F24" s="17" t="n">
        <v>4241</v>
      </c>
      <c r="G24" s="17" t="n">
        <v>4211</v>
      </c>
      <c r="H24" s="17" t="n">
        <v>4271</v>
      </c>
      <c r="I24" s="17" t="n">
        <v>4299</v>
      </c>
      <c r="J24" s="17" t="n">
        <v>4265</v>
      </c>
      <c r="K24" s="17" t="n">
        <v>4233</v>
      </c>
      <c r="L24" s="17" t="n"/>
      <c r="M24" s="17" t="n"/>
      <c r="N24" s="17" t="n"/>
      <c r="O24" s="17" t="n"/>
      <c r="P24" s="71">
        <f>IFERROR(SUMPRODUCT(D24:O24,D19:O19)/SUM(D19:O19),0)</f>
        <v/>
      </c>
    </row>
    <row r="25">
      <c r="A25" s="61" t="n">
        <v>17</v>
      </c>
      <c r="B25" s="10" t="inlineStr">
        <is>
          <t>Kurs rata-rata</t>
        </is>
      </c>
      <c r="C25" s="3" t="inlineStr">
        <is>
          <t>Rp/USD</t>
        </is>
      </c>
      <c r="D25" s="17" t="n">
        <v>16492</v>
      </c>
      <c r="E25" s="17" t="n">
        <v>16596</v>
      </c>
      <c r="F25" s="17" t="n">
        <v>16568</v>
      </c>
      <c r="G25" s="17" t="n">
        <v>16552</v>
      </c>
      <c r="H25" s="17" t="n">
        <v>16527</v>
      </c>
      <c r="I25" s="17" t="n">
        <v>16364</v>
      </c>
      <c r="J25" s="17" t="n">
        <v>16423</v>
      </c>
      <c r="K25" s="17" t="n">
        <v>16344</v>
      </c>
      <c r="L25" s="17" t="n"/>
      <c r="M25" s="17" t="n"/>
      <c r="N25" s="17" t="n"/>
      <c r="O25" s="17" t="n"/>
      <c r="P25" s="71">
        <f>IFERROR(AVERAGE(D25:O25),0)</f>
        <v/>
      </c>
    </row>
    <row r="26">
      <c r="A26" s="4" t="inlineStr">
        <is>
          <t>SARANA, BBM &amp; CUACA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61" t="n">
        <v>18</v>
      </c>
      <c r="B27" s="10" t="inlineStr">
        <is>
          <t>Konsumsi BBM</t>
        </is>
      </c>
      <c r="C27" s="3" t="inlineStr">
        <is>
          <t>liter</t>
        </is>
      </c>
      <c r="D27" s="17" t="n">
        <v>1556554</v>
      </c>
      <c r="E27" s="17" t="n">
        <v>1705028</v>
      </c>
      <c r="F27" s="17" t="n">
        <v>1720551</v>
      </c>
      <c r="G27" s="17" t="n">
        <v>2009854</v>
      </c>
      <c r="H27" s="17" t="n">
        <v>1859947</v>
      </c>
      <c r="I27" s="17" t="n">
        <v>1792301</v>
      </c>
      <c r="J27" s="17" t="n">
        <v>2199970</v>
      </c>
      <c r="K27" s="17" t="n">
        <v>2168910</v>
      </c>
      <c r="L27" s="17" t="n"/>
      <c r="M27" s="17" t="n"/>
      <c r="N27" s="17" t="n"/>
      <c r="O27" s="17" t="n"/>
      <c r="P27" s="71">
        <f>SUM(D27:O27)</f>
        <v/>
      </c>
    </row>
    <row r="28">
      <c r="A28" s="61" t="n">
        <v>19</v>
      </c>
      <c r="B28" s="10" t="inlineStr">
        <is>
          <t>Fuel ratio</t>
        </is>
      </c>
      <c r="C28" s="3" t="inlineStr">
        <is>
          <t>L/bcm</t>
        </is>
      </c>
      <c r="D28" s="47">
        <f>IFERROR(D27/D8,0)</f>
        <v/>
      </c>
      <c r="E28" s="47">
        <f>IFERROR(E27/E8,0)</f>
        <v/>
      </c>
      <c r="F28" s="47">
        <f>IFERROR(F27/F8,0)</f>
        <v/>
      </c>
      <c r="G28" s="47">
        <f>IFERROR(G27/G8,0)</f>
        <v/>
      </c>
      <c r="H28" s="47">
        <f>IFERROR(H27/H8,0)</f>
        <v/>
      </c>
      <c r="I28" s="47">
        <f>IFERROR(I27/I8,0)</f>
        <v/>
      </c>
      <c r="J28" s="47">
        <f>IFERROR(J27/J8,0)</f>
        <v/>
      </c>
      <c r="K28" s="47">
        <f>IFERROR(K27/K8,0)</f>
        <v/>
      </c>
      <c r="L28" s="47">
        <f>IFERROR(L27/L8,0)</f>
        <v/>
      </c>
      <c r="M28" s="47">
        <f>IFERROR(M27/M8,0)</f>
        <v/>
      </c>
      <c r="N28" s="47">
        <f>IFERROR(N27/N8,0)</f>
        <v/>
      </c>
      <c r="O28" s="47">
        <f>IFERROR(O27/O8,0)</f>
        <v/>
      </c>
      <c r="P28" s="60">
        <f>IFERROR(P27/P8,0)</f>
        <v/>
      </c>
    </row>
    <row r="29">
      <c r="A29" s="61" t="n">
        <v>20</v>
      </c>
      <c r="B29" s="10" t="inlineStr">
        <is>
          <t>Jam hujan + slippery</t>
        </is>
      </c>
      <c r="C29" s="3" t="inlineStr">
        <is>
          <t>jam</t>
        </is>
      </c>
      <c r="D29" s="17" t="n">
        <v>216</v>
      </c>
      <c r="E29" s="17" t="n">
        <v>188</v>
      </c>
      <c r="F29" s="17" t="n">
        <v>186</v>
      </c>
      <c r="G29" s="17" t="n">
        <v>136</v>
      </c>
      <c r="H29" s="17" t="n">
        <v>127</v>
      </c>
      <c r="I29" s="17" t="n">
        <v>83</v>
      </c>
      <c r="J29" s="17" t="n">
        <v>70</v>
      </c>
      <c r="K29" s="17" t="n">
        <v>73</v>
      </c>
      <c r="L29" s="17" t="n"/>
      <c r="M29" s="17" t="n"/>
      <c r="N29" s="17" t="n"/>
      <c r="O29" s="17" t="n"/>
      <c r="P29" s="71">
        <f>SUM(D29:O29)</f>
        <v/>
      </c>
    </row>
    <row r="30">
      <c r="A30" s="61" t="n">
        <v>21</v>
      </c>
      <c r="B30" s="10" t="inlineStr">
        <is>
          <t>Physical availability (PA) armada utama</t>
        </is>
      </c>
      <c r="C30" s="3" t="inlineStr">
        <is>
          <t>%</t>
        </is>
      </c>
      <c r="D30" s="25" t="n">
        <v>0.867</v>
      </c>
      <c r="E30" s="25" t="n">
        <v>0.884</v>
      </c>
      <c r="F30" s="25" t="n">
        <v>0.823</v>
      </c>
      <c r="G30" s="25" t="n">
        <v>0.897</v>
      </c>
      <c r="H30" s="25" t="n">
        <v>0.824</v>
      </c>
      <c r="I30" s="25" t="n">
        <v>0.875</v>
      </c>
      <c r="J30" s="25" t="n">
        <v>0.869</v>
      </c>
      <c r="K30" s="25" t="n">
        <v>0.873</v>
      </c>
      <c r="L30" s="25" t="n"/>
      <c r="M30" s="25" t="n"/>
      <c r="N30" s="25" t="n"/>
      <c r="O30" s="25" t="n"/>
      <c r="P30" s="66">
        <f>IFERROR(AVERAGE(D30:O30),0)</f>
        <v/>
      </c>
    </row>
    <row r="31">
      <c r="A31" s="61" t="n">
        <v>22</v>
      </c>
      <c r="B31" s="10" t="inlineStr">
        <is>
          <t>Use of availability (UA) armada utama</t>
        </is>
      </c>
      <c r="C31" s="3" t="inlineStr">
        <is>
          <t>%</t>
        </is>
      </c>
      <c r="D31" s="25" t="n">
        <v>0.704</v>
      </c>
      <c r="E31" s="25" t="n">
        <v>0.738</v>
      </c>
      <c r="F31" s="25" t="n">
        <v>0.709</v>
      </c>
      <c r="G31" s="25" t="n">
        <v>0.768</v>
      </c>
      <c r="H31" s="25" t="n">
        <v>0.767</v>
      </c>
      <c r="I31" s="25" t="n">
        <v>0.759</v>
      </c>
      <c r="J31" s="25" t="n">
        <v>0.772</v>
      </c>
      <c r="K31" s="25" t="n">
        <v>0.757</v>
      </c>
      <c r="L31" s="25" t="n"/>
      <c r="M31" s="25" t="n"/>
      <c r="N31" s="25" t="n"/>
      <c r="O31" s="25" t="n"/>
      <c r="P31" s="66">
        <f>IFERROR(AVERAGE(D31:O31),0)</f>
        <v/>
      </c>
    </row>
    <row r="32">
      <c r="A32" s="4" t="inlineStr">
        <is>
          <t>SDM, K3 &amp; LINGKUNGAN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61" t="n">
        <v>23</v>
      </c>
      <c r="B33" s="10" t="inlineStr">
        <is>
          <t>Jumlah tenaga kerja (organik + kontraktor)</t>
        </is>
      </c>
      <c r="C33" s="3" t="inlineStr">
        <is>
          <t>orang</t>
        </is>
      </c>
      <c r="D33" s="17" t="n">
        <v>1469</v>
      </c>
      <c r="E33" s="17" t="n">
        <v>1438</v>
      </c>
      <c r="F33" s="17" t="n">
        <v>1459</v>
      </c>
      <c r="G33" s="17" t="n">
        <v>1462</v>
      </c>
      <c r="H33" s="17" t="n">
        <v>1442</v>
      </c>
      <c r="I33" s="17" t="n">
        <v>1443</v>
      </c>
      <c r="J33" s="17" t="n">
        <v>1450</v>
      </c>
      <c r="K33" s="17" t="n">
        <v>1441</v>
      </c>
      <c r="L33" s="17" t="n"/>
      <c r="M33" s="17" t="n"/>
      <c r="N33" s="17" t="n"/>
      <c r="O33" s="17" t="n"/>
      <c r="P33" s="71">
        <f>IFERROR(INDEX(D33:O33,COUNT(D33:O33)),0)</f>
        <v/>
      </c>
    </row>
    <row r="34">
      <c r="A34" s="61" t="n">
        <v>24</v>
      </c>
      <c r="B34" s="10" t="inlineStr">
        <is>
          <t>Jam kerja orang (man-hours)</t>
        </is>
      </c>
      <c r="C34" s="3" t="inlineStr">
        <is>
          <t>jam</t>
        </is>
      </c>
      <c r="D34" s="17" t="n">
        <v>351776</v>
      </c>
      <c r="E34" s="17" t="n">
        <v>367999</v>
      </c>
      <c r="F34" s="17" t="n">
        <v>370170</v>
      </c>
      <c r="G34" s="17" t="n">
        <v>356395</v>
      </c>
      <c r="H34" s="17" t="n">
        <v>360644</v>
      </c>
      <c r="I34" s="17" t="n">
        <v>352413</v>
      </c>
      <c r="J34" s="17" t="n">
        <v>363371</v>
      </c>
      <c r="K34" s="17" t="n">
        <v>361944</v>
      </c>
      <c r="L34" s="17" t="n"/>
      <c r="M34" s="17" t="n"/>
      <c r="N34" s="17" t="n"/>
      <c r="O34" s="17" t="n"/>
      <c r="P34" s="71">
        <f>SUM(D34:O34)</f>
        <v/>
      </c>
    </row>
    <row r="35">
      <c r="A35" s="61" t="n">
        <v>25</v>
      </c>
      <c r="B35" s="10" t="inlineStr">
        <is>
          <t>Kecelakaan hilang waktu kerja (LTI)</t>
        </is>
      </c>
      <c r="C35" s="3" t="inlineStr">
        <is>
          <t>kasus</t>
        </is>
      </c>
      <c r="D35" s="17" t="n">
        <v>0</v>
      </c>
      <c r="E35" s="17" t="n">
        <v>0</v>
      </c>
      <c r="F35" s="17" t="n">
        <v>1</v>
      </c>
      <c r="G35" s="17" t="n">
        <v>0</v>
      </c>
      <c r="H35" s="17" t="n">
        <v>0</v>
      </c>
      <c r="I35" s="17" t="n">
        <v>1</v>
      </c>
      <c r="J35" s="17" t="n">
        <v>0</v>
      </c>
      <c r="K35" s="17" t="n">
        <v>0</v>
      </c>
      <c r="L35" s="17" t="n"/>
      <c r="M35" s="17" t="n"/>
      <c r="N35" s="17" t="n"/>
      <c r="O35" s="17" t="n"/>
      <c r="P35" s="71">
        <f>SUM(D35:O35)</f>
        <v/>
      </c>
    </row>
    <row r="36">
      <c r="A36" s="61" t="n">
        <v>26</v>
      </c>
      <c r="B36" s="10" t="inlineStr">
        <is>
          <t>LTIFR</t>
        </is>
      </c>
      <c r="C36" s="3" t="inlineStr">
        <is>
          <t>per 1 juta jam</t>
        </is>
      </c>
      <c r="D36" s="47">
        <f>IFERROR(D35*1000000/D34,0)</f>
        <v/>
      </c>
      <c r="E36" s="47">
        <f>IFERROR(E35*1000000/E34,0)</f>
        <v/>
      </c>
      <c r="F36" s="47">
        <f>IFERROR(F35*1000000/F34,0)</f>
        <v/>
      </c>
      <c r="G36" s="47">
        <f>IFERROR(G35*1000000/G34,0)</f>
        <v/>
      </c>
      <c r="H36" s="47">
        <f>IFERROR(H35*1000000/H34,0)</f>
        <v/>
      </c>
      <c r="I36" s="47">
        <f>IFERROR(I35*1000000/I34,0)</f>
        <v/>
      </c>
      <c r="J36" s="47">
        <f>IFERROR(J35*1000000/J34,0)</f>
        <v/>
      </c>
      <c r="K36" s="47">
        <f>IFERROR(K35*1000000/K34,0)</f>
        <v/>
      </c>
      <c r="L36" s="47">
        <f>IFERROR(L35*1000000/L34,0)</f>
        <v/>
      </c>
      <c r="M36" s="47">
        <f>IFERROR(M35*1000000/M34,0)</f>
        <v/>
      </c>
      <c r="N36" s="47">
        <f>IFERROR(N35*1000000/N34,0)</f>
        <v/>
      </c>
      <c r="O36" s="47">
        <f>IFERROR(O35*1000000/O34,0)</f>
        <v/>
      </c>
      <c r="P36" s="60">
        <f>IFERROR(P35*1000000/P34,0)</f>
        <v/>
      </c>
    </row>
    <row r="37">
      <c r="A37" s="61" t="n">
        <v>27</v>
      </c>
      <c r="B37" s="10" t="inlineStr">
        <is>
          <t>Bukaan lahan</t>
        </is>
      </c>
      <c r="C37" s="3" t="inlineStr">
        <is>
          <t>ha</t>
        </is>
      </c>
      <c r="D37" s="79" t="n">
        <v>12</v>
      </c>
      <c r="E37" s="79" t="n">
        <v>12</v>
      </c>
      <c r="F37" s="79" t="n">
        <v>12</v>
      </c>
      <c r="G37" s="79" t="n">
        <v>12</v>
      </c>
      <c r="H37" s="79" t="n">
        <v>12</v>
      </c>
      <c r="I37" s="79" t="n">
        <v>12</v>
      </c>
      <c r="J37" s="79" t="n">
        <v>12</v>
      </c>
      <c r="K37" s="79" t="n">
        <v>12</v>
      </c>
      <c r="L37" s="79" t="n"/>
      <c r="M37" s="79" t="n"/>
      <c r="N37" s="79" t="n"/>
      <c r="O37" s="79" t="n"/>
      <c r="P37" s="81">
        <f>SUM(D37:O37)</f>
        <v/>
      </c>
    </row>
    <row r="38">
      <c r="A38" s="61" t="n">
        <v>28</v>
      </c>
      <c r="B38" s="10" t="inlineStr">
        <is>
          <t>Reklamasi &amp; revegetasi</t>
        </is>
      </c>
      <c r="C38" s="3" t="inlineStr">
        <is>
          <t>ha</t>
        </is>
      </c>
      <c r="D38" s="79" t="n">
        <v>5.1</v>
      </c>
      <c r="E38" s="79" t="n">
        <v>7.9</v>
      </c>
      <c r="F38" s="79" t="n">
        <v>4.4</v>
      </c>
      <c r="G38" s="79" t="n">
        <v>5.7</v>
      </c>
      <c r="H38" s="79" t="n">
        <v>6.7</v>
      </c>
      <c r="I38" s="79" t="n">
        <v>6.9</v>
      </c>
      <c r="J38" s="79" t="n">
        <v>6.4</v>
      </c>
      <c r="K38" s="79" t="n">
        <v>6.6</v>
      </c>
      <c r="L38" s="79" t="n"/>
      <c r="M38" s="79" t="n"/>
      <c r="N38" s="79" t="n"/>
      <c r="O38" s="79" t="n"/>
      <c r="P38" s="81">
        <f>SUM(D38:O38)</f>
        <v/>
      </c>
    </row>
  </sheetData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87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3" customWidth="1" min="16" max="16"/>
  </cols>
  <sheetData>
    <row r="1">
      <c r="A1" s="1" t="inlineStr">
        <is>
          <t>GEG – Laba Rugi BUDGET / RKAP Bulanan (Rp juta)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Isi sel kuning dari buku besar (GL) sesuai kode akun. Beban diisi POSITIF; penalti &amp; beban keuangan diisi NEGATIF.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>
        <is>
          <t>Kode akun</t>
        </is>
      </c>
      <c r="B6" s="16" t="inlineStr">
        <is>
          <t>Uraian</t>
        </is>
      </c>
      <c r="C6" s="16" t="inlineStr">
        <is>
          <t>Catatan</t>
        </is>
      </c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  <c r="P6" s="16" t="inlineStr">
        <is>
          <t>FY / YTD</t>
        </is>
      </c>
    </row>
    <row r="7">
      <c r="A7" s="4" t="inlineStr">
        <is>
          <t>PENDAPATAN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A8" s="45" t="inlineStr">
        <is>
          <t>4101</t>
        </is>
      </c>
      <c r="B8" s="10" t="inlineStr">
        <is>
          <t xml:space="preserve">   Penjualan batubara – Ekspor</t>
        </is>
      </c>
      <c r="D8" s="17" t="n">
        <v>128544</v>
      </c>
      <c r="E8" s="17" t="n">
        <v>125554</v>
      </c>
      <c r="F8" s="17" t="n">
        <v>139007</v>
      </c>
      <c r="G8" s="17" t="n">
        <v>149470</v>
      </c>
      <c r="H8" s="17" t="n">
        <v>156943</v>
      </c>
      <c r="I8" s="17" t="n">
        <v>159932</v>
      </c>
      <c r="J8" s="17" t="n">
        <v>164417</v>
      </c>
      <c r="K8" s="17" t="n">
        <v>164417</v>
      </c>
      <c r="L8" s="17" t="n">
        <v>158438</v>
      </c>
      <c r="M8" s="17" t="n">
        <v>152459</v>
      </c>
      <c r="N8" s="17" t="n">
        <v>144986</v>
      </c>
      <c r="O8" s="17" t="n">
        <v>137512</v>
      </c>
      <c r="P8" s="71">
        <f>SUM(D8:O8)</f>
        <v/>
      </c>
    </row>
    <row r="9">
      <c r="A9" s="45" t="inlineStr">
        <is>
          <t>4102</t>
        </is>
      </c>
      <c r="B9" s="10" t="inlineStr">
        <is>
          <t xml:space="preserve">   Penjualan batubara – Domestik DMO</t>
        </is>
      </c>
      <c r="D9" s="17" t="n">
        <v>40636</v>
      </c>
      <c r="E9" s="17" t="n">
        <v>39691</v>
      </c>
      <c r="F9" s="17" t="n">
        <v>43944</v>
      </c>
      <c r="G9" s="17" t="n">
        <v>47252</v>
      </c>
      <c r="H9" s="17" t="n">
        <v>49614</v>
      </c>
      <c r="I9" s="17" t="n">
        <v>50559</v>
      </c>
      <c r="J9" s="17" t="n">
        <v>51977</v>
      </c>
      <c r="K9" s="17" t="n">
        <v>51977</v>
      </c>
      <c r="L9" s="17" t="n">
        <v>50087</v>
      </c>
      <c r="M9" s="17" t="n">
        <v>48197</v>
      </c>
      <c r="N9" s="17" t="n">
        <v>45834</v>
      </c>
      <c r="O9" s="17" t="n">
        <v>43472</v>
      </c>
      <c r="P9" s="71">
        <f>SUM(D9:O9)</f>
        <v/>
      </c>
    </row>
    <row r="10">
      <c r="A10" s="45" t="inlineStr">
        <is>
          <t>4103</t>
        </is>
      </c>
      <c r="B10" s="10" t="inlineStr">
        <is>
          <t xml:space="preserve">   Penjualan batubara – Domestik non-DMO</t>
        </is>
      </c>
      <c r="D10" s="17" t="n">
        <v>20733</v>
      </c>
      <c r="E10" s="17" t="n">
        <v>20251</v>
      </c>
      <c r="F10" s="17" t="n">
        <v>22420</v>
      </c>
      <c r="G10" s="17" t="n">
        <v>24108</v>
      </c>
      <c r="H10" s="17" t="n">
        <v>25313</v>
      </c>
      <c r="I10" s="17" t="n">
        <v>25796</v>
      </c>
      <c r="J10" s="17" t="n">
        <v>26519</v>
      </c>
      <c r="K10" s="17" t="n">
        <v>26519</v>
      </c>
      <c r="L10" s="17" t="n">
        <v>25554</v>
      </c>
      <c r="M10" s="17" t="n">
        <v>24590</v>
      </c>
      <c r="N10" s="17" t="n">
        <v>23385</v>
      </c>
      <c r="O10" s="17" t="n">
        <v>22179</v>
      </c>
      <c r="P10" s="71">
        <f>SUM(D10:O10)</f>
        <v/>
      </c>
    </row>
    <row r="11">
      <c r="A11" s="45" t="inlineStr"/>
      <c r="B11" s="20" t="inlineStr">
        <is>
          <t xml:space="preserve">   Subtotal penjualan batubara</t>
        </is>
      </c>
      <c r="C11" s="23" t="n"/>
      <c r="D11" s="22">
        <f>D8+D9+D10</f>
        <v/>
      </c>
      <c r="E11" s="22">
        <f>E8+E9+E10</f>
        <v/>
      </c>
      <c r="F11" s="22">
        <f>F8+F9+F10</f>
        <v/>
      </c>
      <c r="G11" s="22">
        <f>G8+G9+G10</f>
        <v/>
      </c>
      <c r="H11" s="22">
        <f>H8+H9+H10</f>
        <v/>
      </c>
      <c r="I11" s="22">
        <f>I8+I9+I10</f>
        <v/>
      </c>
      <c r="J11" s="22">
        <f>J8+J9+J10</f>
        <v/>
      </c>
      <c r="K11" s="22">
        <f>K8+K9+K10</f>
        <v/>
      </c>
      <c r="L11" s="22">
        <f>L8+L9+L10</f>
        <v/>
      </c>
      <c r="M11" s="22">
        <f>M8+M9+M10</f>
        <v/>
      </c>
      <c r="N11" s="22">
        <f>N8+N9+N10</f>
        <v/>
      </c>
      <c r="O11" s="22">
        <f>O8+O9+O10</f>
        <v/>
      </c>
      <c r="P11" s="22">
        <f>P8+P9+P10</f>
        <v/>
      </c>
    </row>
    <row r="12">
      <c r="A12" s="45" t="inlineStr">
        <is>
          <t>4104</t>
        </is>
      </c>
      <c r="B12" s="10" t="inlineStr">
        <is>
          <t xml:space="preserve">   Penyesuaian harga / penalti kualitas (isi negatif)</t>
        </is>
      </c>
      <c r="D12" s="17" t="n">
        <v>-1519</v>
      </c>
      <c r="E12" s="17" t="n">
        <v>-1484</v>
      </c>
      <c r="F12" s="17" t="n">
        <v>-1643</v>
      </c>
      <c r="G12" s="17" t="n">
        <v>-1767</v>
      </c>
      <c r="H12" s="17" t="n">
        <v>-1855</v>
      </c>
      <c r="I12" s="17" t="n">
        <v>-1890</v>
      </c>
      <c r="J12" s="17" t="n">
        <v>-1943</v>
      </c>
      <c r="K12" s="17" t="n">
        <v>-1943</v>
      </c>
      <c r="L12" s="17" t="n">
        <v>-1873</v>
      </c>
      <c r="M12" s="17" t="n">
        <v>-1802</v>
      </c>
      <c r="N12" s="17" t="n">
        <v>-1714</v>
      </c>
      <c r="O12" s="17" t="n">
        <v>-1625</v>
      </c>
      <c r="P12" s="71">
        <f>SUM(D12:O12)</f>
        <v/>
      </c>
    </row>
    <row r="13">
      <c r="A13" s="45" t="inlineStr">
        <is>
          <t>4201</t>
        </is>
      </c>
      <c r="B13" s="10" t="inlineStr">
        <is>
          <t xml:space="preserve">   Pendapatan jasa &amp; usaha lainnya</t>
        </is>
      </c>
      <c r="D13" s="17" t="n">
        <v>900</v>
      </c>
      <c r="E13" s="17" t="n">
        <v>900</v>
      </c>
      <c r="F13" s="17" t="n">
        <v>900</v>
      </c>
      <c r="G13" s="17" t="n">
        <v>900</v>
      </c>
      <c r="H13" s="17" t="n">
        <v>900</v>
      </c>
      <c r="I13" s="17" t="n">
        <v>900</v>
      </c>
      <c r="J13" s="17" t="n">
        <v>900</v>
      </c>
      <c r="K13" s="17" t="n">
        <v>900</v>
      </c>
      <c r="L13" s="17" t="n">
        <v>900</v>
      </c>
      <c r="M13" s="17" t="n">
        <v>900</v>
      </c>
      <c r="N13" s="17" t="n">
        <v>900</v>
      </c>
      <c r="O13" s="17" t="n">
        <v>900</v>
      </c>
      <c r="P13" s="71">
        <f>SUM(D13:O13)</f>
        <v/>
      </c>
    </row>
    <row r="14">
      <c r="A14" s="82" t="inlineStr"/>
      <c r="B14" s="31" t="inlineStr">
        <is>
          <t>PENDAPATAN BERSIH</t>
        </is>
      </c>
      <c r="C14" s="32" t="n"/>
      <c r="D14" s="33">
        <f>D11+D12+D13</f>
        <v/>
      </c>
      <c r="E14" s="33">
        <f>E11+E12+E13</f>
        <v/>
      </c>
      <c r="F14" s="33">
        <f>F11+F12+F13</f>
        <v/>
      </c>
      <c r="G14" s="33">
        <f>G11+G12+G13</f>
        <v/>
      </c>
      <c r="H14" s="33">
        <f>H11+H12+H13</f>
        <v/>
      </c>
      <c r="I14" s="33">
        <f>I11+I12+I13</f>
        <v/>
      </c>
      <c r="J14" s="33">
        <f>J11+J12+J13</f>
        <v/>
      </c>
      <c r="K14" s="33">
        <f>K11+K12+K13</f>
        <v/>
      </c>
      <c r="L14" s="33">
        <f>L11+L12+L13</f>
        <v/>
      </c>
      <c r="M14" s="33">
        <f>M11+M12+M13</f>
        <v/>
      </c>
      <c r="N14" s="33">
        <f>N11+N12+N13</f>
        <v/>
      </c>
      <c r="O14" s="33">
        <f>O11+O12+O13</f>
        <v/>
      </c>
      <c r="P14" s="33">
        <f>P11+P12+P13</f>
        <v/>
      </c>
    </row>
    <row r="15">
      <c r="A15" s="4" t="inlineStr">
        <is>
          <t>BEBAN POKOK PENDAPATAN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B16" s="35" t="inlineStr">
        <is>
          <t>A. Biaya penambangan</t>
        </is>
      </c>
    </row>
    <row r="17">
      <c r="A17" s="45" t="inlineStr">
        <is>
          <t>5101</t>
        </is>
      </c>
      <c r="B17" s="10" t="inlineStr">
        <is>
          <t xml:space="preserve">   Jasa kontraktor OB removal</t>
        </is>
      </c>
      <c r="D17" s="17" t="n">
        <v>53630</v>
      </c>
      <c r="E17" s="17" t="n">
        <v>52383</v>
      </c>
      <c r="F17" s="17" t="n">
        <v>57996</v>
      </c>
      <c r="G17" s="17" t="n">
        <v>62361</v>
      </c>
      <c r="H17" s="17" t="n">
        <v>65479</v>
      </c>
      <c r="I17" s="17" t="n">
        <v>66726</v>
      </c>
      <c r="J17" s="17" t="n">
        <v>68597</v>
      </c>
      <c r="K17" s="17" t="n">
        <v>68597</v>
      </c>
      <c r="L17" s="17" t="n">
        <v>66103</v>
      </c>
      <c r="M17" s="17" t="n">
        <v>63608</v>
      </c>
      <c r="N17" s="17" t="n">
        <v>60490</v>
      </c>
      <c r="O17" s="17" t="n">
        <v>57372</v>
      </c>
      <c r="P17" s="71">
        <f>SUM(D17:O17)</f>
        <v/>
      </c>
    </row>
    <row r="18">
      <c r="A18" s="45" t="inlineStr">
        <is>
          <t>5102</t>
        </is>
      </c>
      <c r="B18" s="10" t="inlineStr">
        <is>
          <t xml:space="preserve">   Bahan bakar (BBM)</t>
        </is>
      </c>
      <c r="D18" s="17" t="n">
        <v>21030</v>
      </c>
      <c r="E18" s="17" t="n">
        <v>20541</v>
      </c>
      <c r="F18" s="17" t="n">
        <v>22741</v>
      </c>
      <c r="G18" s="17" t="n">
        <v>24453</v>
      </c>
      <c r="H18" s="17" t="n">
        <v>25676</v>
      </c>
      <c r="I18" s="17" t="n">
        <v>26165</v>
      </c>
      <c r="J18" s="17" t="n">
        <v>26898</v>
      </c>
      <c r="K18" s="17" t="n">
        <v>26898</v>
      </c>
      <c r="L18" s="17" t="n">
        <v>25920</v>
      </c>
      <c r="M18" s="17" t="n">
        <v>24942</v>
      </c>
      <c r="N18" s="17" t="n">
        <v>23719</v>
      </c>
      <c r="O18" s="17" t="n">
        <v>22497</v>
      </c>
      <c r="P18" s="71">
        <f>SUM(D18:O18)</f>
        <v/>
      </c>
    </row>
    <row r="19">
      <c r="A19" s="45" t="inlineStr">
        <is>
          <t>5103</t>
        </is>
      </c>
      <c r="B19" s="10" t="inlineStr">
        <is>
          <t xml:space="preserve">   Peledakan (drill &amp; blast)</t>
        </is>
      </c>
      <c r="D19" s="17" t="n">
        <v>4332</v>
      </c>
      <c r="E19" s="17" t="n">
        <v>4231</v>
      </c>
      <c r="F19" s="17" t="n">
        <v>4684</v>
      </c>
      <c r="G19" s="17" t="n">
        <v>5037</v>
      </c>
      <c r="H19" s="17" t="n">
        <v>5289</v>
      </c>
      <c r="I19" s="17" t="n">
        <v>5389</v>
      </c>
      <c r="J19" s="17" t="n">
        <v>5541</v>
      </c>
      <c r="K19" s="17" t="n">
        <v>5541</v>
      </c>
      <c r="L19" s="17" t="n">
        <v>5339</v>
      </c>
      <c r="M19" s="17" t="n">
        <v>5138</v>
      </c>
      <c r="N19" s="17" t="n">
        <v>4886</v>
      </c>
      <c r="O19" s="17" t="n">
        <v>4634</v>
      </c>
      <c r="P19" s="71">
        <f>SUM(D19:O19)</f>
        <v/>
      </c>
    </row>
    <row r="20">
      <c r="A20" s="45" t="inlineStr">
        <is>
          <t>5104</t>
        </is>
      </c>
      <c r="B20" s="10" t="inlineStr">
        <is>
          <t xml:space="preserve">   Penggalian batubara (coal getting)</t>
        </is>
      </c>
      <c r="D20" s="17" t="n">
        <v>3526</v>
      </c>
      <c r="E20" s="17" t="n">
        <v>3444</v>
      </c>
      <c r="F20" s="17" t="n">
        <v>3813</v>
      </c>
      <c r="G20" s="17" t="n">
        <v>4100</v>
      </c>
      <c r="H20" s="17" t="n">
        <v>4305</v>
      </c>
      <c r="I20" s="17" t="n">
        <v>4387</v>
      </c>
      <c r="J20" s="17" t="n">
        <v>4510</v>
      </c>
      <c r="K20" s="17" t="n">
        <v>4510</v>
      </c>
      <c r="L20" s="17" t="n">
        <v>4346</v>
      </c>
      <c r="M20" s="17" t="n">
        <v>4182</v>
      </c>
      <c r="N20" s="17" t="n">
        <v>3977</v>
      </c>
      <c r="O20" s="17" t="n">
        <v>3772</v>
      </c>
      <c r="P20" s="71">
        <f>SUM(D20:O20)</f>
        <v/>
      </c>
    </row>
    <row r="21">
      <c r="A21" s="45" t="inlineStr">
        <is>
          <t>5105</t>
        </is>
      </c>
      <c r="B21" s="10" t="inlineStr">
        <is>
          <t xml:space="preserve">   Sewa alat berat &amp; sarana penunjang</t>
        </is>
      </c>
      <c r="D21" s="17" t="n">
        <v>3500</v>
      </c>
      <c r="E21" s="17" t="n">
        <v>3500</v>
      </c>
      <c r="F21" s="17" t="n">
        <v>3500</v>
      </c>
      <c r="G21" s="17" t="n">
        <v>3500</v>
      </c>
      <c r="H21" s="17" t="n">
        <v>3500</v>
      </c>
      <c r="I21" s="17" t="n">
        <v>3500</v>
      </c>
      <c r="J21" s="17" t="n">
        <v>3500</v>
      </c>
      <c r="K21" s="17" t="n">
        <v>3500</v>
      </c>
      <c r="L21" s="17" t="n">
        <v>3500</v>
      </c>
      <c r="M21" s="17" t="n">
        <v>3500</v>
      </c>
      <c r="N21" s="17" t="n">
        <v>3500</v>
      </c>
      <c r="O21" s="17" t="n">
        <v>3500</v>
      </c>
      <c r="P21" s="71">
        <f>SUM(D21:O21)</f>
        <v/>
      </c>
    </row>
    <row r="22">
      <c r="A22" s="45" t="inlineStr">
        <is>
          <t>5106</t>
        </is>
      </c>
      <c r="B22" s="10" t="inlineStr">
        <is>
          <t xml:space="preserve">   Pemeliharaan jalan tambang &amp; infrastruktur</t>
        </is>
      </c>
      <c r="D22" s="17" t="n">
        <v>1800</v>
      </c>
      <c r="E22" s="17" t="n">
        <v>1800</v>
      </c>
      <c r="F22" s="17" t="n">
        <v>1800</v>
      </c>
      <c r="G22" s="17" t="n">
        <v>1800</v>
      </c>
      <c r="H22" s="17" t="n">
        <v>1800</v>
      </c>
      <c r="I22" s="17" t="n">
        <v>1800</v>
      </c>
      <c r="J22" s="17" t="n">
        <v>1800</v>
      </c>
      <c r="K22" s="17" t="n">
        <v>1800</v>
      </c>
      <c r="L22" s="17" t="n">
        <v>1800</v>
      </c>
      <c r="M22" s="17" t="n">
        <v>1800</v>
      </c>
      <c r="N22" s="17" t="n">
        <v>1800</v>
      </c>
      <c r="O22" s="17" t="n">
        <v>1800</v>
      </c>
      <c r="P22" s="71">
        <f>SUM(D22:O22)</f>
        <v/>
      </c>
    </row>
    <row r="23">
      <c r="A23" s="45" t="inlineStr">
        <is>
          <t>5107</t>
        </is>
      </c>
      <c r="B23" s="10" t="inlineStr">
        <is>
          <t xml:space="preserve">   Pengelolaan air tambang (dewatering)</t>
        </is>
      </c>
      <c r="D23" s="17" t="n">
        <v>2250</v>
      </c>
      <c r="E23" s="17" t="n">
        <v>2125</v>
      </c>
      <c r="F23" s="17" t="n">
        <v>2000</v>
      </c>
      <c r="G23" s="17" t="n">
        <v>1500</v>
      </c>
      <c r="H23" s="17" t="n">
        <v>1250</v>
      </c>
      <c r="I23" s="17" t="n">
        <v>1000</v>
      </c>
      <c r="J23" s="17" t="n">
        <v>750</v>
      </c>
      <c r="K23" s="17" t="n">
        <v>750</v>
      </c>
      <c r="L23" s="17" t="n">
        <v>875</v>
      </c>
      <c r="M23" s="17" t="n">
        <v>1375</v>
      </c>
      <c r="N23" s="17" t="n">
        <v>1875</v>
      </c>
      <c r="O23" s="17" t="n">
        <v>2125</v>
      </c>
      <c r="P23" s="71">
        <f>SUM(D23:O23)</f>
        <v/>
      </c>
    </row>
    <row r="24">
      <c r="A24" s="45" t="inlineStr">
        <is>
          <t>5108</t>
        </is>
      </c>
      <c r="B24" s="10" t="inlineStr">
        <is>
          <t xml:space="preserve">   Survei, geologi &amp; grade control</t>
        </is>
      </c>
      <c r="D24" s="17" t="n">
        <v>600</v>
      </c>
      <c r="E24" s="17" t="n">
        <v>600</v>
      </c>
      <c r="F24" s="17" t="n">
        <v>600</v>
      </c>
      <c r="G24" s="17" t="n">
        <v>600</v>
      </c>
      <c r="H24" s="17" t="n">
        <v>600</v>
      </c>
      <c r="I24" s="17" t="n">
        <v>600</v>
      </c>
      <c r="J24" s="17" t="n">
        <v>600</v>
      </c>
      <c r="K24" s="17" t="n">
        <v>600</v>
      </c>
      <c r="L24" s="17" t="n">
        <v>600</v>
      </c>
      <c r="M24" s="17" t="n">
        <v>600</v>
      </c>
      <c r="N24" s="17" t="n">
        <v>600</v>
      </c>
      <c r="O24" s="17" t="n">
        <v>600</v>
      </c>
      <c r="P24" s="71">
        <f>SUM(D24:O24)</f>
        <v/>
      </c>
    </row>
    <row r="25">
      <c r="A25" s="45" t="inlineStr"/>
      <c r="B25" s="20" t="inlineStr">
        <is>
          <t xml:space="preserve">   Subtotal biaya penambangan</t>
        </is>
      </c>
      <c r="C25" s="23" t="n"/>
      <c r="D25" s="22">
        <f>D17+D18+D19+D20+D21+D22+D23+D24</f>
        <v/>
      </c>
      <c r="E25" s="22">
        <f>E17+E18+E19+E20+E21+E22+E23+E24</f>
        <v/>
      </c>
      <c r="F25" s="22">
        <f>F17+F18+F19+F20+F21+F22+F23+F24</f>
        <v/>
      </c>
      <c r="G25" s="22">
        <f>G17+G18+G19+G20+G21+G22+G23+G24</f>
        <v/>
      </c>
      <c r="H25" s="22">
        <f>H17+H18+H19+H20+H21+H22+H23+H24</f>
        <v/>
      </c>
      <c r="I25" s="22">
        <f>I17+I18+I19+I20+I21+I22+I23+I24</f>
        <v/>
      </c>
      <c r="J25" s="22">
        <f>J17+J18+J19+J20+J21+J22+J23+J24</f>
        <v/>
      </c>
      <c r="K25" s="22">
        <f>K17+K18+K19+K20+K21+K22+K23+K24</f>
        <v/>
      </c>
      <c r="L25" s="22">
        <f>L17+L18+L19+L20+L21+L22+L23+L24</f>
        <v/>
      </c>
      <c r="M25" s="22">
        <f>M17+M18+M19+M20+M21+M22+M23+M24</f>
        <v/>
      </c>
      <c r="N25" s="22">
        <f>N17+N18+N19+N20+N21+N22+N23+N24</f>
        <v/>
      </c>
      <c r="O25" s="22">
        <f>O17+O18+O19+O20+O21+O22+O23+O24</f>
        <v/>
      </c>
      <c r="P25" s="22">
        <f>P17+P18+P19+P20+P21+P22+P23+P24</f>
        <v/>
      </c>
    </row>
    <row r="26">
      <c r="B26" s="35" t="inlineStr">
        <is>
          <t>B. Pengolahan &amp; logistik</t>
        </is>
      </c>
    </row>
    <row r="27">
      <c r="A27" s="45" t="inlineStr">
        <is>
          <t>5201</t>
        </is>
      </c>
      <c r="B27" s="10" t="inlineStr">
        <is>
          <t xml:space="preserve">   Crushing &amp; pengolahan (CPP)</t>
        </is>
      </c>
      <c r="D27" s="17" t="n">
        <v>2821</v>
      </c>
      <c r="E27" s="17" t="n">
        <v>2755</v>
      </c>
      <c r="F27" s="17" t="n">
        <v>3050</v>
      </c>
      <c r="G27" s="17" t="n">
        <v>3280</v>
      </c>
      <c r="H27" s="17" t="n">
        <v>3444</v>
      </c>
      <c r="I27" s="17" t="n">
        <v>3510</v>
      </c>
      <c r="J27" s="17" t="n">
        <v>3608</v>
      </c>
      <c r="K27" s="17" t="n">
        <v>3608</v>
      </c>
      <c r="L27" s="17" t="n">
        <v>3477</v>
      </c>
      <c r="M27" s="17" t="n">
        <v>3346</v>
      </c>
      <c r="N27" s="17" t="n">
        <v>3182</v>
      </c>
      <c r="O27" s="17" t="n">
        <v>3018</v>
      </c>
      <c r="P27" s="71">
        <f>SUM(D27:O27)</f>
        <v/>
      </c>
    </row>
    <row r="28">
      <c r="A28" s="45" t="inlineStr">
        <is>
          <t>5202</t>
        </is>
      </c>
      <c r="B28" s="10" t="inlineStr">
        <is>
          <t xml:space="preserve">   Hauling tambang – pelabuhan</t>
        </is>
      </c>
      <c r="D28" s="17" t="n">
        <v>11519</v>
      </c>
      <c r="E28" s="17" t="n">
        <v>11252</v>
      </c>
      <c r="F28" s="17" t="n">
        <v>12457</v>
      </c>
      <c r="G28" s="17" t="n">
        <v>13395</v>
      </c>
      <c r="H28" s="17" t="n">
        <v>14064</v>
      </c>
      <c r="I28" s="17" t="n">
        <v>14332</v>
      </c>
      <c r="J28" s="17" t="n">
        <v>14734</v>
      </c>
      <c r="K28" s="17" t="n">
        <v>14734</v>
      </c>
      <c r="L28" s="17" t="n">
        <v>14198</v>
      </c>
      <c r="M28" s="17" t="n">
        <v>13663</v>
      </c>
      <c r="N28" s="17" t="n">
        <v>12993</v>
      </c>
      <c r="O28" s="17" t="n">
        <v>12323</v>
      </c>
      <c r="P28" s="71">
        <f>SUM(D28:O28)</f>
        <v/>
      </c>
    </row>
    <row r="29">
      <c r="A29" s="45" t="inlineStr">
        <is>
          <t>5203</t>
        </is>
      </c>
      <c r="B29" s="10" t="inlineStr">
        <is>
          <t xml:space="preserve">   Penanganan pelabuhan &amp; stockpile</t>
        </is>
      </c>
      <c r="D29" s="17" t="n">
        <v>4492</v>
      </c>
      <c r="E29" s="17" t="n">
        <v>4388</v>
      </c>
      <c r="F29" s="17" t="n">
        <v>4858</v>
      </c>
      <c r="G29" s="17" t="n">
        <v>5223</v>
      </c>
      <c r="H29" s="17" t="n">
        <v>5485</v>
      </c>
      <c r="I29" s="17" t="n">
        <v>5589</v>
      </c>
      <c r="J29" s="17" t="n">
        <v>5746</v>
      </c>
      <c r="K29" s="17" t="n">
        <v>5746</v>
      </c>
      <c r="L29" s="17" t="n">
        <v>5537</v>
      </c>
      <c r="M29" s="17" t="n">
        <v>5328</v>
      </c>
      <c r="N29" s="17" t="n">
        <v>5067</v>
      </c>
      <c r="O29" s="17" t="n">
        <v>4806</v>
      </c>
      <c r="P29" s="71">
        <f>SUM(D29:O29)</f>
        <v/>
      </c>
    </row>
    <row r="30">
      <c r="A30" s="45" t="inlineStr">
        <is>
          <t>5204</t>
        </is>
      </c>
      <c r="B30" s="10" t="inlineStr">
        <is>
          <t xml:space="preserve">   Tongkang &amp; transshipment (barging)</t>
        </is>
      </c>
      <c r="D30" s="17" t="n">
        <v>15550</v>
      </c>
      <c r="E30" s="17" t="n">
        <v>15188</v>
      </c>
      <c r="F30" s="17" t="n">
        <v>16815</v>
      </c>
      <c r="G30" s="17" t="n">
        <v>18081</v>
      </c>
      <c r="H30" s="17" t="n">
        <v>18985</v>
      </c>
      <c r="I30" s="17" t="n">
        <v>19347</v>
      </c>
      <c r="J30" s="17" t="n">
        <v>19889</v>
      </c>
      <c r="K30" s="17" t="n">
        <v>19889</v>
      </c>
      <c r="L30" s="17" t="n">
        <v>19166</v>
      </c>
      <c r="M30" s="17" t="n">
        <v>18443</v>
      </c>
      <c r="N30" s="17" t="n">
        <v>17539</v>
      </c>
      <c r="O30" s="17" t="n">
        <v>16635</v>
      </c>
      <c r="P30" s="71">
        <f>SUM(D30:O30)</f>
        <v/>
      </c>
    </row>
    <row r="31">
      <c r="A31" s="45" t="inlineStr"/>
      <c r="B31" s="20" t="inlineStr">
        <is>
          <t xml:space="preserve">   Subtotal pengolahan &amp; logistik</t>
        </is>
      </c>
      <c r="C31" s="23" t="n"/>
      <c r="D31" s="22">
        <f>D27+D28+D29+D30</f>
        <v/>
      </c>
      <c r="E31" s="22">
        <f>E27+E28+E29+E30</f>
        <v/>
      </c>
      <c r="F31" s="22">
        <f>F27+F28+F29+F30</f>
        <v/>
      </c>
      <c r="G31" s="22">
        <f>G27+G28+G29+G30</f>
        <v/>
      </c>
      <c r="H31" s="22">
        <f>H27+H28+H29+H30</f>
        <v/>
      </c>
      <c r="I31" s="22">
        <f>I27+I28+I29+I30</f>
        <v/>
      </c>
      <c r="J31" s="22">
        <f>J27+J28+J29+J30</f>
        <v/>
      </c>
      <c r="K31" s="22">
        <f>K27+K28+K29+K30</f>
        <v/>
      </c>
      <c r="L31" s="22">
        <f>L27+L28+L29+L30</f>
        <v/>
      </c>
      <c r="M31" s="22">
        <f>M27+M28+M29+M30</f>
        <v/>
      </c>
      <c r="N31" s="22">
        <f>N27+N28+N29+N30</f>
        <v/>
      </c>
      <c r="O31" s="22">
        <f>O27+O28+O29+O30</f>
        <v/>
      </c>
      <c r="P31" s="22">
        <f>P27+P28+P29+P30</f>
        <v/>
      </c>
    </row>
    <row r="32">
      <c r="B32" s="35" t="inlineStr">
        <is>
          <t>C. Royalti</t>
        </is>
      </c>
    </row>
    <row r="33">
      <c r="A33" s="45" t="inlineStr">
        <is>
          <t>5301</t>
        </is>
      </c>
      <c r="B33" s="10" t="inlineStr">
        <is>
          <t xml:space="preserve">   Royalti / PNBP (DHPB)</t>
        </is>
      </c>
      <c r="D33" s="17" t="n">
        <v>9420</v>
      </c>
      <c r="E33" s="17" t="n">
        <v>9201</v>
      </c>
      <c r="F33" s="17" t="n">
        <v>10186</v>
      </c>
      <c r="G33" s="17" t="n">
        <v>10953</v>
      </c>
      <c r="H33" s="17" t="n">
        <v>11501</v>
      </c>
      <c r="I33" s="17" t="n">
        <v>11720</v>
      </c>
      <c r="J33" s="17" t="n">
        <v>12048</v>
      </c>
      <c r="K33" s="17" t="n">
        <v>12048</v>
      </c>
      <c r="L33" s="17" t="n">
        <v>11610</v>
      </c>
      <c r="M33" s="17" t="n">
        <v>11172</v>
      </c>
      <c r="N33" s="17" t="n">
        <v>10625</v>
      </c>
      <c r="O33" s="17" t="n">
        <v>10077</v>
      </c>
      <c r="P33" s="71">
        <f>SUM(D33:O33)</f>
        <v/>
      </c>
    </row>
    <row r="34">
      <c r="B34" s="35" t="inlineStr">
        <is>
          <t>D. Overhead site</t>
        </is>
      </c>
    </row>
    <row r="35">
      <c r="A35" s="45" t="inlineStr">
        <is>
          <t>5401</t>
        </is>
      </c>
      <c r="B35" s="10" t="inlineStr">
        <is>
          <t xml:space="preserve">   Gaji &amp; tunjangan karyawan site</t>
        </is>
      </c>
      <c r="D35" s="17" t="n">
        <v>6500</v>
      </c>
      <c r="E35" s="17" t="n">
        <v>6500</v>
      </c>
      <c r="F35" s="17" t="n">
        <v>6500</v>
      </c>
      <c r="G35" s="17" t="n">
        <v>6500</v>
      </c>
      <c r="H35" s="17" t="n">
        <v>6500</v>
      </c>
      <c r="I35" s="17" t="n">
        <v>6500</v>
      </c>
      <c r="J35" s="17" t="n">
        <v>6500</v>
      </c>
      <c r="K35" s="17" t="n">
        <v>6500</v>
      </c>
      <c r="L35" s="17" t="n">
        <v>6500</v>
      </c>
      <c r="M35" s="17" t="n">
        <v>6500</v>
      </c>
      <c r="N35" s="17" t="n">
        <v>6500</v>
      </c>
      <c r="O35" s="17" t="n">
        <v>6500</v>
      </c>
      <c r="P35" s="71">
        <f>SUM(D35:O35)</f>
        <v/>
      </c>
    </row>
    <row r="36">
      <c r="A36" s="45" t="inlineStr">
        <is>
          <t>5402</t>
        </is>
      </c>
      <c r="B36" s="10" t="inlineStr">
        <is>
          <t xml:space="preserve">   Camp, mess &amp; katering</t>
        </is>
      </c>
      <c r="D36" s="17" t="n">
        <v>1600</v>
      </c>
      <c r="E36" s="17" t="n">
        <v>1600</v>
      </c>
      <c r="F36" s="17" t="n">
        <v>1600</v>
      </c>
      <c r="G36" s="17" t="n">
        <v>1600</v>
      </c>
      <c r="H36" s="17" t="n">
        <v>1600</v>
      </c>
      <c r="I36" s="17" t="n">
        <v>1600</v>
      </c>
      <c r="J36" s="17" t="n">
        <v>1600</v>
      </c>
      <c r="K36" s="17" t="n">
        <v>1600</v>
      </c>
      <c r="L36" s="17" t="n">
        <v>1600</v>
      </c>
      <c r="M36" s="17" t="n">
        <v>1600</v>
      </c>
      <c r="N36" s="17" t="n">
        <v>1600</v>
      </c>
      <c r="O36" s="17" t="n">
        <v>1600</v>
      </c>
      <c r="P36" s="71">
        <f>SUM(D36:O36)</f>
        <v/>
      </c>
    </row>
    <row r="37">
      <c r="A37" s="45" t="inlineStr">
        <is>
          <t>5403</t>
        </is>
      </c>
      <c r="B37" s="10" t="inlineStr">
        <is>
          <t xml:space="preserve">   K3 / HSE</t>
        </is>
      </c>
      <c r="D37" s="17" t="n">
        <v>700</v>
      </c>
      <c r="E37" s="17" t="n">
        <v>700</v>
      </c>
      <c r="F37" s="17" t="n">
        <v>700</v>
      </c>
      <c r="G37" s="17" t="n">
        <v>700</v>
      </c>
      <c r="H37" s="17" t="n">
        <v>700</v>
      </c>
      <c r="I37" s="17" t="n">
        <v>700</v>
      </c>
      <c r="J37" s="17" t="n">
        <v>700</v>
      </c>
      <c r="K37" s="17" t="n">
        <v>700</v>
      </c>
      <c r="L37" s="17" t="n">
        <v>700</v>
      </c>
      <c r="M37" s="17" t="n">
        <v>700</v>
      </c>
      <c r="N37" s="17" t="n">
        <v>700</v>
      </c>
      <c r="O37" s="17" t="n">
        <v>700</v>
      </c>
      <c r="P37" s="71">
        <f>SUM(D37:O37)</f>
        <v/>
      </c>
    </row>
    <row r="38">
      <c r="A38" s="45" t="inlineStr">
        <is>
          <t>5404</t>
        </is>
      </c>
      <c r="B38" s="10" t="inlineStr">
        <is>
          <t xml:space="preserve">   Lingkungan &amp; reklamasi (provisi)</t>
        </is>
      </c>
      <c r="D38" s="17" t="n">
        <v>1290</v>
      </c>
      <c r="E38" s="17" t="n">
        <v>1260</v>
      </c>
      <c r="F38" s="17" t="n">
        <v>1395</v>
      </c>
      <c r="G38" s="17" t="n">
        <v>1500</v>
      </c>
      <c r="H38" s="17" t="n">
        <v>1575</v>
      </c>
      <c r="I38" s="17" t="n">
        <v>1605</v>
      </c>
      <c r="J38" s="17" t="n">
        <v>1650</v>
      </c>
      <c r="K38" s="17" t="n">
        <v>1650</v>
      </c>
      <c r="L38" s="17" t="n">
        <v>1590</v>
      </c>
      <c r="M38" s="17" t="n">
        <v>1530</v>
      </c>
      <c r="N38" s="17" t="n">
        <v>1455</v>
      </c>
      <c r="O38" s="17" t="n">
        <v>1380</v>
      </c>
      <c r="P38" s="71">
        <f>SUM(D38:O38)</f>
        <v/>
      </c>
    </row>
    <row r="39">
      <c r="A39" s="45" t="inlineStr">
        <is>
          <t>5405</t>
        </is>
      </c>
      <c r="B39" s="10" t="inlineStr">
        <is>
          <t xml:space="preserve">   PPM / CSR</t>
        </is>
      </c>
      <c r="D39" s="17" t="n">
        <v>900</v>
      </c>
      <c r="E39" s="17" t="n">
        <v>900</v>
      </c>
      <c r="F39" s="17" t="n">
        <v>900</v>
      </c>
      <c r="G39" s="17" t="n">
        <v>900</v>
      </c>
      <c r="H39" s="17" t="n">
        <v>900</v>
      </c>
      <c r="I39" s="17" t="n">
        <v>900</v>
      </c>
      <c r="J39" s="17" t="n">
        <v>900</v>
      </c>
      <c r="K39" s="17" t="n">
        <v>900</v>
      </c>
      <c r="L39" s="17" t="n">
        <v>900</v>
      </c>
      <c r="M39" s="17" t="n">
        <v>900</v>
      </c>
      <c r="N39" s="17" t="n">
        <v>900</v>
      </c>
      <c r="O39" s="17" t="n">
        <v>900</v>
      </c>
      <c r="P39" s="71">
        <f>SUM(D39:O39)</f>
        <v/>
      </c>
    </row>
    <row r="40">
      <c r="A40" s="45" t="inlineStr">
        <is>
          <t>5406</t>
        </is>
      </c>
      <c r="B40" s="10" t="inlineStr">
        <is>
          <t xml:space="preserve">   Iuran tetap &amp; kompensasi lahan</t>
        </is>
      </c>
      <c r="D40" s="17" t="n">
        <v>700</v>
      </c>
      <c r="E40" s="17" t="n">
        <v>700</v>
      </c>
      <c r="F40" s="17" t="n">
        <v>700</v>
      </c>
      <c r="G40" s="17" t="n">
        <v>700</v>
      </c>
      <c r="H40" s="17" t="n">
        <v>700</v>
      </c>
      <c r="I40" s="17" t="n">
        <v>700</v>
      </c>
      <c r="J40" s="17" t="n">
        <v>700</v>
      </c>
      <c r="K40" s="17" t="n">
        <v>700</v>
      </c>
      <c r="L40" s="17" t="n">
        <v>700</v>
      </c>
      <c r="M40" s="17" t="n">
        <v>700</v>
      </c>
      <c r="N40" s="17" t="n">
        <v>700</v>
      </c>
      <c r="O40" s="17" t="n">
        <v>700</v>
      </c>
      <c r="P40" s="71">
        <f>SUM(D40:O40)</f>
        <v/>
      </c>
    </row>
    <row r="41">
      <c r="A41" s="45" t="inlineStr"/>
      <c r="B41" s="20" t="inlineStr">
        <is>
          <t xml:space="preserve">   Subtotal overhead site</t>
        </is>
      </c>
      <c r="C41" s="23" t="n"/>
      <c r="D41" s="22">
        <f>D35+D36+D37+D38+D39+D40</f>
        <v/>
      </c>
      <c r="E41" s="22">
        <f>E35+E36+E37+E38+E39+E40</f>
        <v/>
      </c>
      <c r="F41" s="22">
        <f>F35+F36+F37+F38+F39+F40</f>
        <v/>
      </c>
      <c r="G41" s="22">
        <f>G35+G36+G37+G38+G39+G40</f>
        <v/>
      </c>
      <c r="H41" s="22">
        <f>H35+H36+H37+H38+H39+H40</f>
        <v/>
      </c>
      <c r="I41" s="22">
        <f>I35+I36+I37+I38+I39+I40</f>
        <v/>
      </c>
      <c r="J41" s="22">
        <f>J35+J36+J37+J38+J39+J40</f>
        <v/>
      </c>
      <c r="K41" s="22">
        <f>K35+K36+K37+K38+K39+K40</f>
        <v/>
      </c>
      <c r="L41" s="22">
        <f>L35+L36+L37+L38+L39+L40</f>
        <v/>
      </c>
      <c r="M41" s="22">
        <f>M35+M36+M37+M38+M39+M40</f>
        <v/>
      </c>
      <c r="N41" s="22">
        <f>N35+N36+N37+N38+N39+N40</f>
        <v/>
      </c>
      <c r="O41" s="22">
        <f>O35+O36+O37+O38+O39+O40</f>
        <v/>
      </c>
      <c r="P41" s="22">
        <f>P35+P36+P37+P38+P39+P40</f>
        <v/>
      </c>
    </row>
    <row r="42">
      <c r="B42" s="35" t="inlineStr">
        <is>
          <t>E. Penyusutan &amp; amortisasi</t>
        </is>
      </c>
    </row>
    <row r="43">
      <c r="A43" s="45" t="inlineStr">
        <is>
          <t>5501</t>
        </is>
      </c>
      <c r="B43" s="10" t="inlineStr">
        <is>
          <t xml:space="preserve">   Penyusutan aset tetap</t>
        </is>
      </c>
      <c r="D43" s="17" t="n">
        <v>7500</v>
      </c>
      <c r="E43" s="17" t="n">
        <v>7500</v>
      </c>
      <c r="F43" s="17" t="n">
        <v>7500</v>
      </c>
      <c r="G43" s="17" t="n">
        <v>7500</v>
      </c>
      <c r="H43" s="17" t="n">
        <v>7500</v>
      </c>
      <c r="I43" s="17" t="n">
        <v>7500</v>
      </c>
      <c r="J43" s="17" t="n">
        <v>7500</v>
      </c>
      <c r="K43" s="17" t="n">
        <v>7500</v>
      </c>
      <c r="L43" s="17" t="n">
        <v>7500</v>
      </c>
      <c r="M43" s="17" t="n">
        <v>7500</v>
      </c>
      <c r="N43" s="17" t="n">
        <v>7500</v>
      </c>
      <c r="O43" s="17" t="n">
        <v>7500</v>
      </c>
      <c r="P43" s="71">
        <f>SUM(D43:O43)</f>
        <v/>
      </c>
    </row>
    <row r="44">
      <c r="A44" s="45" t="inlineStr">
        <is>
          <t>5502</t>
        </is>
      </c>
      <c r="B44" s="10" t="inlineStr">
        <is>
          <t xml:space="preserve">   Amortisasi properti pertambangan</t>
        </is>
      </c>
      <c r="D44" s="17" t="n">
        <v>2580</v>
      </c>
      <c r="E44" s="17" t="n">
        <v>2520</v>
      </c>
      <c r="F44" s="17" t="n">
        <v>2790</v>
      </c>
      <c r="G44" s="17" t="n">
        <v>3000</v>
      </c>
      <c r="H44" s="17" t="n">
        <v>3150</v>
      </c>
      <c r="I44" s="17" t="n">
        <v>3210</v>
      </c>
      <c r="J44" s="17" t="n">
        <v>3300</v>
      </c>
      <c r="K44" s="17" t="n">
        <v>3300</v>
      </c>
      <c r="L44" s="17" t="n">
        <v>3180</v>
      </c>
      <c r="M44" s="17" t="n">
        <v>3060</v>
      </c>
      <c r="N44" s="17" t="n">
        <v>2910</v>
      </c>
      <c r="O44" s="17" t="n">
        <v>2760</v>
      </c>
      <c r="P44" s="71">
        <f>SUM(D44:O44)</f>
        <v/>
      </c>
    </row>
    <row r="45">
      <c r="A45" s="45" t="inlineStr">
        <is>
          <t>5503</t>
        </is>
      </c>
      <c r="B45" s="10" t="inlineStr">
        <is>
          <t xml:space="preserve">   Amortisasi biaya pengupasan tangguhan</t>
        </is>
      </c>
      <c r="D45" s="17" t="n">
        <v>1720</v>
      </c>
      <c r="E45" s="17" t="n">
        <v>1680</v>
      </c>
      <c r="F45" s="17" t="n">
        <v>1860</v>
      </c>
      <c r="G45" s="17" t="n">
        <v>2000</v>
      </c>
      <c r="H45" s="17" t="n">
        <v>2100</v>
      </c>
      <c r="I45" s="17" t="n">
        <v>2140</v>
      </c>
      <c r="J45" s="17" t="n">
        <v>2200</v>
      </c>
      <c r="K45" s="17" t="n">
        <v>2200</v>
      </c>
      <c r="L45" s="17" t="n">
        <v>2120</v>
      </c>
      <c r="M45" s="17" t="n">
        <v>2040</v>
      </c>
      <c r="N45" s="17" t="n">
        <v>1940</v>
      </c>
      <c r="O45" s="17" t="n">
        <v>1840</v>
      </c>
      <c r="P45" s="71">
        <f>SUM(D45:O45)</f>
        <v/>
      </c>
    </row>
    <row r="46">
      <c r="A46" s="45" t="inlineStr"/>
      <c r="B46" s="20" t="inlineStr">
        <is>
          <t xml:space="preserve">   Subtotal penyusutan &amp; amortisasi</t>
        </is>
      </c>
      <c r="C46" s="23" t="n"/>
      <c r="D46" s="22">
        <f>D43+D44+D45</f>
        <v/>
      </c>
      <c r="E46" s="22">
        <f>E43+E44+E45</f>
        <v/>
      </c>
      <c r="F46" s="22">
        <f>F43+F44+F45</f>
        <v/>
      </c>
      <c r="G46" s="22">
        <f>G43+G44+G45</f>
        <v/>
      </c>
      <c r="H46" s="22">
        <f>H43+H44+H45</f>
        <v/>
      </c>
      <c r="I46" s="22">
        <f>I43+I44+I45</f>
        <v/>
      </c>
      <c r="J46" s="22">
        <f>J43+J44+J45</f>
        <v/>
      </c>
      <c r="K46" s="22">
        <f>K43+K44+K45</f>
        <v/>
      </c>
      <c r="L46" s="22">
        <f>L43+L44+L45</f>
        <v/>
      </c>
      <c r="M46" s="22">
        <f>M43+M44+M45</f>
        <v/>
      </c>
      <c r="N46" s="22">
        <f>N43+N44+N45</f>
        <v/>
      </c>
      <c r="O46" s="22">
        <f>O43+O44+O45</f>
        <v/>
      </c>
      <c r="P46" s="22">
        <f>P43+P44+P45</f>
        <v/>
      </c>
    </row>
    <row r="47">
      <c r="A47" s="45" t="inlineStr"/>
      <c r="B47" s="20" t="inlineStr">
        <is>
          <t xml:space="preserve">   Total biaya produksi</t>
        </is>
      </c>
      <c r="C47" s="23" t="n"/>
      <c r="D47" s="22">
        <f>D25+D31+D33+D41+D46</f>
        <v/>
      </c>
      <c r="E47" s="22">
        <f>E25+E31+E33+E41+E46</f>
        <v/>
      </c>
      <c r="F47" s="22">
        <f>F25+F31+F33+F41+F46</f>
        <v/>
      </c>
      <c r="G47" s="22">
        <f>G25+G31+G33+G41+G46</f>
        <v/>
      </c>
      <c r="H47" s="22">
        <f>H25+H31+H33+H41+H46</f>
        <v/>
      </c>
      <c r="I47" s="22">
        <f>I25+I31+I33+I41+I46</f>
        <v/>
      </c>
      <c r="J47" s="22">
        <f>J25+J31+J33+J41+J46</f>
        <v/>
      </c>
      <c r="K47" s="22">
        <f>K25+K31+K33+K41+K46</f>
        <v/>
      </c>
      <c r="L47" s="22">
        <f>L25+L31+L33+L41+L46</f>
        <v/>
      </c>
      <c r="M47" s="22">
        <f>M25+M31+M33+M41+M46</f>
        <v/>
      </c>
      <c r="N47" s="22">
        <f>N25+N31+N33+N41+N46</f>
        <v/>
      </c>
      <c r="O47" s="22">
        <f>O25+O31+O33+O41+O46</f>
        <v/>
      </c>
      <c r="P47" s="22">
        <f>P25+P31+P33+P41+P46</f>
        <v/>
      </c>
    </row>
    <row r="48">
      <c r="A48" s="45" t="inlineStr">
        <is>
          <t>5601</t>
        </is>
      </c>
      <c r="B48" s="10" t="inlineStr">
        <is>
          <t xml:space="preserve">   Perubahan persediaan batubara (awal – akhir)</t>
        </is>
      </c>
      <c r="D48" s="17" t="n">
        <v>-2150</v>
      </c>
      <c r="E48" s="17" t="n">
        <v>-2942</v>
      </c>
      <c r="F48" s="17" t="n">
        <v>-377</v>
      </c>
      <c r="G48" s="17" t="n">
        <v>-1003</v>
      </c>
      <c r="H48" s="17" t="n">
        <v>-1859</v>
      </c>
      <c r="I48" s="17" t="n">
        <v>-2492</v>
      </c>
      <c r="J48" s="17" t="n">
        <v>-2394</v>
      </c>
      <c r="K48" s="17" t="n">
        <v>-3112</v>
      </c>
      <c r="L48" s="17" t="n">
        <v>-3863</v>
      </c>
      <c r="M48" s="17" t="n">
        <v>-4198</v>
      </c>
      <c r="N48" s="17" t="n">
        <v>-4470</v>
      </c>
      <c r="O48" s="17" t="n">
        <v>-4318</v>
      </c>
      <c r="P48" s="71">
        <f>SUM(D48:O48)</f>
        <v/>
      </c>
    </row>
    <row r="49">
      <c r="A49" s="82" t="inlineStr"/>
      <c r="B49" s="31" t="inlineStr">
        <is>
          <t>BEBAN POKOK PENDAPATAN</t>
        </is>
      </c>
      <c r="C49" s="32" t="n"/>
      <c r="D49" s="33">
        <f>D47+D48</f>
        <v/>
      </c>
      <c r="E49" s="33">
        <f>E47+E48</f>
        <v/>
      </c>
      <c r="F49" s="33">
        <f>F47+F48</f>
        <v/>
      </c>
      <c r="G49" s="33">
        <f>G47+G48</f>
        <v/>
      </c>
      <c r="H49" s="33">
        <f>H47+H48</f>
        <v/>
      </c>
      <c r="I49" s="33">
        <f>I47+I48</f>
        <v/>
      </c>
      <c r="J49" s="33">
        <f>J47+J48</f>
        <v/>
      </c>
      <c r="K49" s="33">
        <f>K47+K48</f>
        <v/>
      </c>
      <c r="L49" s="33">
        <f>L47+L48</f>
        <v/>
      </c>
      <c r="M49" s="33">
        <f>M47+M48</f>
        <v/>
      </c>
      <c r="N49" s="33">
        <f>N47+N48</f>
        <v/>
      </c>
      <c r="O49" s="33">
        <f>O47+O48</f>
        <v/>
      </c>
      <c r="P49" s="33">
        <f>P47+P48</f>
        <v/>
      </c>
    </row>
    <row r="50">
      <c r="A50" s="82" t="inlineStr"/>
      <c r="B50" s="31" t="inlineStr">
        <is>
          <t>LABA KOTOR</t>
        </is>
      </c>
      <c r="C50" s="32" t="n"/>
      <c r="D50" s="33">
        <f>D14-D49</f>
        <v/>
      </c>
      <c r="E50" s="33">
        <f>E14-E49</f>
        <v/>
      </c>
      <c r="F50" s="33">
        <f>F14-F49</f>
        <v/>
      </c>
      <c r="G50" s="33">
        <f>G14-G49</f>
        <v/>
      </c>
      <c r="H50" s="33">
        <f>H14-H49</f>
        <v/>
      </c>
      <c r="I50" s="33">
        <f>I14-I49</f>
        <v/>
      </c>
      <c r="J50" s="33">
        <f>J14-J49</f>
        <v/>
      </c>
      <c r="K50" s="33">
        <f>K14-K49</f>
        <v/>
      </c>
      <c r="L50" s="33">
        <f>L14-L49</f>
        <v/>
      </c>
      <c r="M50" s="33">
        <f>M14-M49</f>
        <v/>
      </c>
      <c r="N50" s="33">
        <f>N14-N49</f>
        <v/>
      </c>
      <c r="O50" s="33">
        <f>O14-O49</f>
        <v/>
      </c>
      <c r="P50" s="33">
        <f>P14-P49</f>
        <v/>
      </c>
    </row>
    <row r="51">
      <c r="A51" s="45" t="inlineStr"/>
      <c r="B51" s="37" t="inlineStr">
        <is>
          <t xml:space="preserve">   Marjin laba kotor</t>
        </is>
      </c>
      <c r="D51" s="29">
        <f>IFERROR(D50/D14,0)</f>
        <v/>
      </c>
      <c r="E51" s="29">
        <f>IFERROR(E50/E14,0)</f>
        <v/>
      </c>
      <c r="F51" s="29">
        <f>IFERROR(F50/F14,0)</f>
        <v/>
      </c>
      <c r="G51" s="29">
        <f>IFERROR(G50/G14,0)</f>
        <v/>
      </c>
      <c r="H51" s="29">
        <f>IFERROR(H50/H14,0)</f>
        <v/>
      </c>
      <c r="I51" s="29">
        <f>IFERROR(I50/I14,0)</f>
        <v/>
      </c>
      <c r="J51" s="29">
        <f>IFERROR(J50/J14,0)</f>
        <v/>
      </c>
      <c r="K51" s="29">
        <f>IFERROR(K50/K14,0)</f>
        <v/>
      </c>
      <c r="L51" s="29">
        <f>IFERROR(L50/L14,0)</f>
        <v/>
      </c>
      <c r="M51" s="29">
        <f>IFERROR(M50/M14,0)</f>
        <v/>
      </c>
      <c r="N51" s="29">
        <f>IFERROR(N50/N14,0)</f>
        <v/>
      </c>
      <c r="O51" s="29">
        <f>IFERROR(O50/O14,0)</f>
        <v/>
      </c>
      <c r="P51" s="29">
        <f>IFERROR(P50/P14,0)</f>
        <v/>
      </c>
    </row>
    <row r="52">
      <c r="A52" s="4" t="inlineStr">
        <is>
          <t>BEBAN USAHA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</row>
    <row r="53">
      <c r="B53" s="35" t="inlineStr">
        <is>
          <t>Beban penjualan</t>
        </is>
      </c>
    </row>
    <row r="54">
      <c r="A54" s="45" t="inlineStr">
        <is>
          <t>6101</t>
        </is>
      </c>
      <c r="B54" s="10" t="inlineStr">
        <is>
          <t xml:space="preserve">   Pengapalan laut (penjualan CIF)</t>
        </is>
      </c>
      <c r="D54" s="17" t="n">
        <v>0</v>
      </c>
      <c r="E54" s="17" t="n">
        <v>0</v>
      </c>
      <c r="F54" s="17" t="n">
        <v>0</v>
      </c>
      <c r="G54" s="17" t="n">
        <v>0</v>
      </c>
      <c r="H54" s="17" t="n">
        <v>0</v>
      </c>
      <c r="I54" s="17" t="n">
        <v>0</v>
      </c>
      <c r="J54" s="17" t="n">
        <v>0</v>
      </c>
      <c r="K54" s="17" t="n">
        <v>0</v>
      </c>
      <c r="L54" s="17" t="n">
        <v>0</v>
      </c>
      <c r="M54" s="17" t="n">
        <v>0</v>
      </c>
      <c r="N54" s="17" t="n">
        <v>0</v>
      </c>
      <c r="O54" s="17" t="n">
        <v>0</v>
      </c>
      <c r="P54" s="71">
        <f>SUM(D54:O54)</f>
        <v/>
      </c>
    </row>
    <row r="55">
      <c r="A55" s="45" t="inlineStr">
        <is>
          <t>6102</t>
        </is>
      </c>
      <c r="B55" s="10" t="inlineStr">
        <is>
          <t xml:space="preserve">   Komisi agen penjualan</t>
        </is>
      </c>
      <c r="D55" s="17" t="n">
        <v>964</v>
      </c>
      <c r="E55" s="17" t="n">
        <v>942</v>
      </c>
      <c r="F55" s="17" t="n">
        <v>1043</v>
      </c>
      <c r="G55" s="17" t="n">
        <v>1121</v>
      </c>
      <c r="H55" s="17" t="n">
        <v>1177</v>
      </c>
      <c r="I55" s="17" t="n">
        <v>1199</v>
      </c>
      <c r="J55" s="17" t="n">
        <v>1233</v>
      </c>
      <c r="K55" s="17" t="n">
        <v>1233</v>
      </c>
      <c r="L55" s="17" t="n">
        <v>1188</v>
      </c>
      <c r="M55" s="17" t="n">
        <v>1143</v>
      </c>
      <c r="N55" s="17" t="n">
        <v>1087</v>
      </c>
      <c r="O55" s="17" t="n">
        <v>1031</v>
      </c>
      <c r="P55" s="71">
        <f>SUM(D55:O55)</f>
        <v/>
      </c>
    </row>
    <row r="56">
      <c r="A56" s="45" t="inlineStr">
        <is>
          <t>6103</t>
        </is>
      </c>
      <c r="B56" s="10" t="inlineStr">
        <is>
          <t xml:space="preserve">   Surveyor independen &amp; analisa kualitas</t>
        </is>
      </c>
      <c r="D56" s="17" t="n">
        <v>691</v>
      </c>
      <c r="E56" s="17" t="n">
        <v>675</v>
      </c>
      <c r="F56" s="17" t="n">
        <v>747</v>
      </c>
      <c r="G56" s="17" t="n">
        <v>804</v>
      </c>
      <c r="H56" s="17" t="n">
        <v>844</v>
      </c>
      <c r="I56" s="17" t="n">
        <v>860</v>
      </c>
      <c r="J56" s="17" t="n">
        <v>884</v>
      </c>
      <c r="K56" s="17" t="n">
        <v>884</v>
      </c>
      <c r="L56" s="17" t="n">
        <v>852</v>
      </c>
      <c r="M56" s="17" t="n">
        <v>820</v>
      </c>
      <c r="N56" s="17" t="n">
        <v>779</v>
      </c>
      <c r="O56" s="17" t="n">
        <v>739</v>
      </c>
      <c r="P56" s="71">
        <f>SUM(D56:O56)</f>
        <v/>
      </c>
    </row>
    <row r="57">
      <c r="A57" s="45" t="inlineStr">
        <is>
          <t>6104</t>
        </is>
      </c>
      <c r="B57" s="10" t="inlineStr">
        <is>
          <t xml:space="preserve">   Demurrage</t>
        </is>
      </c>
      <c r="D57" s="17" t="n">
        <v>900</v>
      </c>
      <c r="E57" s="17" t="n">
        <v>900</v>
      </c>
      <c r="F57" s="17" t="n">
        <v>900</v>
      </c>
      <c r="G57" s="17" t="n">
        <v>900</v>
      </c>
      <c r="H57" s="17" t="n">
        <v>900</v>
      </c>
      <c r="I57" s="17" t="n">
        <v>900</v>
      </c>
      <c r="J57" s="17" t="n">
        <v>900</v>
      </c>
      <c r="K57" s="17" t="n">
        <v>900</v>
      </c>
      <c r="L57" s="17" t="n">
        <v>900</v>
      </c>
      <c r="M57" s="17" t="n">
        <v>900</v>
      </c>
      <c r="N57" s="17" t="n">
        <v>900</v>
      </c>
      <c r="O57" s="17" t="n">
        <v>900</v>
      </c>
      <c r="P57" s="71">
        <f>SUM(D57:O57)</f>
        <v/>
      </c>
    </row>
    <row r="58">
      <c r="A58" s="45" t="inlineStr">
        <is>
          <t>6105</t>
        </is>
      </c>
      <c r="B58" s="10" t="inlineStr">
        <is>
          <t xml:space="preserve">   Dokumen ekspor &amp; pungutan</t>
        </is>
      </c>
      <c r="D58" s="17" t="n">
        <v>400</v>
      </c>
      <c r="E58" s="17" t="n">
        <v>400</v>
      </c>
      <c r="F58" s="17" t="n">
        <v>400</v>
      </c>
      <c r="G58" s="17" t="n">
        <v>400</v>
      </c>
      <c r="H58" s="17" t="n">
        <v>400</v>
      </c>
      <c r="I58" s="17" t="n">
        <v>400</v>
      </c>
      <c r="J58" s="17" t="n">
        <v>400</v>
      </c>
      <c r="K58" s="17" t="n">
        <v>400</v>
      </c>
      <c r="L58" s="17" t="n">
        <v>400</v>
      </c>
      <c r="M58" s="17" t="n">
        <v>400</v>
      </c>
      <c r="N58" s="17" t="n">
        <v>400</v>
      </c>
      <c r="O58" s="17" t="n">
        <v>400</v>
      </c>
      <c r="P58" s="71">
        <f>SUM(D58:O58)</f>
        <v/>
      </c>
    </row>
    <row r="59">
      <c r="A59" s="45" t="inlineStr">
        <is>
          <t>6106</t>
        </is>
      </c>
      <c r="B59" s="10" t="inlineStr">
        <is>
          <t xml:space="preserve">   Pemasaran &amp; promosi</t>
        </is>
      </c>
      <c r="D59" s="17" t="n">
        <v>150</v>
      </c>
      <c r="E59" s="17" t="n">
        <v>150</v>
      </c>
      <c r="F59" s="17" t="n">
        <v>150</v>
      </c>
      <c r="G59" s="17" t="n">
        <v>150</v>
      </c>
      <c r="H59" s="17" t="n">
        <v>150</v>
      </c>
      <c r="I59" s="17" t="n">
        <v>150</v>
      </c>
      <c r="J59" s="17" t="n">
        <v>150</v>
      </c>
      <c r="K59" s="17" t="n">
        <v>150</v>
      </c>
      <c r="L59" s="17" t="n">
        <v>150</v>
      </c>
      <c r="M59" s="17" t="n">
        <v>150</v>
      </c>
      <c r="N59" s="17" t="n">
        <v>150</v>
      </c>
      <c r="O59" s="17" t="n">
        <v>150</v>
      </c>
      <c r="P59" s="71">
        <f>SUM(D59:O59)</f>
        <v/>
      </c>
    </row>
    <row r="60">
      <c r="A60" s="45" t="inlineStr"/>
      <c r="B60" s="20" t="inlineStr">
        <is>
          <t xml:space="preserve">   Subtotal beban penjualan</t>
        </is>
      </c>
      <c r="C60" s="23" t="n"/>
      <c r="D60" s="22">
        <f>D54+D55+D56+D57+D58+D59</f>
        <v/>
      </c>
      <c r="E60" s="22">
        <f>E54+E55+E56+E57+E58+E59</f>
        <v/>
      </c>
      <c r="F60" s="22">
        <f>F54+F55+F56+F57+F58+F59</f>
        <v/>
      </c>
      <c r="G60" s="22">
        <f>G54+G55+G56+G57+G58+G59</f>
        <v/>
      </c>
      <c r="H60" s="22">
        <f>H54+H55+H56+H57+H58+H59</f>
        <v/>
      </c>
      <c r="I60" s="22">
        <f>I54+I55+I56+I57+I58+I59</f>
        <v/>
      </c>
      <c r="J60" s="22">
        <f>J54+J55+J56+J57+J58+J59</f>
        <v/>
      </c>
      <c r="K60" s="22">
        <f>K54+K55+K56+K57+K58+K59</f>
        <v/>
      </c>
      <c r="L60" s="22">
        <f>L54+L55+L56+L57+L58+L59</f>
        <v/>
      </c>
      <c r="M60" s="22">
        <f>M54+M55+M56+M57+M58+M59</f>
        <v/>
      </c>
      <c r="N60" s="22">
        <f>N54+N55+N56+N57+N58+N59</f>
        <v/>
      </c>
      <c r="O60" s="22">
        <f>O54+O55+O56+O57+O58+O59</f>
        <v/>
      </c>
      <c r="P60" s="22">
        <f>P54+P55+P56+P57+P58+P59</f>
        <v/>
      </c>
    </row>
    <row r="61">
      <c r="B61" s="35" t="inlineStr">
        <is>
          <t>Beban umum &amp; administrasi</t>
        </is>
      </c>
    </row>
    <row r="62">
      <c r="A62" s="45" t="inlineStr">
        <is>
          <t>6201</t>
        </is>
      </c>
      <c r="B62" s="10" t="inlineStr">
        <is>
          <t xml:space="preserve">   Gaji &amp; tunjangan kantor pusat</t>
        </is>
      </c>
      <c r="D62" s="17" t="n">
        <v>4800</v>
      </c>
      <c r="E62" s="17" t="n">
        <v>4800</v>
      </c>
      <c r="F62" s="17" t="n">
        <v>4800</v>
      </c>
      <c r="G62" s="17" t="n">
        <v>4800</v>
      </c>
      <c r="H62" s="17" t="n">
        <v>4800</v>
      </c>
      <c r="I62" s="17" t="n">
        <v>4800</v>
      </c>
      <c r="J62" s="17" t="n">
        <v>4800</v>
      </c>
      <c r="K62" s="17" t="n">
        <v>4800</v>
      </c>
      <c r="L62" s="17" t="n">
        <v>4800</v>
      </c>
      <c r="M62" s="17" t="n">
        <v>4800</v>
      </c>
      <c r="N62" s="17" t="n">
        <v>4800</v>
      </c>
      <c r="O62" s="17" t="n">
        <v>4800</v>
      </c>
      <c r="P62" s="71">
        <f>SUM(D62:O62)</f>
        <v/>
      </c>
    </row>
    <row r="63">
      <c r="A63" s="45" t="inlineStr">
        <is>
          <t>6202</t>
        </is>
      </c>
      <c r="B63" s="10" t="inlineStr">
        <is>
          <t xml:space="preserve">   Jasa profesional</t>
        </is>
      </c>
      <c r="D63" s="17" t="n">
        <v>1200</v>
      </c>
      <c r="E63" s="17" t="n">
        <v>1200</v>
      </c>
      <c r="F63" s="17" t="n">
        <v>1200</v>
      </c>
      <c r="G63" s="17" t="n">
        <v>1200</v>
      </c>
      <c r="H63" s="17" t="n">
        <v>1200</v>
      </c>
      <c r="I63" s="17" t="n">
        <v>1200</v>
      </c>
      <c r="J63" s="17" t="n">
        <v>1200</v>
      </c>
      <c r="K63" s="17" t="n">
        <v>1200</v>
      </c>
      <c r="L63" s="17" t="n">
        <v>1200</v>
      </c>
      <c r="M63" s="17" t="n">
        <v>1200</v>
      </c>
      <c r="N63" s="17" t="n">
        <v>1200</v>
      </c>
      <c r="O63" s="17" t="n">
        <v>1200</v>
      </c>
      <c r="P63" s="71">
        <f>SUM(D63:O63)</f>
        <v/>
      </c>
    </row>
    <row r="64">
      <c r="A64" s="45" t="inlineStr">
        <is>
          <t>6203</t>
        </is>
      </c>
      <c r="B64" s="10" t="inlineStr">
        <is>
          <t xml:space="preserve">   Sewa kantor</t>
        </is>
      </c>
      <c r="D64" s="17" t="n">
        <v>550</v>
      </c>
      <c r="E64" s="17" t="n">
        <v>550</v>
      </c>
      <c r="F64" s="17" t="n">
        <v>550</v>
      </c>
      <c r="G64" s="17" t="n">
        <v>550</v>
      </c>
      <c r="H64" s="17" t="n">
        <v>550</v>
      </c>
      <c r="I64" s="17" t="n">
        <v>550</v>
      </c>
      <c r="J64" s="17" t="n">
        <v>550</v>
      </c>
      <c r="K64" s="17" t="n">
        <v>550</v>
      </c>
      <c r="L64" s="17" t="n">
        <v>550</v>
      </c>
      <c r="M64" s="17" t="n">
        <v>550</v>
      </c>
      <c r="N64" s="17" t="n">
        <v>550</v>
      </c>
      <c r="O64" s="17" t="n">
        <v>550</v>
      </c>
      <c r="P64" s="71">
        <f>SUM(D64:O64)</f>
        <v/>
      </c>
    </row>
    <row r="65">
      <c r="A65" s="45" t="inlineStr">
        <is>
          <t>6204</t>
        </is>
      </c>
      <c r="B65" s="10" t="inlineStr">
        <is>
          <t xml:space="preserve">   Perjalanan dinas</t>
        </is>
      </c>
      <c r="D65" s="17" t="n">
        <v>450</v>
      </c>
      <c r="E65" s="17" t="n">
        <v>450</v>
      </c>
      <c r="F65" s="17" t="n">
        <v>450</v>
      </c>
      <c r="G65" s="17" t="n">
        <v>450</v>
      </c>
      <c r="H65" s="17" t="n">
        <v>450</v>
      </c>
      <c r="I65" s="17" t="n">
        <v>450</v>
      </c>
      <c r="J65" s="17" t="n">
        <v>450</v>
      </c>
      <c r="K65" s="17" t="n">
        <v>450</v>
      </c>
      <c r="L65" s="17" t="n">
        <v>450</v>
      </c>
      <c r="M65" s="17" t="n">
        <v>450</v>
      </c>
      <c r="N65" s="17" t="n">
        <v>450</v>
      </c>
      <c r="O65" s="17" t="n">
        <v>450</v>
      </c>
      <c r="P65" s="71">
        <f>SUM(D65:O65)</f>
        <v/>
      </c>
    </row>
    <row r="66">
      <c r="A66" s="45" t="inlineStr">
        <is>
          <t>6205</t>
        </is>
      </c>
      <c r="B66" s="10" t="inlineStr">
        <is>
          <t xml:space="preserve">   Asuransi</t>
        </is>
      </c>
      <c r="D66" s="17" t="n">
        <v>500</v>
      </c>
      <c r="E66" s="17" t="n">
        <v>500</v>
      </c>
      <c r="F66" s="17" t="n">
        <v>500</v>
      </c>
      <c r="G66" s="17" t="n">
        <v>500</v>
      </c>
      <c r="H66" s="17" t="n">
        <v>500</v>
      </c>
      <c r="I66" s="17" t="n">
        <v>500</v>
      </c>
      <c r="J66" s="17" t="n">
        <v>500</v>
      </c>
      <c r="K66" s="17" t="n">
        <v>500</v>
      </c>
      <c r="L66" s="17" t="n">
        <v>500</v>
      </c>
      <c r="M66" s="17" t="n">
        <v>500</v>
      </c>
      <c r="N66" s="17" t="n">
        <v>500</v>
      </c>
      <c r="O66" s="17" t="n">
        <v>500</v>
      </c>
      <c r="P66" s="71">
        <f>SUM(D66:O66)</f>
        <v/>
      </c>
    </row>
    <row r="67">
      <c r="A67" s="45" t="inlineStr">
        <is>
          <t>6206</t>
        </is>
      </c>
      <c r="B67" s="10" t="inlineStr">
        <is>
          <t xml:space="preserve">   Pajak, perizinan &amp; iuran</t>
        </is>
      </c>
      <c r="D67" s="17" t="n">
        <v>350</v>
      </c>
      <c r="E67" s="17" t="n">
        <v>350</v>
      </c>
      <c r="F67" s="17" t="n">
        <v>350</v>
      </c>
      <c r="G67" s="17" t="n">
        <v>350</v>
      </c>
      <c r="H67" s="17" t="n">
        <v>350</v>
      </c>
      <c r="I67" s="17" t="n">
        <v>350</v>
      </c>
      <c r="J67" s="17" t="n">
        <v>350</v>
      </c>
      <c r="K67" s="17" t="n">
        <v>350</v>
      </c>
      <c r="L67" s="17" t="n">
        <v>350</v>
      </c>
      <c r="M67" s="17" t="n">
        <v>350</v>
      </c>
      <c r="N67" s="17" t="n">
        <v>350</v>
      </c>
      <c r="O67" s="17" t="n">
        <v>350</v>
      </c>
      <c r="P67" s="71">
        <f>SUM(D67:O67)</f>
        <v/>
      </c>
    </row>
    <row r="68">
      <c r="A68" s="45" t="inlineStr">
        <is>
          <t>6207</t>
        </is>
      </c>
      <c r="B68" s="10" t="inlineStr">
        <is>
          <t xml:space="preserve">   Teknologi informasi &amp; komunikasi</t>
        </is>
      </c>
      <c r="D68" s="17" t="n">
        <v>400</v>
      </c>
      <c r="E68" s="17" t="n">
        <v>400</v>
      </c>
      <c r="F68" s="17" t="n">
        <v>400</v>
      </c>
      <c r="G68" s="17" t="n">
        <v>400</v>
      </c>
      <c r="H68" s="17" t="n">
        <v>400</v>
      </c>
      <c r="I68" s="17" t="n">
        <v>400</v>
      </c>
      <c r="J68" s="17" t="n">
        <v>400</v>
      </c>
      <c r="K68" s="17" t="n">
        <v>400</v>
      </c>
      <c r="L68" s="17" t="n">
        <v>400</v>
      </c>
      <c r="M68" s="17" t="n">
        <v>400</v>
      </c>
      <c r="N68" s="17" t="n">
        <v>400</v>
      </c>
      <c r="O68" s="17" t="n">
        <v>400</v>
      </c>
      <c r="P68" s="71">
        <f>SUM(D68:O68)</f>
        <v/>
      </c>
    </row>
    <row r="69">
      <c r="A69" s="45" t="inlineStr">
        <is>
          <t>6208</t>
        </is>
      </c>
      <c r="B69" s="10" t="inlineStr">
        <is>
          <t xml:space="preserve">   Penyusutan aset kantor</t>
        </is>
      </c>
      <c r="D69" s="17" t="n">
        <v>300</v>
      </c>
      <c r="E69" s="17" t="n">
        <v>300</v>
      </c>
      <c r="F69" s="17" t="n">
        <v>300</v>
      </c>
      <c r="G69" s="17" t="n">
        <v>300</v>
      </c>
      <c r="H69" s="17" t="n">
        <v>300</v>
      </c>
      <c r="I69" s="17" t="n">
        <v>300</v>
      </c>
      <c r="J69" s="17" t="n">
        <v>300</v>
      </c>
      <c r="K69" s="17" t="n">
        <v>300</v>
      </c>
      <c r="L69" s="17" t="n">
        <v>300</v>
      </c>
      <c r="M69" s="17" t="n">
        <v>300</v>
      </c>
      <c r="N69" s="17" t="n">
        <v>300</v>
      </c>
      <c r="O69" s="17" t="n">
        <v>300</v>
      </c>
      <c r="P69" s="71">
        <f>SUM(D69:O69)</f>
        <v/>
      </c>
    </row>
    <row r="70">
      <c r="A70" s="45" t="inlineStr">
        <is>
          <t>6209</t>
        </is>
      </c>
      <c r="B70" s="10" t="inlineStr">
        <is>
          <t xml:space="preserve">   Beban umum lainnya</t>
        </is>
      </c>
      <c r="D70" s="17" t="n">
        <v>500</v>
      </c>
      <c r="E70" s="17" t="n">
        <v>500</v>
      </c>
      <c r="F70" s="17" t="n">
        <v>500</v>
      </c>
      <c r="G70" s="17" t="n">
        <v>500</v>
      </c>
      <c r="H70" s="17" t="n">
        <v>500</v>
      </c>
      <c r="I70" s="17" t="n">
        <v>500</v>
      </c>
      <c r="J70" s="17" t="n">
        <v>500</v>
      </c>
      <c r="K70" s="17" t="n">
        <v>500</v>
      </c>
      <c r="L70" s="17" t="n">
        <v>500</v>
      </c>
      <c r="M70" s="17" t="n">
        <v>500</v>
      </c>
      <c r="N70" s="17" t="n">
        <v>500</v>
      </c>
      <c r="O70" s="17" t="n">
        <v>500</v>
      </c>
      <c r="P70" s="71">
        <f>SUM(D70:O70)</f>
        <v/>
      </c>
    </row>
    <row r="71">
      <c r="A71" s="45" t="inlineStr"/>
      <c r="B71" s="20" t="inlineStr">
        <is>
          <t xml:space="preserve">   Subtotal beban umum &amp; administrasi</t>
        </is>
      </c>
      <c r="C71" s="23" t="n"/>
      <c r="D71" s="22">
        <f>D62+D63+D64+D65+D66+D67+D68+D69+D70</f>
        <v/>
      </c>
      <c r="E71" s="22">
        <f>E62+E63+E64+E65+E66+E67+E68+E69+E70</f>
        <v/>
      </c>
      <c r="F71" s="22">
        <f>F62+F63+F64+F65+F66+F67+F68+F69+F70</f>
        <v/>
      </c>
      <c r="G71" s="22">
        <f>G62+G63+G64+G65+G66+G67+G68+G69+G70</f>
        <v/>
      </c>
      <c r="H71" s="22">
        <f>H62+H63+H64+H65+H66+H67+H68+H69+H70</f>
        <v/>
      </c>
      <c r="I71" s="22">
        <f>I62+I63+I64+I65+I66+I67+I68+I69+I70</f>
        <v/>
      </c>
      <c r="J71" s="22">
        <f>J62+J63+J64+J65+J66+J67+J68+J69+J70</f>
        <v/>
      </c>
      <c r="K71" s="22">
        <f>K62+K63+K64+K65+K66+K67+K68+K69+K70</f>
        <v/>
      </c>
      <c r="L71" s="22">
        <f>L62+L63+L64+L65+L66+L67+L68+L69+L70</f>
        <v/>
      </c>
      <c r="M71" s="22">
        <f>M62+M63+M64+M65+M66+M67+M68+M69+M70</f>
        <v/>
      </c>
      <c r="N71" s="22">
        <f>N62+N63+N64+N65+N66+N67+N68+N69+N70</f>
        <v/>
      </c>
      <c r="O71" s="22">
        <f>O62+O63+O64+O65+O66+O67+O68+O69+O70</f>
        <v/>
      </c>
      <c r="P71" s="22">
        <f>P62+P63+P64+P65+P66+P67+P68+P69+P70</f>
        <v/>
      </c>
    </row>
    <row r="72">
      <c r="A72" s="82" t="inlineStr"/>
      <c r="B72" s="31" t="inlineStr">
        <is>
          <t>TOTAL BEBAN USAHA</t>
        </is>
      </c>
      <c r="C72" s="32" t="n"/>
      <c r="D72" s="33">
        <f>D60+D71</f>
        <v/>
      </c>
      <c r="E72" s="33">
        <f>E60+E71</f>
        <v/>
      </c>
      <c r="F72" s="33">
        <f>F60+F71</f>
        <v/>
      </c>
      <c r="G72" s="33">
        <f>G60+G71</f>
        <v/>
      </c>
      <c r="H72" s="33">
        <f>H60+H71</f>
        <v/>
      </c>
      <c r="I72" s="33">
        <f>I60+I71</f>
        <v/>
      </c>
      <c r="J72" s="33">
        <f>J60+J71</f>
        <v/>
      </c>
      <c r="K72" s="33">
        <f>K60+K71</f>
        <v/>
      </c>
      <c r="L72" s="33">
        <f>L60+L71</f>
        <v/>
      </c>
      <c r="M72" s="33">
        <f>M60+M71</f>
        <v/>
      </c>
      <c r="N72" s="33">
        <f>N60+N71</f>
        <v/>
      </c>
      <c r="O72" s="33">
        <f>O60+O71</f>
        <v/>
      </c>
      <c r="P72" s="33">
        <f>P60+P71</f>
        <v/>
      </c>
    </row>
    <row r="73">
      <c r="A73" s="82" t="inlineStr"/>
      <c r="B73" s="31" t="inlineStr">
        <is>
          <t>LABA USAHA</t>
        </is>
      </c>
      <c r="C73" s="32" t="n"/>
      <c r="D73" s="33">
        <f>D50-D72</f>
        <v/>
      </c>
      <c r="E73" s="33">
        <f>E50-E72</f>
        <v/>
      </c>
      <c r="F73" s="33">
        <f>F50-F72</f>
        <v/>
      </c>
      <c r="G73" s="33">
        <f>G50-G72</f>
        <v/>
      </c>
      <c r="H73" s="33">
        <f>H50-H72</f>
        <v/>
      </c>
      <c r="I73" s="33">
        <f>I50-I72</f>
        <v/>
      </c>
      <c r="J73" s="33">
        <f>J50-J72</f>
        <v/>
      </c>
      <c r="K73" s="33">
        <f>K50-K72</f>
        <v/>
      </c>
      <c r="L73" s="33">
        <f>L50-L72</f>
        <v/>
      </c>
      <c r="M73" s="33">
        <f>M50-M72</f>
        <v/>
      </c>
      <c r="N73" s="33">
        <f>N50-N72</f>
        <v/>
      </c>
      <c r="O73" s="33">
        <f>O50-O72</f>
        <v/>
      </c>
      <c r="P73" s="33">
        <f>P50-P72</f>
        <v/>
      </c>
    </row>
    <row r="74">
      <c r="A74" s="45" t="inlineStr"/>
      <c r="B74" s="37" t="inlineStr">
        <is>
          <t xml:space="preserve">   Marjin laba usaha</t>
        </is>
      </c>
      <c r="D74" s="29">
        <f>IFERROR(D73/D14,0)</f>
        <v/>
      </c>
      <c r="E74" s="29">
        <f>IFERROR(E73/E14,0)</f>
        <v/>
      </c>
      <c r="F74" s="29">
        <f>IFERROR(F73/F14,0)</f>
        <v/>
      </c>
      <c r="G74" s="29">
        <f>IFERROR(G73/G14,0)</f>
        <v/>
      </c>
      <c r="H74" s="29">
        <f>IFERROR(H73/H14,0)</f>
        <v/>
      </c>
      <c r="I74" s="29">
        <f>IFERROR(I73/I14,0)</f>
        <v/>
      </c>
      <c r="J74" s="29">
        <f>IFERROR(J73/J14,0)</f>
        <v/>
      </c>
      <c r="K74" s="29">
        <f>IFERROR(K73/K14,0)</f>
        <v/>
      </c>
      <c r="L74" s="29">
        <f>IFERROR(L73/L14,0)</f>
        <v/>
      </c>
      <c r="M74" s="29">
        <f>IFERROR(M73/M14,0)</f>
        <v/>
      </c>
      <c r="N74" s="29">
        <f>IFERROR(N73/N14,0)</f>
        <v/>
      </c>
      <c r="O74" s="29">
        <f>IFERROR(O73/O14,0)</f>
        <v/>
      </c>
      <c r="P74" s="29">
        <f>IFERROR(P73/P14,0)</f>
        <v/>
      </c>
    </row>
    <row r="75">
      <c r="A75" s="4" t="inlineStr">
        <is>
          <t>PENDAPATAN (BEBAN) LAIN-LAIN</t>
        </is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</row>
    <row r="76">
      <c r="A76" s="45" t="inlineStr">
        <is>
          <t>7101</t>
        </is>
      </c>
      <c r="B76" s="10" t="inlineStr">
        <is>
          <t xml:space="preserve">   Pendapatan bunga</t>
        </is>
      </c>
      <c r="D76" s="17" t="n">
        <v>150</v>
      </c>
      <c r="E76" s="17" t="n">
        <v>150</v>
      </c>
      <c r="F76" s="17" t="n">
        <v>150</v>
      </c>
      <c r="G76" s="17" t="n">
        <v>150</v>
      </c>
      <c r="H76" s="17" t="n">
        <v>150</v>
      </c>
      <c r="I76" s="17" t="n">
        <v>150</v>
      </c>
      <c r="J76" s="17" t="n">
        <v>150</v>
      </c>
      <c r="K76" s="17" t="n">
        <v>150</v>
      </c>
      <c r="L76" s="17" t="n">
        <v>150</v>
      </c>
      <c r="M76" s="17" t="n">
        <v>150</v>
      </c>
      <c r="N76" s="17" t="n">
        <v>150</v>
      </c>
      <c r="O76" s="17" t="n">
        <v>150</v>
      </c>
      <c r="P76" s="71">
        <f>SUM(D76:O76)</f>
        <v/>
      </c>
    </row>
    <row r="77">
      <c r="A77" s="45" t="inlineStr">
        <is>
          <t>7201</t>
        </is>
      </c>
      <c r="B77" s="10" t="inlineStr">
        <is>
          <t xml:space="preserve">   Beban keuangan (isi negatif)</t>
        </is>
      </c>
      <c r="D77" s="17" t="n">
        <v>-2300</v>
      </c>
      <c r="E77" s="17" t="n">
        <v>-2280</v>
      </c>
      <c r="F77" s="17" t="n">
        <v>-2260</v>
      </c>
      <c r="G77" s="17" t="n">
        <v>-2240</v>
      </c>
      <c r="H77" s="17" t="n">
        <v>-2220</v>
      </c>
      <c r="I77" s="17" t="n">
        <v>-2200</v>
      </c>
      <c r="J77" s="17" t="n">
        <v>-2180</v>
      </c>
      <c r="K77" s="17" t="n">
        <v>-2160</v>
      </c>
      <c r="L77" s="17" t="n">
        <v>-2140</v>
      </c>
      <c r="M77" s="17" t="n">
        <v>-2120</v>
      </c>
      <c r="N77" s="17" t="n">
        <v>-2100</v>
      </c>
      <c r="O77" s="17" t="n">
        <v>-2080</v>
      </c>
      <c r="P77" s="71">
        <f>SUM(D77:O77)</f>
        <v/>
      </c>
    </row>
    <row r="78">
      <c r="A78" s="45" t="inlineStr">
        <is>
          <t>7301</t>
        </is>
      </c>
      <c r="B78" s="10" t="inlineStr">
        <is>
          <t xml:space="preserve">   Laba (rugi) selisih kurs</t>
        </is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N78" s="17" t="n">
        <v>0</v>
      </c>
      <c r="O78" s="17" t="n">
        <v>0</v>
      </c>
      <c r="P78" s="71">
        <f>SUM(D78:O78)</f>
        <v/>
      </c>
    </row>
    <row r="79">
      <c r="A79" s="45" t="inlineStr">
        <is>
          <t>7401</t>
        </is>
      </c>
      <c r="B79" s="10" t="inlineStr">
        <is>
          <t xml:space="preserve">   Lain-lain – neto</t>
        </is>
      </c>
      <c r="D79" s="17" t="n">
        <v>0</v>
      </c>
      <c r="E79" s="17" t="n">
        <v>0</v>
      </c>
      <c r="F79" s="17" t="n">
        <v>0</v>
      </c>
      <c r="G79" s="17" t="n">
        <v>0</v>
      </c>
      <c r="H79" s="17" t="n">
        <v>0</v>
      </c>
      <c r="I79" s="17" t="n">
        <v>0</v>
      </c>
      <c r="J79" s="17" t="n">
        <v>0</v>
      </c>
      <c r="K79" s="17" t="n">
        <v>0</v>
      </c>
      <c r="L79" s="17" t="n">
        <v>0</v>
      </c>
      <c r="M79" s="17" t="n">
        <v>0</v>
      </c>
      <c r="N79" s="17" t="n">
        <v>0</v>
      </c>
      <c r="O79" s="17" t="n">
        <v>0</v>
      </c>
      <c r="P79" s="71">
        <f>SUM(D79:O79)</f>
        <v/>
      </c>
    </row>
    <row r="80">
      <c r="A80" s="45" t="inlineStr"/>
      <c r="B80" s="20" t="inlineStr">
        <is>
          <t xml:space="preserve">   Jumlah pendapatan (beban) lain-lain</t>
        </is>
      </c>
      <c r="C80" s="23" t="n"/>
      <c r="D80" s="22">
        <f>D76+D77+D78+D79</f>
        <v/>
      </c>
      <c r="E80" s="22">
        <f>E76+E77+E78+E79</f>
        <v/>
      </c>
      <c r="F80" s="22">
        <f>F76+F77+F78+F79</f>
        <v/>
      </c>
      <c r="G80" s="22">
        <f>G76+G77+G78+G79</f>
        <v/>
      </c>
      <c r="H80" s="22">
        <f>H76+H77+H78+H79</f>
        <v/>
      </c>
      <c r="I80" s="22">
        <f>I76+I77+I78+I79</f>
        <v/>
      </c>
      <c r="J80" s="22">
        <f>J76+J77+J78+J79</f>
        <v/>
      </c>
      <c r="K80" s="22">
        <f>K76+K77+K78+K79</f>
        <v/>
      </c>
      <c r="L80" s="22">
        <f>L76+L77+L78+L79</f>
        <v/>
      </c>
      <c r="M80" s="22">
        <f>M76+M77+M78+M79</f>
        <v/>
      </c>
      <c r="N80" s="22">
        <f>N76+N77+N78+N79</f>
        <v/>
      </c>
      <c r="O80" s="22">
        <f>O76+O77+O78+O79</f>
        <v/>
      </c>
      <c r="P80" s="22">
        <f>P76+P77+P78+P79</f>
        <v/>
      </c>
    </row>
    <row r="81">
      <c r="A81" s="82" t="inlineStr"/>
      <c r="B81" s="31" t="inlineStr">
        <is>
          <t>LABA SEBELUM PAJAK</t>
        </is>
      </c>
      <c r="C81" s="32" t="n"/>
      <c r="D81" s="33">
        <f>D73+D80</f>
        <v/>
      </c>
      <c r="E81" s="33">
        <f>E73+E80</f>
        <v/>
      </c>
      <c r="F81" s="33">
        <f>F73+F80</f>
        <v/>
      </c>
      <c r="G81" s="33">
        <f>G73+G80</f>
        <v/>
      </c>
      <c r="H81" s="33">
        <f>H73+H80</f>
        <v/>
      </c>
      <c r="I81" s="33">
        <f>I73+I80</f>
        <v/>
      </c>
      <c r="J81" s="33">
        <f>J73+J80</f>
        <v/>
      </c>
      <c r="K81" s="33">
        <f>K73+K80</f>
        <v/>
      </c>
      <c r="L81" s="33">
        <f>L73+L80</f>
        <v/>
      </c>
      <c r="M81" s="33">
        <f>M73+M80</f>
        <v/>
      </c>
      <c r="N81" s="33">
        <f>N73+N80</f>
        <v/>
      </c>
      <c r="O81" s="33">
        <f>O73+O80</f>
        <v/>
      </c>
      <c r="P81" s="33">
        <f>P73+P80</f>
        <v/>
      </c>
    </row>
    <row r="82">
      <c r="A82" s="45" t="inlineStr">
        <is>
          <t>8101</t>
        </is>
      </c>
      <c r="B82" s="10" t="inlineStr">
        <is>
          <t xml:space="preserve">   Beban pajak penghasilan</t>
        </is>
      </c>
      <c r="D82" s="17" t="n">
        <v>4219</v>
      </c>
      <c r="E82" s="17" t="n">
        <v>4145</v>
      </c>
      <c r="F82" s="17" t="n">
        <v>4875</v>
      </c>
      <c r="G82" s="17" t="n">
        <v>6109</v>
      </c>
      <c r="H82" s="17" t="n">
        <v>7058</v>
      </c>
      <c r="I82" s="17" t="n">
        <v>7537</v>
      </c>
      <c r="J82" s="17" t="n">
        <v>7996</v>
      </c>
      <c r="K82" s="17" t="n">
        <v>8158</v>
      </c>
      <c r="L82" s="17" t="n">
        <v>7739</v>
      </c>
      <c r="M82" s="17" t="n">
        <v>7146</v>
      </c>
      <c r="N82" s="17" t="n">
        <v>6399</v>
      </c>
      <c r="O82" s="17" t="n">
        <v>5614</v>
      </c>
      <c r="P82" s="71">
        <f>SUM(D82:O82)</f>
        <v/>
      </c>
    </row>
    <row r="83">
      <c r="A83" s="82" t="inlineStr"/>
      <c r="B83" s="31" t="inlineStr">
        <is>
          <t>LABA BERSIH</t>
        </is>
      </c>
      <c r="C83" s="32" t="n"/>
      <c r="D83" s="33">
        <f>D81-D82</f>
        <v/>
      </c>
      <c r="E83" s="33">
        <f>E81-E82</f>
        <v/>
      </c>
      <c r="F83" s="33">
        <f>F81-F82</f>
        <v/>
      </c>
      <c r="G83" s="33">
        <f>G81-G82</f>
        <v/>
      </c>
      <c r="H83" s="33">
        <f>H81-H82</f>
        <v/>
      </c>
      <c r="I83" s="33">
        <f>I81-I82</f>
        <v/>
      </c>
      <c r="J83" s="33">
        <f>J81-J82</f>
        <v/>
      </c>
      <c r="K83" s="33">
        <f>K81-K82</f>
        <v/>
      </c>
      <c r="L83" s="33">
        <f>L81-L82</f>
        <v/>
      </c>
      <c r="M83" s="33">
        <f>M81-M82</f>
        <v/>
      </c>
      <c r="N83" s="33">
        <f>N81-N82</f>
        <v/>
      </c>
      <c r="O83" s="33">
        <f>O81-O82</f>
        <v/>
      </c>
      <c r="P83" s="33">
        <f>P81-P82</f>
        <v/>
      </c>
    </row>
    <row r="84">
      <c r="A84" s="45" t="inlineStr"/>
      <c r="B84" s="37" t="inlineStr">
        <is>
          <t xml:space="preserve">   Marjin laba bersih</t>
        </is>
      </c>
      <c r="D84" s="29">
        <f>IFERROR(D83/D14,0)</f>
        <v/>
      </c>
      <c r="E84" s="29">
        <f>IFERROR(E83/E14,0)</f>
        <v/>
      </c>
      <c r="F84" s="29">
        <f>IFERROR(F83/F14,0)</f>
        <v/>
      </c>
      <c r="G84" s="29">
        <f>IFERROR(G83/G14,0)</f>
        <v/>
      </c>
      <c r="H84" s="29">
        <f>IFERROR(H83/H14,0)</f>
        <v/>
      </c>
      <c r="I84" s="29">
        <f>IFERROR(I83/I14,0)</f>
        <v/>
      </c>
      <c r="J84" s="29">
        <f>IFERROR(J83/J14,0)</f>
        <v/>
      </c>
      <c r="K84" s="29">
        <f>IFERROR(K83/K14,0)</f>
        <v/>
      </c>
      <c r="L84" s="29">
        <f>IFERROR(L83/L14,0)</f>
        <v/>
      </c>
      <c r="M84" s="29">
        <f>IFERROR(M83/M14,0)</f>
        <v/>
      </c>
      <c r="N84" s="29">
        <f>IFERROR(N83/N14,0)</f>
        <v/>
      </c>
      <c r="O84" s="29">
        <f>IFERROR(O83/O14,0)</f>
        <v/>
      </c>
      <c r="P84" s="29">
        <f>IFERROR(P83/P14,0)</f>
        <v/>
      </c>
    </row>
    <row r="85">
      <c r="A85" s="4" t="inlineStr">
        <is>
          <t>MEMO</t>
        </is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</row>
    <row r="86">
      <c r="A86" s="45" t="inlineStr"/>
      <c r="B86" s="20" t="inlineStr">
        <is>
          <t xml:space="preserve">   EBITDA (laba usaha + penyusutan &amp; amortisasi)</t>
        </is>
      </c>
      <c r="C86" s="23" t="n"/>
      <c r="D86" s="22">
        <f>D73+D46+D69</f>
        <v/>
      </c>
      <c r="E86" s="22">
        <f>E73+E46+E69</f>
        <v/>
      </c>
      <c r="F86" s="22">
        <f>F73+F46+F69</f>
        <v/>
      </c>
      <c r="G86" s="22">
        <f>G73+G46+G69</f>
        <v/>
      </c>
      <c r="H86" s="22">
        <f>H73+H46+H69</f>
        <v/>
      </c>
      <c r="I86" s="22">
        <f>I73+I46+I69</f>
        <v/>
      </c>
      <c r="J86" s="22">
        <f>J73+J46+J69</f>
        <v/>
      </c>
      <c r="K86" s="22">
        <f>K73+K46+K69</f>
        <v/>
      </c>
      <c r="L86" s="22">
        <f>L73+L46+L69</f>
        <v/>
      </c>
      <c r="M86" s="22">
        <f>M73+M46+M69</f>
        <v/>
      </c>
      <c r="N86" s="22">
        <f>N73+N46+N69</f>
        <v/>
      </c>
      <c r="O86" s="22">
        <f>O73+O46+O69</f>
        <v/>
      </c>
      <c r="P86" s="22">
        <f>P73+P46+P69</f>
        <v/>
      </c>
    </row>
    <row r="87">
      <c r="A87" s="45" t="inlineStr"/>
      <c r="B87" s="37" t="inlineStr">
        <is>
          <t xml:space="preserve">   Marjin EBITDA</t>
        </is>
      </c>
      <c r="D87" s="29">
        <f>IFERROR(D86/D14,0)</f>
        <v/>
      </c>
      <c r="E87" s="29">
        <f>IFERROR(E86/E14,0)</f>
        <v/>
      </c>
      <c r="F87" s="29">
        <f>IFERROR(F86/F14,0)</f>
        <v/>
      </c>
      <c r="G87" s="29">
        <f>IFERROR(G86/G14,0)</f>
        <v/>
      </c>
      <c r="H87" s="29">
        <f>IFERROR(H86/H14,0)</f>
        <v/>
      </c>
      <c r="I87" s="29">
        <f>IFERROR(I86/I14,0)</f>
        <v/>
      </c>
      <c r="J87" s="29">
        <f>IFERROR(J86/J14,0)</f>
        <v/>
      </c>
      <c r="K87" s="29">
        <f>IFERROR(K86/K14,0)</f>
        <v/>
      </c>
      <c r="L87" s="29">
        <f>IFERROR(L86/L14,0)</f>
        <v/>
      </c>
      <c r="M87" s="29">
        <f>IFERROR(M86/M14,0)</f>
        <v/>
      </c>
      <c r="N87" s="29">
        <f>IFERROR(N86/N14,0)</f>
        <v/>
      </c>
      <c r="O87" s="29">
        <f>IFERROR(O86/O14,0)</f>
        <v/>
      </c>
      <c r="P87" s="29">
        <f>IFERROR(P86/P14,0)</f>
        <v/>
      </c>
    </row>
  </sheetData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87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3" customWidth="1" min="16" max="16"/>
  </cols>
  <sheetData>
    <row r="1">
      <c r="A1" s="1" t="inlineStr">
        <is>
          <t>GEG – Laba Rugi AKTUAL Bulanan (Rp juta)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Isi sel kuning dari buku besar (GL) sesuai kode akun. Beban diisi POSITIF; penalti &amp; beban keuangan diisi NEGATIF.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>
        <is>
          <t>Kode akun</t>
        </is>
      </c>
      <c r="B6" s="16" t="inlineStr">
        <is>
          <t>Uraian</t>
        </is>
      </c>
      <c r="C6" s="16" t="inlineStr">
        <is>
          <t>Catatan</t>
        </is>
      </c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  <c r="P6" s="16" t="inlineStr">
        <is>
          <t>FY / YTD</t>
        </is>
      </c>
    </row>
    <row r="7">
      <c r="A7" s="4" t="inlineStr">
        <is>
          <t>PENDAPATAN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A8" s="45" t="inlineStr">
        <is>
          <t>4101</t>
        </is>
      </c>
      <c r="B8" s="10" t="inlineStr">
        <is>
          <t xml:space="preserve">   Penjualan batubara – Ekspor</t>
        </is>
      </c>
      <c r="D8" s="17" t="n">
        <v>107472</v>
      </c>
      <c r="E8" s="17" t="n">
        <v>130086</v>
      </c>
      <c r="F8" s="17" t="n">
        <v>124406</v>
      </c>
      <c r="G8" s="17" t="n">
        <v>143724</v>
      </c>
      <c r="H8" s="17" t="n">
        <v>138285</v>
      </c>
      <c r="I8" s="17" t="n">
        <v>131962</v>
      </c>
      <c r="J8" s="17" t="n">
        <v>145746</v>
      </c>
      <c r="K8" s="17" t="n">
        <v>163014</v>
      </c>
      <c r="L8" s="17" t="n"/>
      <c r="M8" s="17" t="n"/>
      <c r="N8" s="17" t="n"/>
      <c r="O8" s="17" t="n"/>
      <c r="P8" s="71">
        <f>SUM(D8:O8)</f>
        <v/>
      </c>
    </row>
    <row r="9">
      <c r="A9" s="45" t="inlineStr">
        <is>
          <t>4102</t>
        </is>
      </c>
      <c r="B9" s="10" t="inlineStr">
        <is>
          <t xml:space="preserve">   Penjualan batubara – Domestik DMO</t>
        </is>
      </c>
      <c r="D9" s="17" t="n">
        <v>35707</v>
      </c>
      <c r="E9" s="17" t="n">
        <v>42464</v>
      </c>
      <c r="F9" s="17" t="n">
        <v>39672</v>
      </c>
      <c r="G9" s="17" t="n">
        <v>48266</v>
      </c>
      <c r="H9" s="17" t="n">
        <v>43605</v>
      </c>
      <c r="I9" s="17" t="n">
        <v>42879</v>
      </c>
      <c r="J9" s="17" t="n">
        <v>47813</v>
      </c>
      <c r="K9" s="17" t="n">
        <v>52518</v>
      </c>
      <c r="L9" s="17" t="n"/>
      <c r="M9" s="17" t="n"/>
      <c r="N9" s="17" t="n"/>
      <c r="O9" s="17" t="n"/>
      <c r="P9" s="71">
        <f>SUM(D9:O9)</f>
        <v/>
      </c>
    </row>
    <row r="10">
      <c r="A10" s="45" t="inlineStr">
        <is>
          <t>4103</t>
        </is>
      </c>
      <c r="B10" s="10" t="inlineStr">
        <is>
          <t xml:space="preserve">   Penjualan batubara – Domestik non-DMO</t>
        </is>
      </c>
      <c r="D10" s="17" t="n">
        <v>27182</v>
      </c>
      <c r="E10" s="17" t="n">
        <v>16634</v>
      </c>
      <c r="F10" s="17" t="n">
        <v>19027</v>
      </c>
      <c r="G10" s="17" t="n">
        <v>29838</v>
      </c>
      <c r="H10" s="17" t="n">
        <v>28296</v>
      </c>
      <c r="I10" s="17" t="n">
        <v>27316</v>
      </c>
      <c r="J10" s="17" t="n">
        <v>39040</v>
      </c>
      <c r="K10" s="17" t="n">
        <v>27707</v>
      </c>
      <c r="L10" s="17" t="n"/>
      <c r="M10" s="17" t="n"/>
      <c r="N10" s="17" t="n"/>
      <c r="O10" s="17" t="n"/>
      <c r="P10" s="71">
        <f>SUM(D10:O10)</f>
        <v/>
      </c>
    </row>
    <row r="11">
      <c r="A11" s="45" t="inlineStr"/>
      <c r="B11" s="20" t="inlineStr">
        <is>
          <t xml:space="preserve">   Subtotal penjualan batubara</t>
        </is>
      </c>
      <c r="C11" s="23" t="n"/>
      <c r="D11" s="22">
        <f>D8+D9+D10</f>
        <v/>
      </c>
      <c r="E11" s="22">
        <f>E8+E9+E10</f>
        <v/>
      </c>
      <c r="F11" s="22">
        <f>F8+F9+F10</f>
        <v/>
      </c>
      <c r="G11" s="22">
        <f>G8+G9+G10</f>
        <v/>
      </c>
      <c r="H11" s="22">
        <f>H8+H9+H10</f>
        <v/>
      </c>
      <c r="I11" s="22">
        <f>I8+I9+I10</f>
        <v/>
      </c>
      <c r="J11" s="22">
        <f>J8+J9+J10</f>
        <v/>
      </c>
      <c r="K11" s="22">
        <f>K8+K9+K10</f>
        <v/>
      </c>
      <c r="L11" s="22">
        <f>L8+L9+L10</f>
        <v/>
      </c>
      <c r="M11" s="22">
        <f>M8+M9+M10</f>
        <v/>
      </c>
      <c r="N11" s="22">
        <f>N8+N9+N10</f>
        <v/>
      </c>
      <c r="O11" s="22">
        <f>O8+O9+O10</f>
        <v/>
      </c>
      <c r="P11" s="22">
        <f>P8+P9+P10</f>
        <v/>
      </c>
    </row>
    <row r="12">
      <c r="A12" s="45" t="inlineStr">
        <is>
          <t>4104</t>
        </is>
      </c>
      <c r="B12" s="10" t="inlineStr">
        <is>
          <t xml:space="preserve">   Penyesuaian harga / penalti kualitas (isi negatif)</t>
        </is>
      </c>
      <c r="D12" s="17" t="n">
        <v>-1617</v>
      </c>
      <c r="E12" s="17" t="n">
        <v>-2198</v>
      </c>
      <c r="F12" s="17" t="n">
        <v>-2279</v>
      </c>
      <c r="G12" s="17" t="n">
        <v>-2174</v>
      </c>
      <c r="H12" s="17" t="n">
        <v>-1913</v>
      </c>
      <c r="I12" s="17" t="n">
        <v>-2381</v>
      </c>
      <c r="J12" s="17" t="n">
        <v>-2589</v>
      </c>
      <c r="K12" s="17" t="n">
        <v>-3326</v>
      </c>
      <c r="L12" s="17" t="n"/>
      <c r="M12" s="17" t="n"/>
      <c r="N12" s="17" t="n"/>
      <c r="O12" s="17" t="n"/>
      <c r="P12" s="71">
        <f>SUM(D12:O12)</f>
        <v/>
      </c>
    </row>
    <row r="13">
      <c r="A13" s="45" t="inlineStr">
        <is>
          <t>4201</t>
        </is>
      </c>
      <c r="B13" s="10" t="inlineStr">
        <is>
          <t xml:space="preserve">   Pendapatan jasa &amp; usaha lainnya</t>
        </is>
      </c>
      <c r="D13" s="17" t="n">
        <v>723</v>
      </c>
      <c r="E13" s="17" t="n">
        <v>901</v>
      </c>
      <c r="F13" s="17" t="n">
        <v>932</v>
      </c>
      <c r="G13" s="17" t="n">
        <v>757</v>
      </c>
      <c r="H13" s="17" t="n">
        <v>894</v>
      </c>
      <c r="I13" s="17" t="n">
        <v>873</v>
      </c>
      <c r="J13" s="17" t="n">
        <v>902</v>
      </c>
      <c r="K13" s="17" t="n">
        <v>905</v>
      </c>
      <c r="L13" s="17" t="n"/>
      <c r="M13" s="17" t="n"/>
      <c r="N13" s="17" t="n"/>
      <c r="O13" s="17" t="n"/>
      <c r="P13" s="71">
        <f>SUM(D13:O13)</f>
        <v/>
      </c>
    </row>
    <row r="14">
      <c r="A14" s="82" t="inlineStr"/>
      <c r="B14" s="31" t="inlineStr">
        <is>
          <t>PENDAPATAN BERSIH</t>
        </is>
      </c>
      <c r="C14" s="32" t="n"/>
      <c r="D14" s="33">
        <f>D11+D12+D13</f>
        <v/>
      </c>
      <c r="E14" s="33">
        <f>E11+E12+E13</f>
        <v/>
      </c>
      <c r="F14" s="33">
        <f>F11+F12+F13</f>
        <v/>
      </c>
      <c r="G14" s="33">
        <f>G11+G12+G13</f>
        <v/>
      </c>
      <c r="H14" s="33">
        <f>H11+H12+H13</f>
        <v/>
      </c>
      <c r="I14" s="33">
        <f>I11+I12+I13</f>
        <v/>
      </c>
      <c r="J14" s="33">
        <f>J11+J12+J13</f>
        <v/>
      </c>
      <c r="K14" s="33">
        <f>K11+K12+K13</f>
        <v/>
      </c>
      <c r="L14" s="33">
        <f>L11+L12+L13</f>
        <v/>
      </c>
      <c r="M14" s="33">
        <f>M11+M12+M13</f>
        <v/>
      </c>
      <c r="N14" s="33">
        <f>N11+N12+N13</f>
        <v/>
      </c>
      <c r="O14" s="33">
        <f>O11+O12+O13</f>
        <v/>
      </c>
      <c r="P14" s="33">
        <f>P11+P12+P13</f>
        <v/>
      </c>
    </row>
    <row r="15">
      <c r="A15" s="4" t="inlineStr">
        <is>
          <t>BEBAN POKOK PENDAPATAN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B16" s="35" t="inlineStr">
        <is>
          <t>A. Biaya penambangan</t>
        </is>
      </c>
    </row>
    <row r="17">
      <c r="A17" s="45" t="inlineStr">
        <is>
          <t>5101</t>
        </is>
      </c>
      <c r="B17" s="10" t="inlineStr">
        <is>
          <t xml:space="preserve">   Jasa kontraktor OB removal</t>
        </is>
      </c>
      <c r="D17" s="17" t="n">
        <v>51915</v>
      </c>
      <c r="E17" s="17" t="n">
        <v>57478</v>
      </c>
      <c r="F17" s="17" t="n">
        <v>57711</v>
      </c>
      <c r="G17" s="17" t="n">
        <v>69764</v>
      </c>
      <c r="H17" s="17" t="n">
        <v>62884</v>
      </c>
      <c r="I17" s="17" t="n">
        <v>60603</v>
      </c>
      <c r="J17" s="17" t="n">
        <v>70658</v>
      </c>
      <c r="K17" s="17" t="n">
        <v>71831</v>
      </c>
      <c r="L17" s="17" t="n"/>
      <c r="M17" s="17" t="n"/>
      <c r="N17" s="17" t="n"/>
      <c r="O17" s="17" t="n"/>
      <c r="P17" s="71">
        <f>SUM(D17:O17)</f>
        <v/>
      </c>
    </row>
    <row r="18">
      <c r="A18" s="45" t="inlineStr">
        <is>
          <t>5102</t>
        </is>
      </c>
      <c r="B18" s="10" t="inlineStr">
        <is>
          <t xml:space="preserve">   Bahan bakar (BBM)</t>
        </is>
      </c>
      <c r="D18" s="17" t="n">
        <v>20841</v>
      </c>
      <c r="E18" s="17" t="n">
        <v>22733</v>
      </c>
      <c r="F18" s="17" t="n">
        <v>22977</v>
      </c>
      <c r="G18" s="17" t="n">
        <v>27088</v>
      </c>
      <c r="H18" s="17" t="n">
        <v>25577</v>
      </c>
      <c r="I18" s="17" t="n">
        <v>23673</v>
      </c>
      <c r="J18" s="17" t="n">
        <v>29219</v>
      </c>
      <c r="K18" s="17" t="n">
        <v>28568</v>
      </c>
      <c r="L18" s="17" t="n"/>
      <c r="M18" s="17" t="n"/>
      <c r="N18" s="17" t="n"/>
      <c r="O18" s="17" t="n"/>
      <c r="P18" s="71">
        <f>SUM(D18:O18)</f>
        <v/>
      </c>
    </row>
    <row r="19">
      <c r="A19" s="45" t="inlineStr">
        <is>
          <t>5103</t>
        </is>
      </c>
      <c r="B19" s="10" t="inlineStr">
        <is>
          <t xml:space="preserve">   Peledakan (drill &amp; blast)</t>
        </is>
      </c>
      <c r="D19" s="17" t="n">
        <v>4049</v>
      </c>
      <c r="E19" s="17" t="n">
        <v>4513</v>
      </c>
      <c r="F19" s="17" t="n">
        <v>4567</v>
      </c>
      <c r="G19" s="17" t="n">
        <v>5464</v>
      </c>
      <c r="H19" s="17" t="n">
        <v>5035</v>
      </c>
      <c r="I19" s="17" t="n">
        <v>4853</v>
      </c>
      <c r="J19" s="17" t="n">
        <v>5680</v>
      </c>
      <c r="K19" s="17" t="n">
        <v>5711</v>
      </c>
      <c r="L19" s="17" t="n"/>
      <c r="M19" s="17" t="n"/>
      <c r="N19" s="17" t="n"/>
      <c r="O19" s="17" t="n"/>
      <c r="P19" s="71">
        <f>SUM(D19:O19)</f>
        <v/>
      </c>
    </row>
    <row r="20">
      <c r="A20" s="45" t="inlineStr">
        <is>
          <t>5104</t>
        </is>
      </c>
      <c r="B20" s="10" t="inlineStr">
        <is>
          <t xml:space="preserve">   Penggalian batubara (coal getting)</t>
        </is>
      </c>
      <c r="D20" s="17" t="n">
        <v>3184</v>
      </c>
      <c r="E20" s="17" t="n">
        <v>3533</v>
      </c>
      <c r="F20" s="17" t="n">
        <v>3476</v>
      </c>
      <c r="G20" s="17" t="n">
        <v>4235</v>
      </c>
      <c r="H20" s="17" t="n">
        <v>3929</v>
      </c>
      <c r="I20" s="17" t="n">
        <v>3914</v>
      </c>
      <c r="J20" s="17" t="n">
        <v>4500</v>
      </c>
      <c r="K20" s="17" t="n">
        <v>4628</v>
      </c>
      <c r="L20" s="17" t="n"/>
      <c r="M20" s="17" t="n"/>
      <c r="N20" s="17" t="n"/>
      <c r="O20" s="17" t="n"/>
      <c r="P20" s="71">
        <f>SUM(D20:O20)</f>
        <v/>
      </c>
    </row>
    <row r="21">
      <c r="A21" s="45" t="inlineStr">
        <is>
          <t>5105</t>
        </is>
      </c>
      <c r="B21" s="10" t="inlineStr">
        <is>
          <t xml:space="preserve">   Sewa alat berat &amp; sarana penunjang</t>
        </is>
      </c>
      <c r="D21" s="17" t="n">
        <v>3545</v>
      </c>
      <c r="E21" s="17" t="n">
        <v>3425</v>
      </c>
      <c r="F21" s="17" t="n">
        <v>4001</v>
      </c>
      <c r="G21" s="17" t="n">
        <v>3680</v>
      </c>
      <c r="H21" s="17" t="n">
        <v>3951</v>
      </c>
      <c r="I21" s="17" t="n">
        <v>3513</v>
      </c>
      <c r="J21" s="17" t="n">
        <v>3676</v>
      </c>
      <c r="K21" s="17" t="n">
        <v>3428</v>
      </c>
      <c r="L21" s="17" t="n"/>
      <c r="M21" s="17" t="n"/>
      <c r="N21" s="17" t="n"/>
      <c r="O21" s="17" t="n"/>
      <c r="P21" s="71">
        <f>SUM(D21:O21)</f>
        <v/>
      </c>
    </row>
    <row r="22">
      <c r="A22" s="45" t="inlineStr">
        <is>
          <t>5106</t>
        </is>
      </c>
      <c r="B22" s="10" t="inlineStr">
        <is>
          <t xml:space="preserve">   Pemeliharaan jalan tambang &amp; infrastruktur</t>
        </is>
      </c>
      <c r="D22" s="17" t="n">
        <v>1889</v>
      </c>
      <c r="E22" s="17" t="n">
        <v>2108</v>
      </c>
      <c r="F22" s="17" t="n">
        <v>2145</v>
      </c>
      <c r="G22" s="17" t="n">
        <v>1886</v>
      </c>
      <c r="H22" s="17" t="n">
        <v>1772</v>
      </c>
      <c r="I22" s="17" t="n">
        <v>1960</v>
      </c>
      <c r="J22" s="17" t="n">
        <v>2148</v>
      </c>
      <c r="K22" s="17" t="n">
        <v>1721</v>
      </c>
      <c r="L22" s="17" t="n"/>
      <c r="M22" s="17" t="n"/>
      <c r="N22" s="17" t="n"/>
      <c r="O22" s="17" t="n"/>
      <c r="P22" s="71">
        <f>SUM(D22:O22)</f>
        <v/>
      </c>
    </row>
    <row r="23">
      <c r="A23" s="45" t="inlineStr">
        <is>
          <t>5107</t>
        </is>
      </c>
      <c r="B23" s="10" t="inlineStr">
        <is>
          <t xml:space="preserve">   Pengelolaan air tambang (dewatering)</t>
        </is>
      </c>
      <c r="D23" s="17" t="n">
        <v>2338</v>
      </c>
      <c r="E23" s="17" t="n">
        <v>2635</v>
      </c>
      <c r="F23" s="17" t="n">
        <v>2474</v>
      </c>
      <c r="G23" s="17" t="n">
        <v>1439</v>
      </c>
      <c r="H23" s="17" t="n">
        <v>1456</v>
      </c>
      <c r="I23" s="17" t="n">
        <v>941</v>
      </c>
      <c r="J23" s="17" t="n">
        <v>750</v>
      </c>
      <c r="K23" s="17" t="n">
        <v>758</v>
      </c>
      <c r="L23" s="17" t="n"/>
      <c r="M23" s="17" t="n"/>
      <c r="N23" s="17" t="n"/>
      <c r="O23" s="17" t="n"/>
      <c r="P23" s="71">
        <f>SUM(D23:O23)</f>
        <v/>
      </c>
    </row>
    <row r="24">
      <c r="A24" s="45" t="inlineStr">
        <is>
          <t>5108</t>
        </is>
      </c>
      <c r="B24" s="10" t="inlineStr">
        <is>
          <t xml:space="preserve">   Survei, geologi &amp; grade control</t>
        </is>
      </c>
      <c r="D24" s="17" t="n">
        <v>660</v>
      </c>
      <c r="E24" s="17" t="n">
        <v>555</v>
      </c>
      <c r="F24" s="17" t="n">
        <v>597</v>
      </c>
      <c r="G24" s="17" t="n">
        <v>637</v>
      </c>
      <c r="H24" s="17" t="n">
        <v>562</v>
      </c>
      <c r="I24" s="17" t="n">
        <v>572</v>
      </c>
      <c r="J24" s="17" t="n">
        <v>575</v>
      </c>
      <c r="K24" s="17" t="n">
        <v>597</v>
      </c>
      <c r="L24" s="17" t="n"/>
      <c r="M24" s="17" t="n"/>
      <c r="N24" s="17" t="n"/>
      <c r="O24" s="17" t="n"/>
      <c r="P24" s="71">
        <f>SUM(D24:O24)</f>
        <v/>
      </c>
    </row>
    <row r="25">
      <c r="A25" s="45" t="inlineStr"/>
      <c r="B25" s="20" t="inlineStr">
        <is>
          <t xml:space="preserve">   Subtotal biaya penambangan</t>
        </is>
      </c>
      <c r="C25" s="23" t="n"/>
      <c r="D25" s="22">
        <f>D17+D18+D19+D20+D21+D22+D23+D24</f>
        <v/>
      </c>
      <c r="E25" s="22">
        <f>E17+E18+E19+E20+E21+E22+E23+E24</f>
        <v/>
      </c>
      <c r="F25" s="22">
        <f>F17+F18+F19+F20+F21+F22+F23+F24</f>
        <v/>
      </c>
      <c r="G25" s="22">
        <f>G17+G18+G19+G20+G21+G22+G23+G24</f>
        <v/>
      </c>
      <c r="H25" s="22">
        <f>H17+H18+H19+H20+H21+H22+H23+H24</f>
        <v/>
      </c>
      <c r="I25" s="22">
        <f>I17+I18+I19+I20+I21+I22+I23+I24</f>
        <v/>
      </c>
      <c r="J25" s="22">
        <f>J17+J18+J19+J20+J21+J22+J23+J24</f>
        <v/>
      </c>
      <c r="K25" s="22">
        <f>K17+K18+K19+K20+K21+K22+K23+K24</f>
        <v/>
      </c>
      <c r="L25" s="22">
        <f>L17+L18+L19+L20+L21+L22+L23+L24</f>
        <v/>
      </c>
      <c r="M25" s="22">
        <f>M17+M18+M19+M20+M21+M22+M23+M24</f>
        <v/>
      </c>
      <c r="N25" s="22">
        <f>N17+N18+N19+N20+N21+N22+N23+N24</f>
        <v/>
      </c>
      <c r="O25" s="22">
        <f>O17+O18+O19+O20+O21+O22+O23+O24</f>
        <v/>
      </c>
      <c r="P25" s="22">
        <f>P17+P18+P19+P20+P21+P22+P23+P24</f>
        <v/>
      </c>
    </row>
    <row r="26">
      <c r="B26" s="35" t="inlineStr">
        <is>
          <t>B. Pengolahan &amp; logistik</t>
        </is>
      </c>
    </row>
    <row r="27">
      <c r="A27" s="45" t="inlineStr">
        <is>
          <t>5201</t>
        </is>
      </c>
      <c r="B27" s="10" t="inlineStr">
        <is>
          <t xml:space="preserve">   Crushing &amp; pengolahan (CPP)</t>
        </is>
      </c>
      <c r="D27" s="17" t="n">
        <v>2547</v>
      </c>
      <c r="E27" s="17" t="n">
        <v>2826</v>
      </c>
      <c r="F27" s="17" t="n">
        <v>2781</v>
      </c>
      <c r="G27" s="17" t="n">
        <v>3388</v>
      </c>
      <c r="H27" s="17" t="n">
        <v>3143</v>
      </c>
      <c r="I27" s="17" t="n">
        <v>3131</v>
      </c>
      <c r="J27" s="17" t="n">
        <v>3600</v>
      </c>
      <c r="K27" s="17" t="n">
        <v>3702</v>
      </c>
      <c r="L27" s="17" t="n"/>
      <c r="M27" s="17" t="n"/>
      <c r="N27" s="17" t="n"/>
      <c r="O27" s="17" t="n"/>
      <c r="P27" s="71">
        <f>SUM(D27:O27)</f>
        <v/>
      </c>
    </row>
    <row r="28">
      <c r="A28" s="45" t="inlineStr">
        <is>
          <t>5202</t>
        </is>
      </c>
      <c r="B28" s="10" t="inlineStr">
        <is>
          <t xml:space="preserve">   Hauling tambang – pelabuhan</t>
        </is>
      </c>
      <c r="D28" s="17" t="n">
        <v>10819</v>
      </c>
      <c r="E28" s="17" t="n">
        <v>12379</v>
      </c>
      <c r="F28" s="17" t="n">
        <v>11934</v>
      </c>
      <c r="G28" s="17" t="n">
        <v>14490</v>
      </c>
      <c r="H28" s="17" t="n">
        <v>13110</v>
      </c>
      <c r="I28" s="17" t="n">
        <v>13279</v>
      </c>
      <c r="J28" s="17" t="n">
        <v>15195</v>
      </c>
      <c r="K28" s="17" t="n">
        <v>15372</v>
      </c>
      <c r="L28" s="17" t="n"/>
      <c r="M28" s="17" t="n"/>
      <c r="N28" s="17" t="n"/>
      <c r="O28" s="17" t="n"/>
      <c r="P28" s="71">
        <f>SUM(D28:O28)</f>
        <v/>
      </c>
    </row>
    <row r="29">
      <c r="A29" s="45" t="inlineStr">
        <is>
          <t>5203</t>
        </is>
      </c>
      <c r="B29" s="10" t="inlineStr">
        <is>
          <t xml:space="preserve">   Penanganan pelabuhan &amp; stockpile</t>
        </is>
      </c>
      <c r="D29" s="17" t="n">
        <v>4110</v>
      </c>
      <c r="E29" s="17" t="n">
        <v>4460</v>
      </c>
      <c r="F29" s="17" t="n">
        <v>4475</v>
      </c>
      <c r="G29" s="17" t="n">
        <v>5273</v>
      </c>
      <c r="H29" s="17" t="n">
        <v>5011</v>
      </c>
      <c r="I29" s="17" t="n">
        <v>4858</v>
      </c>
      <c r="J29" s="17" t="n">
        <v>5586</v>
      </c>
      <c r="K29" s="17" t="n">
        <v>5726</v>
      </c>
      <c r="L29" s="17" t="n"/>
      <c r="M29" s="17" t="n"/>
      <c r="N29" s="17" t="n"/>
      <c r="O29" s="17" t="n"/>
      <c r="P29" s="71">
        <f>SUM(D29:O29)</f>
        <v/>
      </c>
    </row>
    <row r="30">
      <c r="A30" s="45" t="inlineStr">
        <is>
          <t>5204</t>
        </is>
      </c>
      <c r="B30" s="10" t="inlineStr">
        <is>
          <t xml:space="preserve">   Tongkang &amp; transshipment (barging)</t>
        </is>
      </c>
      <c r="D30" s="17" t="n">
        <v>14547</v>
      </c>
      <c r="E30" s="17" t="n">
        <v>16065</v>
      </c>
      <c r="F30" s="17" t="n">
        <v>15738</v>
      </c>
      <c r="G30" s="17" t="n">
        <v>19303</v>
      </c>
      <c r="H30" s="17" t="n">
        <v>17901</v>
      </c>
      <c r="I30" s="17" t="n">
        <v>16988</v>
      </c>
      <c r="J30" s="17" t="n">
        <v>19404</v>
      </c>
      <c r="K30" s="17" t="n">
        <v>20196</v>
      </c>
      <c r="L30" s="17" t="n"/>
      <c r="M30" s="17" t="n"/>
      <c r="N30" s="17" t="n"/>
      <c r="O30" s="17" t="n"/>
      <c r="P30" s="71">
        <f>SUM(D30:O30)</f>
        <v/>
      </c>
    </row>
    <row r="31">
      <c r="A31" s="45" t="inlineStr"/>
      <c r="B31" s="20" t="inlineStr">
        <is>
          <t xml:space="preserve">   Subtotal pengolahan &amp; logistik</t>
        </is>
      </c>
      <c r="C31" s="23" t="n"/>
      <c r="D31" s="22">
        <f>D27+D28+D29+D30</f>
        <v/>
      </c>
      <c r="E31" s="22">
        <f>E27+E28+E29+E30</f>
        <v/>
      </c>
      <c r="F31" s="22">
        <f>F27+F28+F29+F30</f>
        <v/>
      </c>
      <c r="G31" s="22">
        <f>G27+G28+G29+G30</f>
        <v/>
      </c>
      <c r="H31" s="22">
        <f>H27+H28+H29+H30</f>
        <v/>
      </c>
      <c r="I31" s="22">
        <f>I27+I28+I29+I30</f>
        <v/>
      </c>
      <c r="J31" s="22">
        <f>J27+J28+J29+J30</f>
        <v/>
      </c>
      <c r="K31" s="22">
        <f>K27+K28+K29+K30</f>
        <v/>
      </c>
      <c r="L31" s="22">
        <f>L27+L28+L29+L30</f>
        <v/>
      </c>
      <c r="M31" s="22">
        <f>M27+M28+M29+M30</f>
        <v/>
      </c>
      <c r="N31" s="22">
        <f>N27+N28+N29+N30</f>
        <v/>
      </c>
      <c r="O31" s="22">
        <f>O27+O28+O29+O30</f>
        <v/>
      </c>
      <c r="P31" s="22">
        <f>P27+P28+P29+P30</f>
        <v/>
      </c>
    </row>
    <row r="32">
      <c r="B32" s="35" t="inlineStr">
        <is>
          <t>C. Royalti</t>
        </is>
      </c>
    </row>
    <row r="33">
      <c r="A33" s="45" t="inlineStr">
        <is>
          <t>5301</t>
        </is>
      </c>
      <c r="B33" s="10" t="inlineStr">
        <is>
          <t xml:space="preserve">   Royalti / PNBP (DHPB)</t>
        </is>
      </c>
      <c r="D33" s="17" t="n">
        <v>8437</v>
      </c>
      <c r="E33" s="17" t="n">
        <v>9349</v>
      </c>
      <c r="F33" s="17" t="n">
        <v>9041</v>
      </c>
      <c r="G33" s="17" t="n">
        <v>10983</v>
      </c>
      <c r="H33" s="17" t="n">
        <v>10414</v>
      </c>
      <c r="I33" s="17" t="n">
        <v>9989</v>
      </c>
      <c r="J33" s="17" t="n">
        <v>11500</v>
      </c>
      <c r="K33" s="17" t="n">
        <v>11996</v>
      </c>
      <c r="L33" s="17" t="n"/>
      <c r="M33" s="17" t="n"/>
      <c r="N33" s="17" t="n"/>
      <c r="O33" s="17" t="n"/>
      <c r="P33" s="71">
        <f>SUM(D33:O33)</f>
        <v/>
      </c>
    </row>
    <row r="34">
      <c r="B34" s="35" t="inlineStr">
        <is>
          <t>D. Overhead site</t>
        </is>
      </c>
    </row>
    <row r="35">
      <c r="A35" s="45" t="inlineStr">
        <is>
          <t>5401</t>
        </is>
      </c>
      <c r="B35" s="10" t="inlineStr">
        <is>
          <t xml:space="preserve">   Gaji &amp; tunjangan karyawan site</t>
        </is>
      </c>
      <c r="D35" s="17" t="n">
        <v>6758</v>
      </c>
      <c r="E35" s="17" t="n">
        <v>6742</v>
      </c>
      <c r="F35" s="17" t="n">
        <v>6629</v>
      </c>
      <c r="G35" s="17" t="n">
        <v>6572</v>
      </c>
      <c r="H35" s="17" t="n">
        <v>6821</v>
      </c>
      <c r="I35" s="17" t="n">
        <v>6726</v>
      </c>
      <c r="J35" s="17" t="n">
        <v>6742</v>
      </c>
      <c r="K35" s="17" t="n">
        <v>6861</v>
      </c>
      <c r="L35" s="17" t="n"/>
      <c r="M35" s="17" t="n"/>
      <c r="N35" s="17" t="n"/>
      <c r="O35" s="17" t="n"/>
      <c r="P35" s="71">
        <f>SUM(D35:O35)</f>
        <v/>
      </c>
    </row>
    <row r="36">
      <c r="A36" s="45" t="inlineStr">
        <is>
          <t>5402</t>
        </is>
      </c>
      <c r="B36" s="10" t="inlineStr">
        <is>
          <t xml:space="preserve">   Camp, mess &amp; katering</t>
        </is>
      </c>
      <c r="D36" s="17" t="n">
        <v>1673</v>
      </c>
      <c r="E36" s="17" t="n">
        <v>1750</v>
      </c>
      <c r="F36" s="17" t="n">
        <v>1543</v>
      </c>
      <c r="G36" s="17" t="n">
        <v>1538</v>
      </c>
      <c r="H36" s="17" t="n">
        <v>1612</v>
      </c>
      <c r="I36" s="17" t="n">
        <v>1702</v>
      </c>
      <c r="J36" s="17" t="n">
        <v>1731</v>
      </c>
      <c r="K36" s="17" t="n">
        <v>1662</v>
      </c>
      <c r="L36" s="17" t="n"/>
      <c r="M36" s="17" t="n"/>
      <c r="N36" s="17" t="n"/>
      <c r="O36" s="17" t="n"/>
      <c r="P36" s="71">
        <f>SUM(D36:O36)</f>
        <v/>
      </c>
    </row>
    <row r="37">
      <c r="A37" s="45" t="inlineStr">
        <is>
          <t>5403</t>
        </is>
      </c>
      <c r="B37" s="10" t="inlineStr">
        <is>
          <t xml:space="preserve">   K3 / HSE</t>
        </is>
      </c>
      <c r="D37" s="17" t="n">
        <v>782</v>
      </c>
      <c r="E37" s="17" t="n">
        <v>836</v>
      </c>
      <c r="F37" s="17" t="n">
        <v>787</v>
      </c>
      <c r="G37" s="17" t="n">
        <v>805</v>
      </c>
      <c r="H37" s="17" t="n">
        <v>669</v>
      </c>
      <c r="I37" s="17" t="n">
        <v>782</v>
      </c>
      <c r="J37" s="17" t="n">
        <v>689</v>
      </c>
      <c r="K37" s="17" t="n">
        <v>806</v>
      </c>
      <c r="L37" s="17" t="n"/>
      <c r="M37" s="17" t="n"/>
      <c r="N37" s="17" t="n"/>
      <c r="O37" s="17" t="n"/>
      <c r="P37" s="71">
        <f>SUM(D37:O37)</f>
        <v/>
      </c>
    </row>
    <row r="38">
      <c r="A38" s="45" t="inlineStr">
        <is>
          <t>5404</t>
        </is>
      </c>
      <c r="B38" s="10" t="inlineStr">
        <is>
          <t xml:space="preserve">   Lingkungan &amp; reklamasi (provisi)</t>
        </is>
      </c>
      <c r="D38" s="17" t="n">
        <v>1158</v>
      </c>
      <c r="E38" s="17" t="n">
        <v>1277</v>
      </c>
      <c r="F38" s="17" t="n">
        <v>1259</v>
      </c>
      <c r="G38" s="17" t="n">
        <v>1535</v>
      </c>
      <c r="H38" s="17" t="n">
        <v>1426</v>
      </c>
      <c r="I38" s="17" t="n">
        <v>1435</v>
      </c>
      <c r="J38" s="17" t="n">
        <v>1644</v>
      </c>
      <c r="K38" s="17" t="n">
        <v>1699</v>
      </c>
      <c r="L38" s="17" t="n"/>
      <c r="M38" s="17" t="n"/>
      <c r="N38" s="17" t="n"/>
      <c r="O38" s="17" t="n"/>
      <c r="P38" s="71">
        <f>SUM(D38:O38)</f>
        <v/>
      </c>
    </row>
    <row r="39">
      <c r="A39" s="45" t="inlineStr">
        <is>
          <t>5405</t>
        </is>
      </c>
      <c r="B39" s="10" t="inlineStr">
        <is>
          <t xml:space="preserve">   PPM / CSR</t>
        </is>
      </c>
      <c r="D39" s="17" t="n">
        <v>752</v>
      </c>
      <c r="E39" s="17" t="n">
        <v>810</v>
      </c>
      <c r="F39" s="17" t="n">
        <v>868</v>
      </c>
      <c r="G39" s="17" t="n">
        <v>953</v>
      </c>
      <c r="H39" s="17" t="n">
        <v>783</v>
      </c>
      <c r="I39" s="17" t="n">
        <v>787</v>
      </c>
      <c r="J39" s="17" t="n">
        <v>839</v>
      </c>
      <c r="K39" s="17" t="n">
        <v>919</v>
      </c>
      <c r="L39" s="17" t="n"/>
      <c r="M39" s="17" t="n"/>
      <c r="N39" s="17" t="n"/>
      <c r="O39" s="17" t="n"/>
      <c r="P39" s="71">
        <f>SUM(D39:O39)</f>
        <v/>
      </c>
    </row>
    <row r="40">
      <c r="A40" s="45" t="inlineStr">
        <is>
          <t>5406</t>
        </is>
      </c>
      <c r="B40" s="10" t="inlineStr">
        <is>
          <t xml:space="preserve">   Iuran tetap &amp; kompensasi lahan</t>
        </is>
      </c>
      <c r="D40" s="17" t="n">
        <v>700</v>
      </c>
      <c r="E40" s="17" t="n">
        <v>700</v>
      </c>
      <c r="F40" s="17" t="n">
        <v>700</v>
      </c>
      <c r="G40" s="17" t="n">
        <v>700</v>
      </c>
      <c r="H40" s="17" t="n">
        <v>700</v>
      </c>
      <c r="I40" s="17" t="n">
        <v>700</v>
      </c>
      <c r="J40" s="17" t="n">
        <v>700</v>
      </c>
      <c r="K40" s="17" t="n">
        <v>700</v>
      </c>
      <c r="L40" s="17" t="n"/>
      <c r="M40" s="17" t="n"/>
      <c r="N40" s="17" t="n"/>
      <c r="O40" s="17" t="n"/>
      <c r="P40" s="71">
        <f>SUM(D40:O40)</f>
        <v/>
      </c>
    </row>
    <row r="41">
      <c r="A41" s="45" t="inlineStr"/>
      <c r="B41" s="20" t="inlineStr">
        <is>
          <t xml:space="preserve">   Subtotal overhead site</t>
        </is>
      </c>
      <c r="C41" s="23" t="n"/>
      <c r="D41" s="22">
        <f>D35+D36+D37+D38+D39+D40</f>
        <v/>
      </c>
      <c r="E41" s="22">
        <f>E35+E36+E37+E38+E39+E40</f>
        <v/>
      </c>
      <c r="F41" s="22">
        <f>F35+F36+F37+F38+F39+F40</f>
        <v/>
      </c>
      <c r="G41" s="22">
        <f>G35+G36+G37+G38+G39+G40</f>
        <v/>
      </c>
      <c r="H41" s="22">
        <f>H35+H36+H37+H38+H39+H40</f>
        <v/>
      </c>
      <c r="I41" s="22">
        <f>I35+I36+I37+I38+I39+I40</f>
        <v/>
      </c>
      <c r="J41" s="22">
        <f>J35+J36+J37+J38+J39+J40</f>
        <v/>
      </c>
      <c r="K41" s="22">
        <f>K35+K36+K37+K38+K39+K40</f>
        <v/>
      </c>
      <c r="L41" s="22">
        <f>L35+L36+L37+L38+L39+L40</f>
        <v/>
      </c>
      <c r="M41" s="22">
        <f>M35+M36+M37+M38+M39+M40</f>
        <v/>
      </c>
      <c r="N41" s="22">
        <f>N35+N36+N37+N38+N39+N40</f>
        <v/>
      </c>
      <c r="O41" s="22">
        <f>O35+O36+O37+O38+O39+O40</f>
        <v/>
      </c>
      <c r="P41" s="22">
        <f>P35+P36+P37+P38+P39+P40</f>
        <v/>
      </c>
    </row>
    <row r="42">
      <c r="B42" s="35" t="inlineStr">
        <is>
          <t>E. Penyusutan &amp; amortisasi</t>
        </is>
      </c>
    </row>
    <row r="43">
      <c r="A43" s="45" t="inlineStr">
        <is>
          <t>5501</t>
        </is>
      </c>
      <c r="B43" s="10" t="inlineStr">
        <is>
          <t xml:space="preserve">   Penyusutan aset tetap</t>
        </is>
      </c>
      <c r="D43" s="17" t="n">
        <v>7500</v>
      </c>
      <c r="E43" s="17" t="n">
        <v>7500</v>
      </c>
      <c r="F43" s="17" t="n">
        <v>7500</v>
      </c>
      <c r="G43" s="17" t="n">
        <v>7500</v>
      </c>
      <c r="H43" s="17" t="n">
        <v>7500</v>
      </c>
      <c r="I43" s="17" t="n">
        <v>7500</v>
      </c>
      <c r="J43" s="17" t="n">
        <v>7500</v>
      </c>
      <c r="K43" s="17" t="n">
        <v>7500</v>
      </c>
      <c r="L43" s="17" t="n"/>
      <c r="M43" s="17" t="n"/>
      <c r="N43" s="17" t="n"/>
      <c r="O43" s="17" t="n"/>
      <c r="P43" s="71">
        <f>SUM(D43:O43)</f>
        <v/>
      </c>
    </row>
    <row r="44">
      <c r="A44" s="45" t="inlineStr">
        <is>
          <t>5502</t>
        </is>
      </c>
      <c r="B44" s="10" t="inlineStr">
        <is>
          <t xml:space="preserve">   Amortisasi properti pertambangan</t>
        </is>
      </c>
      <c r="D44" s="17" t="n">
        <v>2316</v>
      </c>
      <c r="E44" s="17" t="n">
        <v>2554</v>
      </c>
      <c r="F44" s="17" t="n">
        <v>2518</v>
      </c>
      <c r="G44" s="17" t="n">
        <v>3070</v>
      </c>
      <c r="H44" s="17" t="n">
        <v>2853</v>
      </c>
      <c r="I44" s="17" t="n">
        <v>2870</v>
      </c>
      <c r="J44" s="17" t="n">
        <v>3289</v>
      </c>
      <c r="K44" s="17" t="n">
        <v>3398</v>
      </c>
      <c r="L44" s="17" t="n"/>
      <c r="M44" s="17" t="n"/>
      <c r="N44" s="17" t="n"/>
      <c r="O44" s="17" t="n"/>
      <c r="P44" s="71">
        <f>SUM(D44:O44)</f>
        <v/>
      </c>
    </row>
    <row r="45">
      <c r="A45" s="45" t="inlineStr">
        <is>
          <t>5503</t>
        </is>
      </c>
      <c r="B45" s="10" t="inlineStr">
        <is>
          <t xml:space="preserve">   Amortisasi biaya pengupasan tangguhan</t>
        </is>
      </c>
      <c r="D45" s="17" t="n">
        <v>1544</v>
      </c>
      <c r="E45" s="17" t="n">
        <v>1703</v>
      </c>
      <c r="F45" s="17" t="n">
        <v>1679</v>
      </c>
      <c r="G45" s="17" t="n">
        <v>2047</v>
      </c>
      <c r="H45" s="17" t="n">
        <v>1902</v>
      </c>
      <c r="I45" s="17" t="n">
        <v>1914</v>
      </c>
      <c r="J45" s="17" t="n">
        <v>2192</v>
      </c>
      <c r="K45" s="17" t="n">
        <v>2265</v>
      </c>
      <c r="L45" s="17" t="n"/>
      <c r="M45" s="17" t="n"/>
      <c r="N45" s="17" t="n"/>
      <c r="O45" s="17" t="n"/>
      <c r="P45" s="71">
        <f>SUM(D45:O45)</f>
        <v/>
      </c>
    </row>
    <row r="46">
      <c r="A46" s="45" t="inlineStr"/>
      <c r="B46" s="20" t="inlineStr">
        <is>
          <t xml:space="preserve">   Subtotal penyusutan &amp; amortisasi</t>
        </is>
      </c>
      <c r="C46" s="23" t="n"/>
      <c r="D46" s="22">
        <f>D43+D44+D45</f>
        <v/>
      </c>
      <c r="E46" s="22">
        <f>E43+E44+E45</f>
        <v/>
      </c>
      <c r="F46" s="22">
        <f>F43+F44+F45</f>
        <v/>
      </c>
      <c r="G46" s="22">
        <f>G43+G44+G45</f>
        <v/>
      </c>
      <c r="H46" s="22">
        <f>H43+H44+H45</f>
        <v/>
      </c>
      <c r="I46" s="22">
        <f>I43+I44+I45</f>
        <v/>
      </c>
      <c r="J46" s="22">
        <f>J43+J44+J45</f>
        <v/>
      </c>
      <c r="K46" s="22">
        <f>K43+K44+K45</f>
        <v/>
      </c>
      <c r="L46" s="22">
        <f>L43+L44+L45</f>
        <v/>
      </c>
      <c r="M46" s="22">
        <f>M43+M44+M45</f>
        <v/>
      </c>
      <c r="N46" s="22">
        <f>N43+N44+N45</f>
        <v/>
      </c>
      <c r="O46" s="22">
        <f>O43+O44+O45</f>
        <v/>
      </c>
      <c r="P46" s="22">
        <f>P43+P44+P45</f>
        <v/>
      </c>
    </row>
    <row r="47">
      <c r="A47" s="45" t="inlineStr"/>
      <c r="B47" s="20" t="inlineStr">
        <is>
          <t xml:space="preserve">   Total biaya produksi</t>
        </is>
      </c>
      <c r="C47" s="23" t="n"/>
      <c r="D47" s="22">
        <f>D25+D31+D33+D41+D46</f>
        <v/>
      </c>
      <c r="E47" s="22">
        <f>E25+E31+E33+E41+E46</f>
        <v/>
      </c>
      <c r="F47" s="22">
        <f>F25+F31+F33+F41+F46</f>
        <v/>
      </c>
      <c r="G47" s="22">
        <f>G25+G31+G33+G41+G46</f>
        <v/>
      </c>
      <c r="H47" s="22">
        <f>H25+H31+H33+H41+H46</f>
        <v/>
      </c>
      <c r="I47" s="22">
        <f>I25+I31+I33+I41+I46</f>
        <v/>
      </c>
      <c r="J47" s="22">
        <f>J25+J31+J33+J41+J46</f>
        <v/>
      </c>
      <c r="K47" s="22">
        <f>K25+K31+K33+K41+K46</f>
        <v/>
      </c>
      <c r="L47" s="22">
        <f>L25+L31+L33+L41+L46</f>
        <v/>
      </c>
      <c r="M47" s="22">
        <f>M25+M31+M33+M41+M46</f>
        <v/>
      </c>
      <c r="N47" s="22">
        <f>N25+N31+N33+N41+N46</f>
        <v/>
      </c>
      <c r="O47" s="22">
        <f>O25+O31+O33+O41+O46</f>
        <v/>
      </c>
      <c r="P47" s="22">
        <f>P25+P31+P33+P41+P46</f>
        <v/>
      </c>
    </row>
    <row r="48">
      <c r="A48" s="45" t="inlineStr">
        <is>
          <t>5601</t>
        </is>
      </c>
      <c r="B48" s="10" t="inlineStr">
        <is>
          <t xml:space="preserve">   Perubahan persediaan batubara (awal – akhir)</t>
        </is>
      </c>
      <c r="D48" s="17" t="n">
        <v>-9402</v>
      </c>
      <c r="E48" s="17" t="n">
        <v>-2421</v>
      </c>
      <c r="F48" s="17" t="n">
        <v>-3153</v>
      </c>
      <c r="G48" s="17" t="n">
        <v>208</v>
      </c>
      <c r="H48" s="17" t="n">
        <v>-2753</v>
      </c>
      <c r="I48" s="17" t="n">
        <v>-1479</v>
      </c>
      <c r="J48" s="17" t="n">
        <v>-7250</v>
      </c>
      <c r="K48" s="17" t="n">
        <v>-4137</v>
      </c>
      <c r="L48" s="17" t="n"/>
      <c r="M48" s="17" t="n"/>
      <c r="N48" s="17" t="n"/>
      <c r="O48" s="17" t="n"/>
      <c r="P48" s="71">
        <f>SUM(D48:O48)</f>
        <v/>
      </c>
    </row>
    <row r="49">
      <c r="A49" s="82" t="inlineStr"/>
      <c r="B49" s="31" t="inlineStr">
        <is>
          <t>BEBAN POKOK PENDAPATAN</t>
        </is>
      </c>
      <c r="C49" s="32" t="n"/>
      <c r="D49" s="33">
        <f>D47+D48</f>
        <v/>
      </c>
      <c r="E49" s="33">
        <f>E47+E48</f>
        <v/>
      </c>
      <c r="F49" s="33">
        <f>F47+F48</f>
        <v/>
      </c>
      <c r="G49" s="33">
        <f>G47+G48</f>
        <v/>
      </c>
      <c r="H49" s="33">
        <f>H47+H48</f>
        <v/>
      </c>
      <c r="I49" s="33">
        <f>I47+I48</f>
        <v/>
      </c>
      <c r="J49" s="33">
        <f>J47+J48</f>
        <v/>
      </c>
      <c r="K49" s="33">
        <f>K47+K48</f>
        <v/>
      </c>
      <c r="L49" s="33">
        <f>L47+L48</f>
        <v/>
      </c>
      <c r="M49" s="33">
        <f>M47+M48</f>
        <v/>
      </c>
      <c r="N49" s="33">
        <f>N47+N48</f>
        <v/>
      </c>
      <c r="O49" s="33">
        <f>O47+O48</f>
        <v/>
      </c>
      <c r="P49" s="33">
        <f>P47+P48</f>
        <v/>
      </c>
    </row>
    <row r="50">
      <c r="A50" s="82" t="inlineStr"/>
      <c r="B50" s="31" t="inlineStr">
        <is>
          <t>LABA KOTOR</t>
        </is>
      </c>
      <c r="C50" s="32" t="n"/>
      <c r="D50" s="33">
        <f>D14-D49</f>
        <v/>
      </c>
      <c r="E50" s="33">
        <f>E14-E49</f>
        <v/>
      </c>
      <c r="F50" s="33">
        <f>F14-F49</f>
        <v/>
      </c>
      <c r="G50" s="33">
        <f>G14-G49</f>
        <v/>
      </c>
      <c r="H50" s="33">
        <f>H14-H49</f>
        <v/>
      </c>
      <c r="I50" s="33">
        <f>I14-I49</f>
        <v/>
      </c>
      <c r="J50" s="33">
        <f>J14-J49</f>
        <v/>
      </c>
      <c r="K50" s="33">
        <f>K14-K49</f>
        <v/>
      </c>
      <c r="L50" s="33">
        <f>L14-L49</f>
        <v/>
      </c>
      <c r="M50" s="33">
        <f>M14-M49</f>
        <v/>
      </c>
      <c r="N50" s="33">
        <f>N14-N49</f>
        <v/>
      </c>
      <c r="O50" s="33">
        <f>O14-O49</f>
        <v/>
      </c>
      <c r="P50" s="33">
        <f>P14-P49</f>
        <v/>
      </c>
    </row>
    <row r="51">
      <c r="A51" s="45" t="inlineStr"/>
      <c r="B51" s="37" t="inlineStr">
        <is>
          <t xml:space="preserve">   Marjin laba kotor</t>
        </is>
      </c>
      <c r="D51" s="29">
        <f>IFERROR(D50/D14,0)</f>
        <v/>
      </c>
      <c r="E51" s="29">
        <f>IFERROR(E50/E14,0)</f>
        <v/>
      </c>
      <c r="F51" s="29">
        <f>IFERROR(F50/F14,0)</f>
        <v/>
      </c>
      <c r="G51" s="29">
        <f>IFERROR(G50/G14,0)</f>
        <v/>
      </c>
      <c r="H51" s="29">
        <f>IFERROR(H50/H14,0)</f>
        <v/>
      </c>
      <c r="I51" s="29">
        <f>IFERROR(I50/I14,0)</f>
        <v/>
      </c>
      <c r="J51" s="29">
        <f>IFERROR(J50/J14,0)</f>
        <v/>
      </c>
      <c r="K51" s="29">
        <f>IFERROR(K50/K14,0)</f>
        <v/>
      </c>
      <c r="L51" s="29">
        <f>IFERROR(L50/L14,0)</f>
        <v/>
      </c>
      <c r="M51" s="29">
        <f>IFERROR(M50/M14,0)</f>
        <v/>
      </c>
      <c r="N51" s="29">
        <f>IFERROR(N50/N14,0)</f>
        <v/>
      </c>
      <c r="O51" s="29">
        <f>IFERROR(O50/O14,0)</f>
        <v/>
      </c>
      <c r="P51" s="29">
        <f>IFERROR(P50/P14,0)</f>
        <v/>
      </c>
    </row>
    <row r="52">
      <c r="A52" s="4" t="inlineStr">
        <is>
          <t>BEBAN USAHA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</row>
    <row r="53">
      <c r="B53" s="35" t="inlineStr">
        <is>
          <t>Beban penjualan</t>
        </is>
      </c>
    </row>
    <row r="54">
      <c r="A54" s="45" t="inlineStr">
        <is>
          <t>6101</t>
        </is>
      </c>
      <c r="B54" s="10" t="inlineStr">
        <is>
          <t xml:space="preserve">   Pengapalan laut (penjualan CIF)</t>
        </is>
      </c>
      <c r="D54" s="17" t="n">
        <v>0</v>
      </c>
      <c r="E54" s="17" t="n">
        <v>0</v>
      </c>
      <c r="F54" s="17" t="n">
        <v>0</v>
      </c>
      <c r="G54" s="17" t="n">
        <v>0</v>
      </c>
      <c r="H54" s="17" t="n">
        <v>0</v>
      </c>
      <c r="I54" s="17" t="n">
        <v>0</v>
      </c>
      <c r="J54" s="17" t="n">
        <v>0</v>
      </c>
      <c r="K54" s="17" t="n">
        <v>0</v>
      </c>
      <c r="L54" s="17" t="n"/>
      <c r="M54" s="17" t="n"/>
      <c r="N54" s="17" t="n"/>
      <c r="O54" s="17" t="n"/>
      <c r="P54" s="71">
        <f>SUM(D54:O54)</f>
        <v/>
      </c>
    </row>
    <row r="55">
      <c r="A55" s="45" t="inlineStr">
        <is>
          <t>6102</t>
        </is>
      </c>
      <c r="B55" s="10" t="inlineStr">
        <is>
          <t xml:space="preserve">   Komisi agen penjualan</t>
        </is>
      </c>
      <c r="D55" s="17" t="n">
        <v>806</v>
      </c>
      <c r="E55" s="17" t="n">
        <v>976</v>
      </c>
      <c r="F55" s="17" t="n">
        <v>933</v>
      </c>
      <c r="G55" s="17" t="n">
        <v>1078</v>
      </c>
      <c r="H55" s="17" t="n">
        <v>1037</v>
      </c>
      <c r="I55" s="17" t="n">
        <v>990</v>
      </c>
      <c r="J55" s="17" t="n">
        <v>1093</v>
      </c>
      <c r="K55" s="17" t="n">
        <v>1223</v>
      </c>
      <c r="L55" s="17" t="n"/>
      <c r="M55" s="17" t="n"/>
      <c r="N55" s="17" t="n"/>
      <c r="O55" s="17" t="n"/>
      <c r="P55" s="71">
        <f>SUM(D55:O55)</f>
        <v/>
      </c>
    </row>
    <row r="56">
      <c r="A56" s="45" t="inlineStr">
        <is>
          <t>6103</t>
        </is>
      </c>
      <c r="B56" s="10" t="inlineStr">
        <is>
          <t xml:space="preserve">   Surveyor independen &amp; analisa kualitas</t>
        </is>
      </c>
      <c r="D56" s="17" t="n">
        <v>632</v>
      </c>
      <c r="E56" s="17" t="n">
        <v>686</v>
      </c>
      <c r="F56" s="17" t="n">
        <v>688</v>
      </c>
      <c r="G56" s="17" t="n">
        <v>811</v>
      </c>
      <c r="H56" s="17" t="n">
        <v>771</v>
      </c>
      <c r="I56" s="17" t="n">
        <v>747</v>
      </c>
      <c r="J56" s="17" t="n">
        <v>859</v>
      </c>
      <c r="K56" s="17" t="n">
        <v>881</v>
      </c>
      <c r="L56" s="17" t="n"/>
      <c r="M56" s="17" t="n"/>
      <c r="N56" s="17" t="n"/>
      <c r="O56" s="17" t="n"/>
      <c r="P56" s="71">
        <f>SUM(D56:O56)</f>
        <v/>
      </c>
    </row>
    <row r="57">
      <c r="A57" s="45" t="inlineStr">
        <is>
          <t>6104</t>
        </is>
      </c>
      <c r="B57" s="10" t="inlineStr">
        <is>
          <t xml:space="preserve">   Demurrage</t>
        </is>
      </c>
      <c r="D57" s="17" t="n">
        <v>1543</v>
      </c>
      <c r="E57" s="17" t="n">
        <v>1335</v>
      </c>
      <c r="F57" s="17" t="n">
        <v>1408</v>
      </c>
      <c r="G57" s="17" t="n">
        <v>2150</v>
      </c>
      <c r="H57" s="17" t="n">
        <v>1430</v>
      </c>
      <c r="I57" s="17" t="n">
        <v>1684</v>
      </c>
      <c r="J57" s="17" t="n">
        <v>1833</v>
      </c>
      <c r="K57" s="17" t="n">
        <v>1715</v>
      </c>
      <c r="L57" s="17" t="n"/>
      <c r="M57" s="17" t="n"/>
      <c r="N57" s="17" t="n"/>
      <c r="O57" s="17" t="n"/>
      <c r="P57" s="71">
        <f>SUM(D57:O57)</f>
        <v/>
      </c>
    </row>
    <row r="58">
      <c r="A58" s="45" t="inlineStr">
        <is>
          <t>6105</t>
        </is>
      </c>
      <c r="B58" s="10" t="inlineStr">
        <is>
          <t xml:space="preserve">   Dokumen ekspor &amp; pungutan</t>
        </is>
      </c>
      <c r="D58" s="17" t="n">
        <v>383</v>
      </c>
      <c r="E58" s="17" t="n">
        <v>440</v>
      </c>
      <c r="F58" s="17" t="n">
        <v>361</v>
      </c>
      <c r="G58" s="17" t="n">
        <v>436</v>
      </c>
      <c r="H58" s="17" t="n">
        <v>440</v>
      </c>
      <c r="I58" s="17" t="n">
        <v>401</v>
      </c>
      <c r="J58" s="17" t="n">
        <v>422</v>
      </c>
      <c r="K58" s="17" t="n">
        <v>437</v>
      </c>
      <c r="L58" s="17" t="n"/>
      <c r="M58" s="17" t="n"/>
      <c r="N58" s="17" t="n"/>
      <c r="O58" s="17" t="n"/>
      <c r="P58" s="71">
        <f>SUM(D58:O58)</f>
        <v/>
      </c>
    </row>
    <row r="59">
      <c r="A59" s="45" t="inlineStr">
        <is>
          <t>6106</t>
        </is>
      </c>
      <c r="B59" s="10" t="inlineStr">
        <is>
          <t xml:space="preserve">   Pemasaran &amp; promosi</t>
        </is>
      </c>
      <c r="D59" s="17" t="n">
        <v>150</v>
      </c>
      <c r="E59" s="17" t="n">
        <v>150</v>
      </c>
      <c r="F59" s="17" t="n">
        <v>150</v>
      </c>
      <c r="G59" s="17" t="n">
        <v>150</v>
      </c>
      <c r="H59" s="17" t="n">
        <v>150</v>
      </c>
      <c r="I59" s="17" t="n">
        <v>150</v>
      </c>
      <c r="J59" s="17" t="n">
        <v>150</v>
      </c>
      <c r="K59" s="17" t="n">
        <v>150</v>
      </c>
      <c r="L59" s="17" t="n"/>
      <c r="M59" s="17" t="n"/>
      <c r="N59" s="17" t="n"/>
      <c r="O59" s="17" t="n"/>
      <c r="P59" s="71">
        <f>SUM(D59:O59)</f>
        <v/>
      </c>
    </row>
    <row r="60">
      <c r="A60" s="45" t="inlineStr"/>
      <c r="B60" s="20" t="inlineStr">
        <is>
          <t xml:space="preserve">   Subtotal beban penjualan</t>
        </is>
      </c>
      <c r="C60" s="23" t="n"/>
      <c r="D60" s="22">
        <f>D54+D55+D56+D57+D58+D59</f>
        <v/>
      </c>
      <c r="E60" s="22">
        <f>E54+E55+E56+E57+E58+E59</f>
        <v/>
      </c>
      <c r="F60" s="22">
        <f>F54+F55+F56+F57+F58+F59</f>
        <v/>
      </c>
      <c r="G60" s="22">
        <f>G54+G55+G56+G57+G58+G59</f>
        <v/>
      </c>
      <c r="H60" s="22">
        <f>H54+H55+H56+H57+H58+H59</f>
        <v/>
      </c>
      <c r="I60" s="22">
        <f>I54+I55+I56+I57+I58+I59</f>
        <v/>
      </c>
      <c r="J60" s="22">
        <f>J54+J55+J56+J57+J58+J59</f>
        <v/>
      </c>
      <c r="K60" s="22">
        <f>K54+K55+K56+K57+K58+K59</f>
        <v/>
      </c>
      <c r="L60" s="22">
        <f>L54+L55+L56+L57+L58+L59</f>
        <v/>
      </c>
      <c r="M60" s="22">
        <f>M54+M55+M56+M57+M58+M59</f>
        <v/>
      </c>
      <c r="N60" s="22">
        <f>N54+N55+N56+N57+N58+N59</f>
        <v/>
      </c>
      <c r="O60" s="22">
        <f>O54+O55+O56+O57+O58+O59</f>
        <v/>
      </c>
      <c r="P60" s="22">
        <f>P54+P55+P56+P57+P58+P59</f>
        <v/>
      </c>
    </row>
    <row r="61">
      <c r="B61" s="35" t="inlineStr">
        <is>
          <t>Beban umum &amp; administrasi</t>
        </is>
      </c>
    </row>
    <row r="62">
      <c r="A62" s="45" t="inlineStr">
        <is>
          <t>6201</t>
        </is>
      </c>
      <c r="B62" s="10" t="inlineStr">
        <is>
          <t xml:space="preserve">   Gaji &amp; tunjangan kantor pusat</t>
        </is>
      </c>
      <c r="D62" s="17" t="n">
        <v>4489</v>
      </c>
      <c r="E62" s="17" t="n">
        <v>4978</v>
      </c>
      <c r="F62" s="17" t="n">
        <v>4320</v>
      </c>
      <c r="G62" s="17" t="n">
        <v>4351</v>
      </c>
      <c r="H62" s="17" t="n">
        <v>5298</v>
      </c>
      <c r="I62" s="17" t="n">
        <v>4652</v>
      </c>
      <c r="J62" s="17" t="n">
        <v>5419</v>
      </c>
      <c r="K62" s="17" t="n">
        <v>4937</v>
      </c>
      <c r="L62" s="17" t="n"/>
      <c r="M62" s="17" t="n"/>
      <c r="N62" s="17" t="n"/>
      <c r="O62" s="17" t="n"/>
      <c r="P62" s="71">
        <f>SUM(D62:O62)</f>
        <v/>
      </c>
    </row>
    <row r="63">
      <c r="A63" s="45" t="inlineStr">
        <is>
          <t>6202</t>
        </is>
      </c>
      <c r="B63" s="10" t="inlineStr">
        <is>
          <t xml:space="preserve">   Jasa profesional</t>
        </is>
      </c>
      <c r="D63" s="17" t="n">
        <v>1273</v>
      </c>
      <c r="E63" s="17" t="n">
        <v>1274</v>
      </c>
      <c r="F63" s="17" t="n">
        <v>1254</v>
      </c>
      <c r="G63" s="17" t="n">
        <v>1223</v>
      </c>
      <c r="H63" s="17" t="n">
        <v>1166</v>
      </c>
      <c r="I63" s="17" t="n">
        <v>1331</v>
      </c>
      <c r="J63" s="17" t="n">
        <v>1169</v>
      </c>
      <c r="K63" s="17" t="n">
        <v>1160</v>
      </c>
      <c r="L63" s="17" t="n"/>
      <c r="M63" s="17" t="n"/>
      <c r="N63" s="17" t="n"/>
      <c r="O63" s="17" t="n"/>
      <c r="P63" s="71">
        <f>SUM(D63:O63)</f>
        <v/>
      </c>
    </row>
    <row r="64">
      <c r="A64" s="45" t="inlineStr">
        <is>
          <t>6203</t>
        </is>
      </c>
      <c r="B64" s="10" t="inlineStr">
        <is>
          <t xml:space="preserve">   Sewa kantor</t>
        </is>
      </c>
      <c r="D64" s="17" t="n">
        <v>550</v>
      </c>
      <c r="E64" s="17" t="n">
        <v>550</v>
      </c>
      <c r="F64" s="17" t="n">
        <v>550</v>
      </c>
      <c r="G64" s="17" t="n">
        <v>550</v>
      </c>
      <c r="H64" s="17" t="n">
        <v>550</v>
      </c>
      <c r="I64" s="17" t="n">
        <v>550</v>
      </c>
      <c r="J64" s="17" t="n">
        <v>550</v>
      </c>
      <c r="K64" s="17" t="n">
        <v>550</v>
      </c>
      <c r="L64" s="17" t="n"/>
      <c r="M64" s="17" t="n"/>
      <c r="N64" s="17" t="n"/>
      <c r="O64" s="17" t="n"/>
      <c r="P64" s="71">
        <f>SUM(D64:O64)</f>
        <v/>
      </c>
    </row>
    <row r="65">
      <c r="A65" s="45" t="inlineStr">
        <is>
          <t>6204</t>
        </is>
      </c>
      <c r="B65" s="10" t="inlineStr">
        <is>
          <t xml:space="preserve">   Perjalanan dinas</t>
        </is>
      </c>
      <c r="D65" s="17" t="n">
        <v>486</v>
      </c>
      <c r="E65" s="17" t="n">
        <v>484</v>
      </c>
      <c r="F65" s="17" t="n">
        <v>510</v>
      </c>
      <c r="G65" s="17" t="n">
        <v>482</v>
      </c>
      <c r="H65" s="17" t="n">
        <v>425</v>
      </c>
      <c r="I65" s="17" t="n">
        <v>438</v>
      </c>
      <c r="J65" s="17" t="n">
        <v>452</v>
      </c>
      <c r="K65" s="17" t="n">
        <v>476</v>
      </c>
      <c r="L65" s="17" t="n"/>
      <c r="M65" s="17" t="n"/>
      <c r="N65" s="17" t="n"/>
      <c r="O65" s="17" t="n"/>
      <c r="P65" s="71">
        <f>SUM(D65:O65)</f>
        <v/>
      </c>
    </row>
    <row r="66">
      <c r="A66" s="45" t="inlineStr">
        <is>
          <t>6205</t>
        </is>
      </c>
      <c r="B66" s="10" t="inlineStr">
        <is>
          <t xml:space="preserve">   Asuransi</t>
        </is>
      </c>
      <c r="D66" s="17" t="n">
        <v>500</v>
      </c>
      <c r="E66" s="17" t="n">
        <v>500</v>
      </c>
      <c r="F66" s="17" t="n">
        <v>500</v>
      </c>
      <c r="G66" s="17" t="n">
        <v>500</v>
      </c>
      <c r="H66" s="17" t="n">
        <v>500</v>
      </c>
      <c r="I66" s="17" t="n">
        <v>500</v>
      </c>
      <c r="J66" s="17" t="n">
        <v>500</v>
      </c>
      <c r="K66" s="17" t="n">
        <v>500</v>
      </c>
      <c r="L66" s="17" t="n"/>
      <c r="M66" s="17" t="n"/>
      <c r="N66" s="17" t="n"/>
      <c r="O66" s="17" t="n"/>
      <c r="P66" s="71">
        <f>SUM(D66:O66)</f>
        <v/>
      </c>
    </row>
    <row r="67">
      <c r="A67" s="45" t="inlineStr">
        <is>
          <t>6206</t>
        </is>
      </c>
      <c r="B67" s="10" t="inlineStr">
        <is>
          <t xml:space="preserve">   Pajak, perizinan &amp; iuran</t>
        </is>
      </c>
      <c r="D67" s="17" t="n">
        <v>342</v>
      </c>
      <c r="E67" s="17" t="n">
        <v>385</v>
      </c>
      <c r="F67" s="17" t="n">
        <v>322</v>
      </c>
      <c r="G67" s="17" t="n">
        <v>354</v>
      </c>
      <c r="H67" s="17" t="n">
        <v>360</v>
      </c>
      <c r="I67" s="17" t="n">
        <v>343</v>
      </c>
      <c r="J67" s="17" t="n">
        <v>366</v>
      </c>
      <c r="K67" s="17" t="n">
        <v>381</v>
      </c>
      <c r="L67" s="17" t="n"/>
      <c r="M67" s="17" t="n"/>
      <c r="N67" s="17" t="n"/>
      <c r="O67" s="17" t="n"/>
      <c r="P67" s="71">
        <f>SUM(D67:O67)</f>
        <v/>
      </c>
    </row>
    <row r="68">
      <c r="A68" s="45" t="inlineStr">
        <is>
          <t>6207</t>
        </is>
      </c>
      <c r="B68" s="10" t="inlineStr">
        <is>
          <t xml:space="preserve">   Teknologi informasi &amp; komunikasi</t>
        </is>
      </c>
      <c r="D68" s="17" t="n">
        <v>445</v>
      </c>
      <c r="E68" s="17" t="n">
        <v>400</v>
      </c>
      <c r="F68" s="17" t="n">
        <v>439</v>
      </c>
      <c r="G68" s="17" t="n">
        <v>451</v>
      </c>
      <c r="H68" s="17" t="n">
        <v>404</v>
      </c>
      <c r="I68" s="17" t="n">
        <v>386</v>
      </c>
      <c r="J68" s="17" t="n">
        <v>362</v>
      </c>
      <c r="K68" s="17" t="n">
        <v>392</v>
      </c>
      <c r="L68" s="17" t="n"/>
      <c r="M68" s="17" t="n"/>
      <c r="N68" s="17" t="n"/>
      <c r="O68" s="17" t="n"/>
      <c r="P68" s="71">
        <f>SUM(D68:O68)</f>
        <v/>
      </c>
    </row>
    <row r="69">
      <c r="A69" s="45" t="inlineStr">
        <is>
          <t>6208</t>
        </is>
      </c>
      <c r="B69" s="10" t="inlineStr">
        <is>
          <t xml:space="preserve">   Penyusutan aset kantor</t>
        </is>
      </c>
      <c r="D69" s="17" t="n">
        <v>300</v>
      </c>
      <c r="E69" s="17" t="n">
        <v>300</v>
      </c>
      <c r="F69" s="17" t="n">
        <v>300</v>
      </c>
      <c r="G69" s="17" t="n">
        <v>300</v>
      </c>
      <c r="H69" s="17" t="n">
        <v>300</v>
      </c>
      <c r="I69" s="17" t="n">
        <v>300</v>
      </c>
      <c r="J69" s="17" t="n">
        <v>300</v>
      </c>
      <c r="K69" s="17" t="n">
        <v>300</v>
      </c>
      <c r="L69" s="17" t="n"/>
      <c r="M69" s="17" t="n"/>
      <c r="N69" s="17" t="n"/>
      <c r="O69" s="17" t="n"/>
      <c r="P69" s="71">
        <f>SUM(D69:O69)</f>
        <v/>
      </c>
    </row>
    <row r="70">
      <c r="A70" s="45" t="inlineStr">
        <is>
          <t>6209</t>
        </is>
      </c>
      <c r="B70" s="10" t="inlineStr">
        <is>
          <t xml:space="preserve">   Beban umum lainnya</t>
        </is>
      </c>
      <c r="D70" s="17" t="n">
        <v>496</v>
      </c>
      <c r="E70" s="17" t="n">
        <v>475</v>
      </c>
      <c r="F70" s="17" t="n">
        <v>481</v>
      </c>
      <c r="G70" s="17" t="n">
        <v>512</v>
      </c>
      <c r="H70" s="17" t="n">
        <v>516</v>
      </c>
      <c r="I70" s="17" t="n">
        <v>458</v>
      </c>
      <c r="J70" s="17" t="n">
        <v>570</v>
      </c>
      <c r="K70" s="17" t="n">
        <v>532</v>
      </c>
      <c r="L70" s="17" t="n"/>
      <c r="M70" s="17" t="n"/>
      <c r="N70" s="17" t="n"/>
      <c r="O70" s="17" t="n"/>
      <c r="P70" s="71">
        <f>SUM(D70:O70)</f>
        <v/>
      </c>
    </row>
    <row r="71">
      <c r="A71" s="45" t="inlineStr"/>
      <c r="B71" s="20" t="inlineStr">
        <is>
          <t xml:space="preserve">   Subtotal beban umum &amp; administrasi</t>
        </is>
      </c>
      <c r="C71" s="23" t="n"/>
      <c r="D71" s="22">
        <f>D62+D63+D64+D65+D66+D67+D68+D69+D70</f>
        <v/>
      </c>
      <c r="E71" s="22">
        <f>E62+E63+E64+E65+E66+E67+E68+E69+E70</f>
        <v/>
      </c>
      <c r="F71" s="22">
        <f>F62+F63+F64+F65+F66+F67+F68+F69+F70</f>
        <v/>
      </c>
      <c r="G71" s="22">
        <f>G62+G63+G64+G65+G66+G67+G68+G69+G70</f>
        <v/>
      </c>
      <c r="H71" s="22">
        <f>H62+H63+H64+H65+H66+H67+H68+H69+H70</f>
        <v/>
      </c>
      <c r="I71" s="22">
        <f>I62+I63+I64+I65+I66+I67+I68+I69+I70</f>
        <v/>
      </c>
      <c r="J71" s="22">
        <f>J62+J63+J64+J65+J66+J67+J68+J69+J70</f>
        <v/>
      </c>
      <c r="K71" s="22">
        <f>K62+K63+K64+K65+K66+K67+K68+K69+K70</f>
        <v/>
      </c>
      <c r="L71" s="22">
        <f>L62+L63+L64+L65+L66+L67+L68+L69+L70</f>
        <v/>
      </c>
      <c r="M71" s="22">
        <f>M62+M63+M64+M65+M66+M67+M68+M69+M70</f>
        <v/>
      </c>
      <c r="N71" s="22">
        <f>N62+N63+N64+N65+N66+N67+N68+N69+N70</f>
        <v/>
      </c>
      <c r="O71" s="22">
        <f>O62+O63+O64+O65+O66+O67+O68+O69+O70</f>
        <v/>
      </c>
      <c r="P71" s="22">
        <f>P62+P63+P64+P65+P66+P67+P68+P69+P70</f>
        <v/>
      </c>
    </row>
    <row r="72">
      <c r="A72" s="82" t="inlineStr"/>
      <c r="B72" s="31" t="inlineStr">
        <is>
          <t>TOTAL BEBAN USAHA</t>
        </is>
      </c>
      <c r="C72" s="32" t="n"/>
      <c r="D72" s="33">
        <f>D60+D71</f>
        <v/>
      </c>
      <c r="E72" s="33">
        <f>E60+E71</f>
        <v/>
      </c>
      <c r="F72" s="33">
        <f>F60+F71</f>
        <v/>
      </c>
      <c r="G72" s="33">
        <f>G60+G71</f>
        <v/>
      </c>
      <c r="H72" s="33">
        <f>H60+H71</f>
        <v/>
      </c>
      <c r="I72" s="33">
        <f>I60+I71</f>
        <v/>
      </c>
      <c r="J72" s="33">
        <f>J60+J71</f>
        <v/>
      </c>
      <c r="K72" s="33">
        <f>K60+K71</f>
        <v/>
      </c>
      <c r="L72" s="33">
        <f>L60+L71</f>
        <v/>
      </c>
      <c r="M72" s="33">
        <f>M60+M71</f>
        <v/>
      </c>
      <c r="N72" s="33">
        <f>N60+N71</f>
        <v/>
      </c>
      <c r="O72" s="33">
        <f>O60+O71</f>
        <v/>
      </c>
      <c r="P72" s="33">
        <f>P60+P71</f>
        <v/>
      </c>
    </row>
    <row r="73">
      <c r="A73" s="82" t="inlineStr"/>
      <c r="B73" s="31" t="inlineStr">
        <is>
          <t>LABA USAHA</t>
        </is>
      </c>
      <c r="C73" s="32" t="n"/>
      <c r="D73" s="33">
        <f>D50-D72</f>
        <v/>
      </c>
      <c r="E73" s="33">
        <f>E50-E72</f>
        <v/>
      </c>
      <c r="F73" s="33">
        <f>F50-F72</f>
        <v/>
      </c>
      <c r="G73" s="33">
        <f>G50-G72</f>
        <v/>
      </c>
      <c r="H73" s="33">
        <f>H50-H72</f>
        <v/>
      </c>
      <c r="I73" s="33">
        <f>I50-I72</f>
        <v/>
      </c>
      <c r="J73" s="33">
        <f>J50-J72</f>
        <v/>
      </c>
      <c r="K73" s="33">
        <f>K50-K72</f>
        <v/>
      </c>
      <c r="L73" s="33">
        <f>L50-L72</f>
        <v/>
      </c>
      <c r="M73" s="33">
        <f>M50-M72</f>
        <v/>
      </c>
      <c r="N73" s="33">
        <f>N50-N72</f>
        <v/>
      </c>
      <c r="O73" s="33">
        <f>O50-O72</f>
        <v/>
      </c>
      <c r="P73" s="33">
        <f>P50-P72</f>
        <v/>
      </c>
    </row>
    <row r="74">
      <c r="A74" s="45" t="inlineStr"/>
      <c r="B74" s="37" t="inlineStr">
        <is>
          <t xml:space="preserve">   Marjin laba usaha</t>
        </is>
      </c>
      <c r="D74" s="29">
        <f>IFERROR(D73/D14,0)</f>
        <v/>
      </c>
      <c r="E74" s="29">
        <f>IFERROR(E73/E14,0)</f>
        <v/>
      </c>
      <c r="F74" s="29">
        <f>IFERROR(F73/F14,0)</f>
        <v/>
      </c>
      <c r="G74" s="29">
        <f>IFERROR(G73/G14,0)</f>
        <v/>
      </c>
      <c r="H74" s="29">
        <f>IFERROR(H73/H14,0)</f>
        <v/>
      </c>
      <c r="I74" s="29">
        <f>IFERROR(I73/I14,0)</f>
        <v/>
      </c>
      <c r="J74" s="29">
        <f>IFERROR(J73/J14,0)</f>
        <v/>
      </c>
      <c r="K74" s="29">
        <f>IFERROR(K73/K14,0)</f>
        <v/>
      </c>
      <c r="L74" s="29">
        <f>IFERROR(L73/L14,0)</f>
        <v/>
      </c>
      <c r="M74" s="29">
        <f>IFERROR(M73/M14,0)</f>
        <v/>
      </c>
      <c r="N74" s="29">
        <f>IFERROR(N73/N14,0)</f>
        <v/>
      </c>
      <c r="O74" s="29">
        <f>IFERROR(O73/O14,0)</f>
        <v/>
      </c>
      <c r="P74" s="29">
        <f>IFERROR(P73/P14,0)</f>
        <v/>
      </c>
    </row>
    <row r="75">
      <c r="A75" s="4" t="inlineStr">
        <is>
          <t>PENDAPATAN (BEBAN) LAIN-LAIN</t>
        </is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</row>
    <row r="76">
      <c r="A76" s="45" t="inlineStr">
        <is>
          <t>7101</t>
        </is>
      </c>
      <c r="B76" s="10" t="inlineStr">
        <is>
          <t xml:space="preserve">   Pendapatan bunga</t>
        </is>
      </c>
      <c r="D76" s="17" t="n">
        <v>150</v>
      </c>
      <c r="E76" s="17" t="n">
        <v>150</v>
      </c>
      <c r="F76" s="17" t="n">
        <v>150</v>
      </c>
      <c r="G76" s="17" t="n">
        <v>150</v>
      </c>
      <c r="H76" s="17" t="n">
        <v>150</v>
      </c>
      <c r="I76" s="17" t="n">
        <v>150</v>
      </c>
      <c r="J76" s="17" t="n">
        <v>150</v>
      </c>
      <c r="K76" s="17" t="n">
        <v>150</v>
      </c>
      <c r="L76" s="17" t="n"/>
      <c r="M76" s="17" t="n"/>
      <c r="N76" s="17" t="n"/>
      <c r="O76" s="17" t="n"/>
      <c r="P76" s="71">
        <f>SUM(D76:O76)</f>
        <v/>
      </c>
    </row>
    <row r="77">
      <c r="A77" s="45" t="inlineStr">
        <is>
          <t>7201</t>
        </is>
      </c>
      <c r="B77" s="10" t="inlineStr">
        <is>
          <t xml:space="preserve">   Beban keuangan (isi negatif)</t>
        </is>
      </c>
      <c r="D77" s="17" t="n">
        <v>-2300</v>
      </c>
      <c r="E77" s="17" t="n">
        <v>-2280</v>
      </c>
      <c r="F77" s="17" t="n">
        <v>-2260</v>
      </c>
      <c r="G77" s="17" t="n">
        <v>-2240</v>
      </c>
      <c r="H77" s="17" t="n">
        <v>-2220</v>
      </c>
      <c r="I77" s="17" t="n">
        <v>-2200</v>
      </c>
      <c r="J77" s="17" t="n">
        <v>-2180</v>
      </c>
      <c r="K77" s="17" t="n">
        <v>-2160</v>
      </c>
      <c r="L77" s="17" t="n"/>
      <c r="M77" s="17" t="n"/>
      <c r="N77" s="17" t="n"/>
      <c r="O77" s="17" t="n"/>
      <c r="P77" s="71">
        <f>SUM(D77:O77)</f>
        <v/>
      </c>
    </row>
    <row r="78">
      <c r="A78" s="45" t="inlineStr">
        <is>
          <t>7301</t>
        </is>
      </c>
      <c r="B78" s="10" t="inlineStr">
        <is>
          <t xml:space="preserve">   Laba (rugi) selisih kurs</t>
        </is>
      </c>
      <c r="D78" s="17" t="n">
        <v>-154</v>
      </c>
      <c r="E78" s="17" t="n">
        <v>365</v>
      </c>
      <c r="F78" s="17" t="n">
        <v>70</v>
      </c>
      <c r="G78" s="17" t="n">
        <v>-147</v>
      </c>
      <c r="H78" s="17" t="n">
        <v>-65</v>
      </c>
      <c r="I78" s="17" t="n">
        <v>-224</v>
      </c>
      <c r="J78" s="17" t="n">
        <v>-524</v>
      </c>
      <c r="K78" s="17" t="n">
        <v>-784</v>
      </c>
      <c r="L78" s="17" t="n"/>
      <c r="M78" s="17" t="n"/>
      <c r="N78" s="17" t="n"/>
      <c r="O78" s="17" t="n"/>
      <c r="P78" s="71">
        <f>SUM(D78:O78)</f>
        <v/>
      </c>
    </row>
    <row r="79">
      <c r="A79" s="45" t="inlineStr">
        <is>
          <t>7401</t>
        </is>
      </c>
      <c r="B79" s="10" t="inlineStr">
        <is>
          <t xml:space="preserve">   Lain-lain – neto</t>
        </is>
      </c>
      <c r="D79" s="17" t="n">
        <v>-164</v>
      </c>
      <c r="E79" s="17" t="n">
        <v>-196</v>
      </c>
      <c r="F79" s="17" t="n">
        <v>101</v>
      </c>
      <c r="G79" s="17" t="n">
        <v>47</v>
      </c>
      <c r="H79" s="17" t="n">
        <v>-90</v>
      </c>
      <c r="I79" s="17" t="n">
        <v>159</v>
      </c>
      <c r="J79" s="17" t="n">
        <v>-178</v>
      </c>
      <c r="K79" s="17" t="n">
        <v>191</v>
      </c>
      <c r="L79" s="17" t="n"/>
      <c r="M79" s="17" t="n"/>
      <c r="N79" s="17" t="n"/>
      <c r="O79" s="17" t="n"/>
      <c r="P79" s="71">
        <f>SUM(D79:O79)</f>
        <v/>
      </c>
    </row>
    <row r="80">
      <c r="A80" s="45" t="inlineStr"/>
      <c r="B80" s="20" t="inlineStr">
        <is>
          <t xml:space="preserve">   Jumlah pendapatan (beban) lain-lain</t>
        </is>
      </c>
      <c r="C80" s="23" t="n"/>
      <c r="D80" s="22">
        <f>D76+D77+D78+D79</f>
        <v/>
      </c>
      <c r="E80" s="22">
        <f>E76+E77+E78+E79</f>
        <v/>
      </c>
      <c r="F80" s="22">
        <f>F76+F77+F78+F79</f>
        <v/>
      </c>
      <c r="G80" s="22">
        <f>G76+G77+G78+G79</f>
        <v/>
      </c>
      <c r="H80" s="22">
        <f>H76+H77+H78+H79</f>
        <v/>
      </c>
      <c r="I80" s="22">
        <f>I76+I77+I78+I79</f>
        <v/>
      </c>
      <c r="J80" s="22">
        <f>J76+J77+J78+J79</f>
        <v/>
      </c>
      <c r="K80" s="22">
        <f>K76+K77+K78+K79</f>
        <v/>
      </c>
      <c r="L80" s="22">
        <f>L76+L77+L78+L79</f>
        <v/>
      </c>
      <c r="M80" s="22">
        <f>M76+M77+M78+M79</f>
        <v/>
      </c>
      <c r="N80" s="22">
        <f>N76+N77+N78+N79</f>
        <v/>
      </c>
      <c r="O80" s="22">
        <f>O76+O77+O78+O79</f>
        <v/>
      </c>
      <c r="P80" s="22">
        <f>P76+P77+P78+P79</f>
        <v/>
      </c>
    </row>
    <row r="81">
      <c r="A81" s="82" t="inlineStr"/>
      <c r="B81" s="31" t="inlineStr">
        <is>
          <t>LABA SEBELUM PAJAK</t>
        </is>
      </c>
      <c r="C81" s="32" t="n"/>
      <c r="D81" s="33">
        <f>D73+D80</f>
        <v/>
      </c>
      <c r="E81" s="33">
        <f>E73+E80</f>
        <v/>
      </c>
      <c r="F81" s="33">
        <f>F73+F80</f>
        <v/>
      </c>
      <c r="G81" s="33">
        <f>G73+G80</f>
        <v/>
      </c>
      <c r="H81" s="33">
        <f>H73+H80</f>
        <v/>
      </c>
      <c r="I81" s="33">
        <f>I73+I80</f>
        <v/>
      </c>
      <c r="J81" s="33">
        <f>J73+J80</f>
        <v/>
      </c>
      <c r="K81" s="33">
        <f>K73+K80</f>
        <v/>
      </c>
      <c r="L81" s="33">
        <f>L73+L80</f>
        <v/>
      </c>
      <c r="M81" s="33">
        <f>M73+M80</f>
        <v/>
      </c>
      <c r="N81" s="33">
        <f>N73+N80</f>
        <v/>
      </c>
      <c r="O81" s="33">
        <f>O73+O80</f>
        <v/>
      </c>
      <c r="P81" s="33">
        <f>P73+P80</f>
        <v/>
      </c>
    </row>
    <row r="82">
      <c r="A82" s="45" t="inlineStr">
        <is>
          <t>8101</t>
        </is>
      </c>
      <c r="B82" s="10" t="inlineStr">
        <is>
          <t xml:space="preserve">   Beban pajak penghasilan</t>
        </is>
      </c>
      <c r="D82" s="17" t="n">
        <v>2627</v>
      </c>
      <c r="E82" s="17" t="n">
        <v>2086</v>
      </c>
      <c r="F82" s="17" t="n">
        <v>1178</v>
      </c>
      <c r="G82" s="17" t="n">
        <v>2709</v>
      </c>
      <c r="H82" s="17" t="n">
        <v>3814</v>
      </c>
      <c r="I82" s="17" t="n">
        <v>3166</v>
      </c>
      <c r="J82" s="17" t="n">
        <v>5185</v>
      </c>
      <c r="K82" s="17" t="n">
        <v>6308</v>
      </c>
      <c r="L82" s="17" t="n"/>
      <c r="M82" s="17" t="n"/>
      <c r="N82" s="17" t="n"/>
      <c r="O82" s="17" t="n"/>
      <c r="P82" s="71">
        <f>SUM(D82:O82)</f>
        <v/>
      </c>
    </row>
    <row r="83">
      <c r="A83" s="82" t="inlineStr"/>
      <c r="B83" s="31" t="inlineStr">
        <is>
          <t>LABA BERSIH</t>
        </is>
      </c>
      <c r="C83" s="32" t="n"/>
      <c r="D83" s="33">
        <f>D81-D82</f>
        <v/>
      </c>
      <c r="E83" s="33">
        <f>E81-E82</f>
        <v/>
      </c>
      <c r="F83" s="33">
        <f>F81-F82</f>
        <v/>
      </c>
      <c r="G83" s="33">
        <f>G81-G82</f>
        <v/>
      </c>
      <c r="H83" s="33">
        <f>H81-H82</f>
        <v/>
      </c>
      <c r="I83" s="33">
        <f>I81-I82</f>
        <v/>
      </c>
      <c r="J83" s="33">
        <f>J81-J82</f>
        <v/>
      </c>
      <c r="K83" s="33">
        <f>K81-K82</f>
        <v/>
      </c>
      <c r="L83" s="33">
        <f>L81-L82</f>
        <v/>
      </c>
      <c r="M83" s="33">
        <f>M81-M82</f>
        <v/>
      </c>
      <c r="N83" s="33">
        <f>N81-N82</f>
        <v/>
      </c>
      <c r="O83" s="33">
        <f>O81-O82</f>
        <v/>
      </c>
      <c r="P83" s="33">
        <f>P81-P82</f>
        <v/>
      </c>
    </row>
    <row r="84">
      <c r="A84" s="45" t="inlineStr"/>
      <c r="B84" s="37" t="inlineStr">
        <is>
          <t xml:space="preserve">   Marjin laba bersih</t>
        </is>
      </c>
      <c r="D84" s="29">
        <f>IFERROR(D83/D14,0)</f>
        <v/>
      </c>
      <c r="E84" s="29">
        <f>IFERROR(E83/E14,0)</f>
        <v/>
      </c>
      <c r="F84" s="29">
        <f>IFERROR(F83/F14,0)</f>
        <v/>
      </c>
      <c r="G84" s="29">
        <f>IFERROR(G83/G14,0)</f>
        <v/>
      </c>
      <c r="H84" s="29">
        <f>IFERROR(H83/H14,0)</f>
        <v/>
      </c>
      <c r="I84" s="29">
        <f>IFERROR(I83/I14,0)</f>
        <v/>
      </c>
      <c r="J84" s="29">
        <f>IFERROR(J83/J14,0)</f>
        <v/>
      </c>
      <c r="K84" s="29">
        <f>IFERROR(K83/K14,0)</f>
        <v/>
      </c>
      <c r="L84" s="29">
        <f>IFERROR(L83/L14,0)</f>
        <v/>
      </c>
      <c r="M84" s="29">
        <f>IFERROR(M83/M14,0)</f>
        <v/>
      </c>
      <c r="N84" s="29">
        <f>IFERROR(N83/N14,0)</f>
        <v/>
      </c>
      <c r="O84" s="29">
        <f>IFERROR(O83/O14,0)</f>
        <v/>
      </c>
      <c r="P84" s="29">
        <f>IFERROR(P83/P14,0)</f>
        <v/>
      </c>
    </row>
    <row r="85">
      <c r="A85" s="4" t="inlineStr">
        <is>
          <t>MEMO</t>
        </is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</row>
    <row r="86">
      <c r="A86" s="45" t="inlineStr"/>
      <c r="B86" s="20" t="inlineStr">
        <is>
          <t xml:space="preserve">   EBITDA (laba usaha + penyusutan &amp; amortisasi)</t>
        </is>
      </c>
      <c r="C86" s="23" t="n"/>
      <c r="D86" s="22">
        <f>D73+D46+D69</f>
        <v/>
      </c>
      <c r="E86" s="22">
        <f>E73+E46+E69</f>
        <v/>
      </c>
      <c r="F86" s="22">
        <f>F73+F46+F69</f>
        <v/>
      </c>
      <c r="G86" s="22">
        <f>G73+G46+G69</f>
        <v/>
      </c>
      <c r="H86" s="22">
        <f>H73+H46+H69</f>
        <v/>
      </c>
      <c r="I86" s="22">
        <f>I73+I46+I69</f>
        <v/>
      </c>
      <c r="J86" s="22">
        <f>J73+J46+J69</f>
        <v/>
      </c>
      <c r="K86" s="22">
        <f>K73+K46+K69</f>
        <v/>
      </c>
      <c r="L86" s="22">
        <f>L73+L46+L69</f>
        <v/>
      </c>
      <c r="M86" s="22">
        <f>M73+M46+M69</f>
        <v/>
      </c>
      <c r="N86" s="22">
        <f>N73+N46+N69</f>
        <v/>
      </c>
      <c r="O86" s="22">
        <f>O73+O46+O69</f>
        <v/>
      </c>
      <c r="P86" s="22">
        <f>P73+P46+P69</f>
        <v/>
      </c>
    </row>
    <row r="87">
      <c r="A87" s="45" t="inlineStr"/>
      <c r="B87" s="37" t="inlineStr">
        <is>
          <t xml:space="preserve">   Marjin EBITDA</t>
        </is>
      </c>
      <c r="D87" s="29">
        <f>IFERROR(D86/D14,0)</f>
        <v/>
      </c>
      <c r="E87" s="29">
        <f>IFERROR(E86/E14,0)</f>
        <v/>
      </c>
      <c r="F87" s="29">
        <f>IFERROR(F86/F14,0)</f>
        <v/>
      </c>
      <c r="G87" s="29">
        <f>IFERROR(G86/G14,0)</f>
        <v/>
      </c>
      <c r="H87" s="29">
        <f>IFERROR(H86/H14,0)</f>
        <v/>
      </c>
      <c r="I87" s="29">
        <f>IFERROR(I86/I14,0)</f>
        <v/>
      </c>
      <c r="J87" s="29">
        <f>IFERROR(J86/J14,0)</f>
        <v/>
      </c>
      <c r="K87" s="29">
        <f>IFERROR(K86/K14,0)</f>
        <v/>
      </c>
      <c r="L87" s="29">
        <f>IFERROR(L86/L14,0)</f>
        <v/>
      </c>
      <c r="M87" s="29">
        <f>IFERROR(M86/M14,0)</f>
        <v/>
      </c>
      <c r="N87" s="29">
        <f>IFERROR(N86/N14,0)</f>
        <v/>
      </c>
      <c r="O87" s="29">
        <f>IFERROR(O86/O14,0)</f>
        <v/>
      </c>
      <c r="P87" s="29">
        <f>IFERROR(P86/P14,0)</f>
        <v/>
      </c>
    </row>
  </sheetData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4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GEG – Neraca (Laporan Posisi Keuangan) Aktual Akhir Bulan (Rp juta)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Kolom C = saldo awal (31 Des tahun lalu, sesuai LK audit). Isi saldo akhir bulan dari neraca saldo (trial balance).</t>
        </is>
      </c>
    </row>
    <row r="5">
      <c r="C5" s="80" t="n">
        <v>0</v>
      </c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>
        <is>
          <t>Kode akun</t>
        </is>
      </c>
      <c r="B6" s="16" t="inlineStr">
        <is>
          <t>Uraian</t>
        </is>
      </c>
      <c r="C6" s="16" t="inlineStr">
        <is>
          <t>Saldo awal</t>
        </is>
      </c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</row>
    <row r="7">
      <c r="A7" s="4" t="inlineStr">
        <is>
          <t>ASET LANCAR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</row>
    <row r="8">
      <c r="A8" s="45" t="inlineStr">
        <is>
          <t>1101</t>
        </is>
      </c>
      <c r="B8" s="10" t="inlineStr">
        <is>
          <t xml:space="preserve">   Kas dan setara kas</t>
        </is>
      </c>
      <c r="C8" s="17" t="n">
        <v>150000</v>
      </c>
      <c r="D8" s="17" t="n">
        <v>168678</v>
      </c>
      <c r="E8" s="17" t="n">
        <v>150721</v>
      </c>
      <c r="F8" s="17" t="n">
        <v>146897</v>
      </c>
      <c r="G8" s="17" t="n">
        <v>131438</v>
      </c>
      <c r="H8" s="17" t="n">
        <v>116725</v>
      </c>
      <c r="I8" s="17" t="n">
        <v>70201</v>
      </c>
      <c r="J8" s="17" t="n">
        <v>64604</v>
      </c>
      <c r="K8" s="17" t="n">
        <v>53653</v>
      </c>
      <c r="L8" s="17" t="n"/>
      <c r="M8" s="17" t="n"/>
      <c r="N8" s="17" t="n"/>
      <c r="O8" s="17" t="n"/>
    </row>
    <row r="9">
      <c r="A9" s="45" t="inlineStr">
        <is>
          <t>1201</t>
        </is>
      </c>
      <c r="B9" s="10" t="inlineStr">
        <is>
          <t xml:space="preserve">   Piutang usaha</t>
        </is>
      </c>
      <c r="C9" s="17" t="n">
        <v>330000</v>
      </c>
      <c r="D9" s="17" t="n">
        <v>254200</v>
      </c>
      <c r="E9" s="17" t="n">
        <v>281830</v>
      </c>
      <c r="F9" s="17" t="n">
        <v>272637</v>
      </c>
      <c r="G9" s="17" t="n">
        <v>330616</v>
      </c>
      <c r="H9" s="17" t="n">
        <v>313750</v>
      </c>
      <c r="I9" s="17" t="n">
        <v>300974</v>
      </c>
      <c r="J9" s="17" t="n">
        <v>346368</v>
      </c>
      <c r="K9" s="17" t="n">
        <v>361227</v>
      </c>
      <c r="L9" s="17" t="n"/>
      <c r="M9" s="17" t="n"/>
      <c r="N9" s="17" t="n"/>
      <c r="O9" s="17" t="n"/>
    </row>
    <row r="10">
      <c r="A10" s="45" t="inlineStr">
        <is>
          <t>1202</t>
        </is>
      </c>
      <c r="B10" s="10" t="inlineStr">
        <is>
          <t xml:space="preserve">   Piutang lain-lain</t>
        </is>
      </c>
      <c r="C10" s="17" t="n">
        <v>8000</v>
      </c>
      <c r="D10" s="17" t="n">
        <v>8027</v>
      </c>
      <c r="E10" s="17" t="n">
        <v>7593</v>
      </c>
      <c r="F10" s="17" t="n">
        <v>8349</v>
      </c>
      <c r="G10" s="17" t="n">
        <v>8333</v>
      </c>
      <c r="H10" s="17" t="n">
        <v>8636</v>
      </c>
      <c r="I10" s="17" t="n">
        <v>8838</v>
      </c>
      <c r="J10" s="17" t="n">
        <v>9293</v>
      </c>
      <c r="K10" s="17" t="n">
        <v>9287</v>
      </c>
      <c r="L10" s="17" t="n"/>
      <c r="M10" s="17" t="n"/>
      <c r="N10" s="17" t="n"/>
      <c r="O10" s="17" t="n"/>
    </row>
    <row r="11">
      <c r="A11" s="45" t="inlineStr">
        <is>
          <t>1301</t>
        </is>
      </c>
      <c r="B11" s="10" t="inlineStr">
        <is>
          <t xml:space="preserve">   Persediaan batubara</t>
        </is>
      </c>
      <c r="C11" s="17" t="n">
        <v>108000</v>
      </c>
      <c r="D11" s="17" t="n">
        <v>117402</v>
      </c>
      <c r="E11" s="17" t="n">
        <v>119823</v>
      </c>
      <c r="F11" s="17" t="n">
        <v>122975</v>
      </c>
      <c r="G11" s="17" t="n">
        <v>122767</v>
      </c>
      <c r="H11" s="17" t="n">
        <v>125520</v>
      </c>
      <c r="I11" s="17" t="n">
        <v>126998</v>
      </c>
      <c r="J11" s="17" t="n">
        <v>134248</v>
      </c>
      <c r="K11" s="17" t="n">
        <v>138386</v>
      </c>
      <c r="L11" s="17" t="n"/>
      <c r="M11" s="17" t="n"/>
      <c r="N11" s="17" t="n"/>
      <c r="O11" s="17" t="n"/>
    </row>
    <row r="12">
      <c r="A12" s="45" t="inlineStr">
        <is>
          <t>1302</t>
        </is>
      </c>
      <c r="B12" s="10" t="inlineStr">
        <is>
          <t xml:space="preserve">   Persediaan suku cadang &amp; BBM</t>
        </is>
      </c>
      <c r="C12" s="17" t="n">
        <v>25000</v>
      </c>
      <c r="D12" s="17" t="n">
        <v>25059</v>
      </c>
      <c r="E12" s="17" t="n">
        <v>24502</v>
      </c>
      <c r="F12" s="17" t="n">
        <v>23356</v>
      </c>
      <c r="G12" s="17" t="n">
        <v>24030</v>
      </c>
      <c r="H12" s="17" t="n">
        <v>22897</v>
      </c>
      <c r="I12" s="17" t="n">
        <v>22214</v>
      </c>
      <c r="J12" s="17" t="n">
        <v>23124</v>
      </c>
      <c r="K12" s="17" t="n">
        <v>24418</v>
      </c>
      <c r="L12" s="17" t="n"/>
      <c r="M12" s="17" t="n"/>
      <c r="N12" s="17" t="n"/>
      <c r="O12" s="17" t="n"/>
    </row>
    <row r="13">
      <c r="A13" s="45" t="inlineStr">
        <is>
          <t>1401</t>
        </is>
      </c>
      <c r="B13" s="10" t="inlineStr">
        <is>
          <t xml:space="preserve">   Uang muka &amp; biaya dibayar dimuka</t>
        </is>
      </c>
      <c r="C13" s="17" t="n">
        <v>12000</v>
      </c>
      <c r="D13" s="17" t="n">
        <v>11409</v>
      </c>
      <c r="E13" s="17" t="n">
        <v>10917</v>
      </c>
      <c r="F13" s="17" t="n">
        <v>10431</v>
      </c>
      <c r="G13" s="17" t="n">
        <v>10832</v>
      </c>
      <c r="H13" s="17" t="n">
        <v>11753</v>
      </c>
      <c r="I13" s="17" t="n">
        <v>11616</v>
      </c>
      <c r="J13" s="17" t="n">
        <v>11059</v>
      </c>
      <c r="K13" s="17" t="n">
        <v>10494</v>
      </c>
      <c r="L13" s="17" t="n"/>
      <c r="M13" s="17" t="n"/>
      <c r="N13" s="17" t="n"/>
      <c r="O13" s="17" t="n"/>
    </row>
    <row r="14">
      <c r="A14" s="45" t="inlineStr">
        <is>
          <t>1402</t>
        </is>
      </c>
      <c r="B14" s="10" t="inlineStr">
        <is>
          <t xml:space="preserve">   Pajak dibayar dimuka</t>
        </is>
      </c>
      <c r="C14" s="17" t="n">
        <v>20000</v>
      </c>
      <c r="D14" s="17" t="n">
        <v>21000</v>
      </c>
      <c r="E14" s="17" t="n">
        <v>22000</v>
      </c>
      <c r="F14" s="17" t="n">
        <v>23000</v>
      </c>
      <c r="G14" s="17" t="n">
        <v>24000</v>
      </c>
      <c r="H14" s="17" t="n">
        <v>25000</v>
      </c>
      <c r="I14" s="17" t="n">
        <v>26000</v>
      </c>
      <c r="J14" s="17" t="n">
        <v>27000</v>
      </c>
      <c r="K14" s="17" t="n">
        <v>28000</v>
      </c>
      <c r="L14" s="17" t="n"/>
      <c r="M14" s="17" t="n"/>
      <c r="N14" s="17" t="n"/>
      <c r="O14" s="17" t="n"/>
    </row>
    <row r="15">
      <c r="A15" s="45" t="inlineStr"/>
      <c r="B15" s="46" t="inlineStr">
        <is>
          <t xml:space="preserve">   Jumlah aset lancar</t>
        </is>
      </c>
      <c r="C15" s="71">
        <f>C8+C9+C10+C11+C12+C13+C14</f>
        <v/>
      </c>
      <c r="D15" s="71">
        <f>D8+D9+D10+D11+D12+D13+D14</f>
        <v/>
      </c>
      <c r="E15" s="71">
        <f>E8+E9+E10+E11+E12+E13+E14</f>
        <v/>
      </c>
      <c r="F15" s="71">
        <f>F8+F9+F10+F11+F12+F13+F14</f>
        <v/>
      </c>
      <c r="G15" s="71">
        <f>G8+G9+G10+G11+G12+G13+G14</f>
        <v/>
      </c>
      <c r="H15" s="71">
        <f>H8+H9+H10+H11+H12+H13+H14</f>
        <v/>
      </c>
      <c r="I15" s="71">
        <f>I8+I9+I10+I11+I12+I13+I14</f>
        <v/>
      </c>
      <c r="J15" s="71">
        <f>J8+J9+J10+J11+J12+J13+J14</f>
        <v/>
      </c>
      <c r="K15" s="71">
        <f>K8+K9+K10+K11+K12+K13+K14</f>
        <v/>
      </c>
      <c r="L15" s="71">
        <f>L8+L9+L10+L11+L12+L13+L14</f>
        <v/>
      </c>
      <c r="M15" s="71">
        <f>M8+M9+M10+M11+M12+M13+M14</f>
        <v/>
      </c>
      <c r="N15" s="71">
        <f>N8+N9+N10+N11+N12+N13+N14</f>
        <v/>
      </c>
      <c r="O15" s="71">
        <f>O8+O9+O10+O11+O12+O13+O14</f>
        <v/>
      </c>
    </row>
    <row r="16">
      <c r="A16" s="4" t="inlineStr">
        <is>
          <t>ASET TIDAK LANCAR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>
      <c r="A17" s="45" t="inlineStr">
        <is>
          <t>1501</t>
        </is>
      </c>
      <c r="B17" s="10" t="inlineStr">
        <is>
          <t xml:space="preserve">   Aset tetap – neto</t>
        </is>
      </c>
      <c r="C17" s="17" t="n">
        <v>900000</v>
      </c>
      <c r="D17" s="17" t="n">
        <v>907200</v>
      </c>
      <c r="E17" s="17" t="n">
        <v>914400</v>
      </c>
      <c r="F17" s="17" t="n">
        <v>921600</v>
      </c>
      <c r="G17" s="17" t="n">
        <v>928800</v>
      </c>
      <c r="H17" s="17" t="n">
        <v>936000</v>
      </c>
      <c r="I17" s="17" t="n">
        <v>943200</v>
      </c>
      <c r="J17" s="17" t="n">
        <v>950400</v>
      </c>
      <c r="K17" s="17" t="n">
        <v>957600</v>
      </c>
      <c r="L17" s="17" t="n"/>
      <c r="M17" s="17" t="n"/>
      <c r="N17" s="17" t="n"/>
      <c r="O17" s="17" t="n"/>
    </row>
    <row r="18">
      <c r="A18" s="45" t="inlineStr">
        <is>
          <t>1502</t>
        </is>
      </c>
      <c r="B18" s="10" t="inlineStr">
        <is>
          <t xml:space="preserve">   Properti pertambangan – neto</t>
        </is>
      </c>
      <c r="C18" s="17" t="n">
        <v>350000</v>
      </c>
      <c r="D18" s="17" t="n">
        <v>351684</v>
      </c>
      <c r="E18" s="17" t="n">
        <v>353130</v>
      </c>
      <c r="F18" s="17" t="n">
        <v>354612</v>
      </c>
      <c r="G18" s="17" t="n">
        <v>355542</v>
      </c>
      <c r="H18" s="17" t="n">
        <v>356689</v>
      </c>
      <c r="I18" s="17" t="n">
        <v>357819</v>
      </c>
      <c r="J18" s="17" t="n">
        <v>358530</v>
      </c>
      <c r="K18" s="17" t="n">
        <v>359132</v>
      </c>
      <c r="L18" s="17" t="n"/>
      <c r="M18" s="17" t="n"/>
      <c r="N18" s="17" t="n"/>
      <c r="O18" s="17" t="n"/>
    </row>
    <row r="19">
      <c r="A19" s="45" t="inlineStr">
        <is>
          <t>1503</t>
        </is>
      </c>
      <c r="B19" s="10" t="inlineStr">
        <is>
          <t xml:space="preserve">   Aset eksplorasi &amp; evaluasi</t>
        </is>
      </c>
      <c r="C19" s="17" t="n">
        <v>20000</v>
      </c>
      <c r="D19" s="17" t="n">
        <v>20500</v>
      </c>
      <c r="E19" s="17" t="n">
        <v>21000</v>
      </c>
      <c r="F19" s="17" t="n">
        <v>21500</v>
      </c>
      <c r="G19" s="17" t="n">
        <v>22000</v>
      </c>
      <c r="H19" s="17" t="n">
        <v>22500</v>
      </c>
      <c r="I19" s="17" t="n">
        <v>23000</v>
      </c>
      <c r="J19" s="17" t="n">
        <v>23500</v>
      </c>
      <c r="K19" s="17" t="n">
        <v>24000</v>
      </c>
      <c r="L19" s="17" t="n"/>
      <c r="M19" s="17" t="n"/>
      <c r="N19" s="17" t="n"/>
      <c r="O19" s="17" t="n"/>
    </row>
    <row r="20">
      <c r="A20" s="45" t="inlineStr">
        <is>
          <t>1504</t>
        </is>
      </c>
      <c r="B20" s="10" t="inlineStr">
        <is>
          <t xml:space="preserve">   Biaya pengupasan tangguhan – neto</t>
        </is>
      </c>
      <c r="C20" s="17" t="n">
        <v>90000</v>
      </c>
      <c r="D20" s="17" t="n">
        <v>91456</v>
      </c>
      <c r="E20" s="17" t="n">
        <v>92753</v>
      </c>
      <c r="F20" s="17" t="n">
        <v>94074</v>
      </c>
      <c r="G20" s="17" t="n">
        <v>95027</v>
      </c>
      <c r="H20" s="17" t="n">
        <v>96125</v>
      </c>
      <c r="I20" s="17" t="n">
        <v>97211</v>
      </c>
      <c r="J20" s="17" t="n">
        <v>98019</v>
      </c>
      <c r="K20" s="17" t="n">
        <v>98754</v>
      </c>
      <c r="L20" s="17" t="n"/>
      <c r="M20" s="17" t="n"/>
      <c r="N20" s="17" t="n"/>
      <c r="O20" s="17" t="n"/>
    </row>
    <row r="21">
      <c r="A21" s="45" t="inlineStr">
        <is>
          <t>1601</t>
        </is>
      </c>
      <c r="B21" s="10" t="inlineStr">
        <is>
          <t xml:space="preserve">   Dana jaminan reklamasi</t>
        </is>
      </c>
      <c r="C21" s="17" t="n">
        <v>25000</v>
      </c>
      <c r="D21" s="17" t="n">
        <v>25500</v>
      </c>
      <c r="E21" s="17" t="n">
        <v>26000</v>
      </c>
      <c r="F21" s="17" t="n">
        <v>26500</v>
      </c>
      <c r="G21" s="17" t="n">
        <v>27000</v>
      </c>
      <c r="H21" s="17" t="n">
        <v>27500</v>
      </c>
      <c r="I21" s="17" t="n">
        <v>28000</v>
      </c>
      <c r="J21" s="17" t="n">
        <v>28500</v>
      </c>
      <c r="K21" s="17" t="n">
        <v>29000</v>
      </c>
      <c r="L21" s="17" t="n"/>
      <c r="M21" s="17" t="n"/>
      <c r="N21" s="17" t="n"/>
      <c r="O21" s="17" t="n"/>
    </row>
    <row r="22">
      <c r="A22" s="45" t="inlineStr">
        <is>
          <t>1701</t>
        </is>
      </c>
      <c r="B22" s="10" t="inlineStr">
        <is>
          <t xml:space="preserve">   Aset pajak tangguhan</t>
        </is>
      </c>
      <c r="C22" s="17" t="n">
        <v>8000</v>
      </c>
      <c r="D22" s="17" t="n">
        <v>8000</v>
      </c>
      <c r="E22" s="17" t="n">
        <v>8000</v>
      </c>
      <c r="F22" s="17" t="n">
        <v>8000</v>
      </c>
      <c r="G22" s="17" t="n">
        <v>8000</v>
      </c>
      <c r="H22" s="17" t="n">
        <v>8000</v>
      </c>
      <c r="I22" s="17" t="n">
        <v>8000</v>
      </c>
      <c r="J22" s="17" t="n">
        <v>8000</v>
      </c>
      <c r="K22" s="17" t="n">
        <v>8000</v>
      </c>
      <c r="L22" s="17" t="n"/>
      <c r="M22" s="17" t="n"/>
      <c r="N22" s="17" t="n"/>
      <c r="O22" s="17" t="n"/>
    </row>
    <row r="23">
      <c r="A23" s="45" t="inlineStr">
        <is>
          <t>1801</t>
        </is>
      </c>
      <c r="B23" s="10" t="inlineStr">
        <is>
          <t xml:space="preserve">   Aset tidak lancar lainnya</t>
        </is>
      </c>
      <c r="C23" s="17" t="n">
        <v>6000</v>
      </c>
      <c r="D23" s="17" t="n">
        <v>6000</v>
      </c>
      <c r="E23" s="17" t="n">
        <v>6000</v>
      </c>
      <c r="F23" s="17" t="n">
        <v>6000</v>
      </c>
      <c r="G23" s="17" t="n">
        <v>6000</v>
      </c>
      <c r="H23" s="17" t="n">
        <v>6000</v>
      </c>
      <c r="I23" s="17" t="n">
        <v>6000</v>
      </c>
      <c r="J23" s="17" t="n">
        <v>6000</v>
      </c>
      <c r="K23" s="17" t="n">
        <v>6000</v>
      </c>
      <c r="L23" s="17" t="n"/>
      <c r="M23" s="17" t="n"/>
      <c r="N23" s="17" t="n"/>
      <c r="O23" s="17" t="n"/>
    </row>
    <row r="24">
      <c r="A24" s="45" t="inlineStr"/>
      <c r="B24" s="46" t="inlineStr">
        <is>
          <t xml:space="preserve">   Jumlah aset tidak lancar</t>
        </is>
      </c>
      <c r="C24" s="71">
        <f>C17+C18+C19+C20+C21+C22+C23</f>
        <v/>
      </c>
      <c r="D24" s="71">
        <f>D17+D18+D19+D20+D21+D22+D23</f>
        <v/>
      </c>
      <c r="E24" s="71">
        <f>E17+E18+E19+E20+E21+E22+E23</f>
        <v/>
      </c>
      <c r="F24" s="71">
        <f>F17+F18+F19+F20+F21+F22+F23</f>
        <v/>
      </c>
      <c r="G24" s="71">
        <f>G17+G18+G19+G20+G21+G22+G23</f>
        <v/>
      </c>
      <c r="H24" s="71">
        <f>H17+H18+H19+H20+H21+H22+H23</f>
        <v/>
      </c>
      <c r="I24" s="71">
        <f>I17+I18+I19+I20+I21+I22+I23</f>
        <v/>
      </c>
      <c r="J24" s="71">
        <f>J17+J18+J19+J20+J21+J22+J23</f>
        <v/>
      </c>
      <c r="K24" s="71">
        <f>K17+K18+K19+K20+K21+K22+K23</f>
        <v/>
      </c>
      <c r="L24" s="71">
        <f>L17+L18+L19+L20+L21+L22+L23</f>
        <v/>
      </c>
      <c r="M24" s="71">
        <f>M17+M18+M19+M20+M21+M22+M23</f>
        <v/>
      </c>
      <c r="N24" s="71">
        <f>N17+N18+N19+N20+N21+N22+N23</f>
        <v/>
      </c>
      <c r="O24" s="71">
        <f>O17+O18+O19+O20+O21+O22+O23</f>
        <v/>
      </c>
    </row>
    <row r="25">
      <c r="A25" s="82" t="inlineStr"/>
      <c r="B25" s="31" t="inlineStr">
        <is>
          <t>JUMLAH ASET</t>
        </is>
      </c>
      <c r="C25" s="33">
        <f>C15+C24</f>
        <v/>
      </c>
      <c r="D25" s="33">
        <f>D15+D24</f>
        <v/>
      </c>
      <c r="E25" s="33">
        <f>E15+E24</f>
        <v/>
      </c>
      <c r="F25" s="33">
        <f>F15+F24</f>
        <v/>
      </c>
      <c r="G25" s="33">
        <f>G15+G24</f>
        <v/>
      </c>
      <c r="H25" s="33">
        <f>H15+H24</f>
        <v/>
      </c>
      <c r="I25" s="33">
        <f>I15+I24</f>
        <v/>
      </c>
      <c r="J25" s="33">
        <f>J15+J24</f>
        <v/>
      </c>
      <c r="K25" s="33">
        <f>K15+K24</f>
        <v/>
      </c>
      <c r="L25" s="33">
        <f>L15+L24</f>
        <v/>
      </c>
      <c r="M25" s="33">
        <f>M15+M24</f>
        <v/>
      </c>
      <c r="N25" s="33">
        <f>N15+N24</f>
        <v/>
      </c>
      <c r="O25" s="33">
        <f>O15+O24</f>
        <v/>
      </c>
    </row>
    <row r="26">
      <c r="A26" s="4" t="inlineStr">
        <is>
          <t>LIABILITAS JANGKA PENDEK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45" t="inlineStr">
        <is>
          <t>2101</t>
        </is>
      </c>
      <c r="B27" s="10" t="inlineStr">
        <is>
          <t xml:space="preserve">   Utang usaha (kontraktor &amp; pemasok)</t>
        </is>
      </c>
      <c r="C27" s="17" t="n">
        <v>290000</v>
      </c>
      <c r="D27" s="17" t="n">
        <v>262218</v>
      </c>
      <c r="E27" s="17" t="n">
        <v>287096</v>
      </c>
      <c r="F27" s="17" t="n">
        <v>286806</v>
      </c>
      <c r="G27" s="17" t="n">
        <v>334430</v>
      </c>
      <c r="H27" s="17" t="n">
        <v>309832</v>
      </c>
      <c r="I27" s="17" t="n">
        <v>297964</v>
      </c>
      <c r="J27" s="17" t="n">
        <v>343384</v>
      </c>
      <c r="K27" s="17" t="n">
        <v>346372</v>
      </c>
      <c r="L27" s="17" t="n"/>
      <c r="M27" s="17" t="n"/>
      <c r="N27" s="17" t="n"/>
      <c r="O27" s="17" t="n"/>
    </row>
    <row r="28">
      <c r="A28" s="45" t="inlineStr">
        <is>
          <t>2102</t>
        </is>
      </c>
      <c r="B28" s="10" t="inlineStr">
        <is>
          <t xml:space="preserve">   Utang royalti</t>
        </is>
      </c>
      <c r="C28" s="17" t="n">
        <v>11000</v>
      </c>
      <c r="D28" s="17" t="n">
        <v>8437</v>
      </c>
      <c r="E28" s="17" t="n">
        <v>9349</v>
      </c>
      <c r="F28" s="17" t="n">
        <v>9041</v>
      </c>
      <c r="G28" s="17" t="n">
        <v>10983</v>
      </c>
      <c r="H28" s="17" t="n">
        <v>10414</v>
      </c>
      <c r="I28" s="17" t="n">
        <v>9989</v>
      </c>
      <c r="J28" s="17" t="n">
        <v>11500</v>
      </c>
      <c r="K28" s="17" t="n">
        <v>11996</v>
      </c>
      <c r="L28" s="17" t="n"/>
      <c r="M28" s="17" t="n"/>
      <c r="N28" s="17" t="n"/>
      <c r="O28" s="17" t="n"/>
    </row>
    <row r="29">
      <c r="A29" s="45" t="inlineStr">
        <is>
          <t>2201</t>
        </is>
      </c>
      <c r="B29" s="10" t="inlineStr">
        <is>
          <t xml:space="preserve">   Beban akrual</t>
        </is>
      </c>
      <c r="C29" s="17" t="n">
        <v>25000</v>
      </c>
      <c r="D29" s="17" t="n">
        <v>26910</v>
      </c>
      <c r="E29" s="17" t="n">
        <v>23091</v>
      </c>
      <c r="F29" s="17" t="n">
        <v>27972</v>
      </c>
      <c r="G29" s="17" t="n">
        <v>27738</v>
      </c>
      <c r="H29" s="17" t="n">
        <v>27111</v>
      </c>
      <c r="I29" s="17" t="n">
        <v>27916</v>
      </c>
      <c r="J29" s="17" t="n">
        <v>25063</v>
      </c>
      <c r="K29" s="17" t="n">
        <v>23247</v>
      </c>
      <c r="L29" s="17" t="n"/>
      <c r="M29" s="17" t="n"/>
      <c r="N29" s="17" t="n"/>
      <c r="O29" s="17" t="n"/>
    </row>
    <row r="30">
      <c r="A30" s="45" t="inlineStr">
        <is>
          <t>2301</t>
        </is>
      </c>
      <c r="B30" s="10" t="inlineStr">
        <is>
          <t xml:space="preserve">   Utang pajak</t>
        </is>
      </c>
      <c r="C30" s="17" t="n">
        <v>18000</v>
      </c>
      <c r="D30" s="17" t="n">
        <v>7627</v>
      </c>
      <c r="E30" s="17" t="n">
        <v>7086</v>
      </c>
      <c r="F30" s="17" t="n">
        <v>6178</v>
      </c>
      <c r="G30" s="17" t="n">
        <v>7709</v>
      </c>
      <c r="H30" s="17" t="n">
        <v>8814</v>
      </c>
      <c r="I30" s="17" t="n">
        <v>8166</v>
      </c>
      <c r="J30" s="17" t="n">
        <v>10185</v>
      </c>
      <c r="K30" s="17" t="n">
        <v>11308</v>
      </c>
      <c r="L30" s="17" t="n"/>
      <c r="M30" s="17" t="n"/>
      <c r="N30" s="17" t="n"/>
      <c r="O30" s="17" t="n"/>
    </row>
    <row r="31">
      <c r="A31" s="45" t="inlineStr">
        <is>
          <t>2401</t>
        </is>
      </c>
      <c r="B31" s="10" t="inlineStr">
        <is>
          <t xml:space="preserve">   Pinjaman bank jangka pendek</t>
        </is>
      </c>
      <c r="C31" s="17" t="n">
        <v>60000</v>
      </c>
      <c r="D31" s="17" t="n">
        <v>60000</v>
      </c>
      <c r="E31" s="17" t="n">
        <v>60000</v>
      </c>
      <c r="F31" s="17" t="n">
        <v>60000</v>
      </c>
      <c r="G31" s="17" t="n">
        <v>60000</v>
      </c>
      <c r="H31" s="17" t="n">
        <v>60000</v>
      </c>
      <c r="I31" s="17" t="n">
        <v>60000</v>
      </c>
      <c r="J31" s="17" t="n">
        <v>60000</v>
      </c>
      <c r="K31" s="17" t="n">
        <v>60000</v>
      </c>
      <c r="L31" s="17" t="n"/>
      <c r="M31" s="17" t="n"/>
      <c r="N31" s="17" t="n"/>
      <c r="O31" s="17" t="n"/>
    </row>
    <row r="32">
      <c r="A32" s="45" t="inlineStr">
        <is>
          <t>2402</t>
        </is>
      </c>
      <c r="B32" s="10" t="inlineStr">
        <is>
          <t xml:space="preserve">   Bagian lancar pinjaman jangka panjang</t>
        </is>
      </c>
      <c r="C32" s="17" t="n">
        <v>90000</v>
      </c>
      <c r="D32" s="17" t="n">
        <v>90000</v>
      </c>
      <c r="E32" s="17" t="n">
        <v>90000</v>
      </c>
      <c r="F32" s="17" t="n">
        <v>90000</v>
      </c>
      <c r="G32" s="17" t="n">
        <v>90000</v>
      </c>
      <c r="H32" s="17" t="n">
        <v>90000</v>
      </c>
      <c r="I32" s="17" t="n">
        <v>90000</v>
      </c>
      <c r="J32" s="17" t="n">
        <v>90000</v>
      </c>
      <c r="K32" s="17" t="n">
        <v>90000</v>
      </c>
      <c r="L32" s="17" t="n"/>
      <c r="M32" s="17" t="n"/>
      <c r="N32" s="17" t="n"/>
      <c r="O32" s="17" t="n"/>
    </row>
    <row r="33">
      <c r="A33" s="45" t="inlineStr"/>
      <c r="B33" s="46" t="inlineStr">
        <is>
          <t xml:space="preserve">   Jumlah liabilitas jangka pendek</t>
        </is>
      </c>
      <c r="C33" s="71">
        <f>C27+C28+C29+C30+C31+C32</f>
        <v/>
      </c>
      <c r="D33" s="71">
        <f>D27+D28+D29+D30+D31+D32</f>
        <v/>
      </c>
      <c r="E33" s="71">
        <f>E27+E28+E29+E30+E31+E32</f>
        <v/>
      </c>
      <c r="F33" s="71">
        <f>F27+F28+F29+F30+F31+F32</f>
        <v/>
      </c>
      <c r="G33" s="71">
        <f>G27+G28+G29+G30+G31+G32</f>
        <v/>
      </c>
      <c r="H33" s="71">
        <f>H27+H28+H29+H30+H31+H32</f>
        <v/>
      </c>
      <c r="I33" s="71">
        <f>I27+I28+I29+I30+I31+I32</f>
        <v/>
      </c>
      <c r="J33" s="71">
        <f>J27+J28+J29+J30+J31+J32</f>
        <v/>
      </c>
      <c r="K33" s="71">
        <f>K27+K28+K29+K30+K31+K32</f>
        <v/>
      </c>
      <c r="L33" s="71">
        <f>L27+L28+L29+L30+L31+L32</f>
        <v/>
      </c>
      <c r="M33" s="71">
        <f>M27+M28+M29+M30+M31+M32</f>
        <v/>
      </c>
      <c r="N33" s="71">
        <f>N27+N28+N29+N30+N31+N32</f>
        <v/>
      </c>
      <c r="O33" s="71">
        <f>O27+O28+O29+O30+O31+O32</f>
        <v/>
      </c>
    </row>
    <row r="34">
      <c r="A34" s="4" t="inlineStr">
        <is>
          <t>LIABILITAS JANGKA PANJANG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  <row r="35">
      <c r="A35" s="45" t="inlineStr">
        <is>
          <t>2501</t>
        </is>
      </c>
      <c r="B35" s="10" t="inlineStr">
        <is>
          <t xml:space="preserve">   Pinjaman bank jangka panjang</t>
        </is>
      </c>
      <c r="C35" s="17" t="n">
        <v>450000</v>
      </c>
      <c r="D35" s="17" t="n">
        <v>442500</v>
      </c>
      <c r="E35" s="17" t="n">
        <v>435000</v>
      </c>
      <c r="F35" s="17" t="n">
        <v>427500</v>
      </c>
      <c r="G35" s="17" t="n">
        <v>420000</v>
      </c>
      <c r="H35" s="17" t="n">
        <v>412500</v>
      </c>
      <c r="I35" s="17" t="n">
        <v>405000</v>
      </c>
      <c r="J35" s="17" t="n">
        <v>397500</v>
      </c>
      <c r="K35" s="17" t="n">
        <v>390000</v>
      </c>
      <c r="L35" s="17" t="n"/>
      <c r="M35" s="17" t="n"/>
      <c r="N35" s="17" t="n"/>
      <c r="O35" s="17" t="n"/>
    </row>
    <row r="36">
      <c r="A36" s="45" t="inlineStr">
        <is>
          <t>2601</t>
        </is>
      </c>
      <c r="B36" s="10" t="inlineStr">
        <is>
          <t xml:space="preserve">   Provisi reklamasi &amp; penutupan tambang</t>
        </is>
      </c>
      <c r="C36" s="17" t="n">
        <v>70000</v>
      </c>
      <c r="D36" s="17" t="n">
        <v>70858</v>
      </c>
      <c r="E36" s="17" t="n">
        <v>71835</v>
      </c>
      <c r="F36" s="17" t="n">
        <v>72794</v>
      </c>
      <c r="G36" s="17" t="n">
        <v>74029</v>
      </c>
      <c r="H36" s="17" t="n">
        <v>75155</v>
      </c>
      <c r="I36" s="17" t="n">
        <v>76290</v>
      </c>
      <c r="J36" s="17" t="n">
        <v>77634</v>
      </c>
      <c r="K36" s="17" t="n">
        <v>79033</v>
      </c>
      <c r="L36" s="17" t="n"/>
      <c r="M36" s="17" t="n"/>
      <c r="N36" s="17" t="n"/>
      <c r="O36" s="17" t="n"/>
    </row>
    <row r="37">
      <c r="A37" s="45" t="inlineStr">
        <is>
          <t>2701</t>
        </is>
      </c>
      <c r="B37" s="10" t="inlineStr">
        <is>
          <t xml:space="preserve">   Liabilitas imbalan kerja</t>
        </is>
      </c>
      <c r="C37" s="17" t="n">
        <v>30000</v>
      </c>
      <c r="D37" s="17" t="n">
        <v>30250</v>
      </c>
      <c r="E37" s="17" t="n">
        <v>30500</v>
      </c>
      <c r="F37" s="17" t="n">
        <v>30750</v>
      </c>
      <c r="G37" s="17" t="n">
        <v>31000</v>
      </c>
      <c r="H37" s="17" t="n">
        <v>31250</v>
      </c>
      <c r="I37" s="17" t="n">
        <v>31500</v>
      </c>
      <c r="J37" s="17" t="n">
        <v>31750</v>
      </c>
      <c r="K37" s="17" t="n">
        <v>32000</v>
      </c>
      <c r="L37" s="17" t="n"/>
      <c r="M37" s="17" t="n"/>
      <c r="N37" s="17" t="n"/>
      <c r="O37" s="17" t="n"/>
    </row>
    <row r="38">
      <c r="A38" s="45" t="inlineStr">
        <is>
          <t>2801</t>
        </is>
      </c>
      <c r="B38" s="10" t="inlineStr">
        <is>
          <t xml:space="preserve">   Liabilitas pajak tangguhan</t>
        </is>
      </c>
      <c r="C38" s="17" t="n">
        <v>15000</v>
      </c>
      <c r="D38" s="17" t="n">
        <v>15000</v>
      </c>
      <c r="E38" s="17" t="n">
        <v>15000</v>
      </c>
      <c r="F38" s="17" t="n">
        <v>15000</v>
      </c>
      <c r="G38" s="17" t="n">
        <v>15000</v>
      </c>
      <c r="H38" s="17" t="n">
        <v>15000</v>
      </c>
      <c r="I38" s="17" t="n">
        <v>15000</v>
      </c>
      <c r="J38" s="17" t="n">
        <v>15000</v>
      </c>
      <c r="K38" s="17" t="n">
        <v>15000</v>
      </c>
      <c r="L38" s="17" t="n"/>
      <c r="M38" s="17" t="n"/>
      <c r="N38" s="17" t="n"/>
      <c r="O38" s="17" t="n"/>
    </row>
    <row r="39">
      <c r="A39" s="45" t="inlineStr"/>
      <c r="B39" s="46" t="inlineStr">
        <is>
          <t xml:space="preserve">   Jumlah liabilitas jangka panjang</t>
        </is>
      </c>
      <c r="C39" s="71">
        <f>C35+C36+C37+C38</f>
        <v/>
      </c>
      <c r="D39" s="71">
        <f>D35+D36+D37+D38</f>
        <v/>
      </c>
      <c r="E39" s="71">
        <f>E35+E36+E37+E38</f>
        <v/>
      </c>
      <c r="F39" s="71">
        <f>F35+F36+F37+F38</f>
        <v/>
      </c>
      <c r="G39" s="71">
        <f>G35+G36+G37+G38</f>
        <v/>
      </c>
      <c r="H39" s="71">
        <f>H35+H36+H37+H38</f>
        <v/>
      </c>
      <c r="I39" s="71">
        <f>I35+I36+I37+I38</f>
        <v/>
      </c>
      <c r="J39" s="71">
        <f>J35+J36+J37+J38</f>
        <v/>
      </c>
      <c r="K39" s="71">
        <f>K35+K36+K37+K38</f>
        <v/>
      </c>
      <c r="L39" s="71">
        <f>L35+L36+L37+L38</f>
        <v/>
      </c>
      <c r="M39" s="71">
        <f>M35+M36+M37+M38</f>
        <v/>
      </c>
      <c r="N39" s="71">
        <f>N35+N36+N37+N38</f>
        <v/>
      </c>
      <c r="O39" s="71">
        <f>O35+O36+O37+O38</f>
        <v/>
      </c>
    </row>
    <row r="40">
      <c r="A40" s="82" t="inlineStr"/>
      <c r="B40" s="31" t="inlineStr">
        <is>
          <t>JUMLAH LIABILITAS</t>
        </is>
      </c>
      <c r="C40" s="33">
        <f>C33+C39</f>
        <v/>
      </c>
      <c r="D40" s="33">
        <f>D33+D39</f>
        <v/>
      </c>
      <c r="E40" s="33">
        <f>E33+E39</f>
        <v/>
      </c>
      <c r="F40" s="33">
        <f>F33+F39</f>
        <v/>
      </c>
      <c r="G40" s="33">
        <f>G33+G39</f>
        <v/>
      </c>
      <c r="H40" s="33">
        <f>H33+H39</f>
        <v/>
      </c>
      <c r="I40" s="33">
        <f>I33+I39</f>
        <v/>
      </c>
      <c r="J40" s="33">
        <f>J33+J39</f>
        <v/>
      </c>
      <c r="K40" s="33">
        <f>K33+K39</f>
        <v/>
      </c>
      <c r="L40" s="33">
        <f>L33+L39</f>
        <v/>
      </c>
      <c r="M40" s="33">
        <f>M33+M39</f>
        <v/>
      </c>
      <c r="N40" s="33">
        <f>N33+N39</f>
        <v/>
      </c>
      <c r="O40" s="33">
        <f>O33+O39</f>
        <v/>
      </c>
    </row>
    <row r="41">
      <c r="A41" s="4" t="inlineStr">
        <is>
          <t>EKUITAS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</row>
    <row r="42">
      <c r="A42" s="45" t="inlineStr">
        <is>
          <t>3101</t>
        </is>
      </c>
      <c r="B42" s="10" t="inlineStr">
        <is>
          <t xml:space="preserve">   Modal saham</t>
        </is>
      </c>
      <c r="C42" s="17" t="n">
        <v>400000</v>
      </c>
      <c r="D42" s="17" t="n">
        <v>400000</v>
      </c>
      <c r="E42" s="17" t="n">
        <v>400000</v>
      </c>
      <c r="F42" s="17" t="n">
        <v>400000</v>
      </c>
      <c r="G42" s="17" t="n">
        <v>400000</v>
      </c>
      <c r="H42" s="17" t="n">
        <v>400000</v>
      </c>
      <c r="I42" s="17" t="n">
        <v>400000</v>
      </c>
      <c r="J42" s="17" t="n">
        <v>400000</v>
      </c>
      <c r="K42" s="17" t="n">
        <v>400000</v>
      </c>
      <c r="L42" s="17" t="n"/>
      <c r="M42" s="17" t="n"/>
      <c r="N42" s="17" t="n"/>
      <c r="O42" s="17" t="n"/>
    </row>
    <row r="43">
      <c r="A43" s="45" t="inlineStr">
        <is>
          <t>3102</t>
        </is>
      </c>
      <c r="B43" s="10" t="inlineStr">
        <is>
          <t xml:space="preserve">   Tambahan modal disetor</t>
        </is>
      </c>
      <c r="C43" s="17" t="n">
        <v>100000</v>
      </c>
      <c r="D43" s="17" t="n">
        <v>100000</v>
      </c>
      <c r="E43" s="17" t="n">
        <v>100000</v>
      </c>
      <c r="F43" s="17" t="n">
        <v>100000</v>
      </c>
      <c r="G43" s="17" t="n">
        <v>100000</v>
      </c>
      <c r="H43" s="17" t="n">
        <v>100000</v>
      </c>
      <c r="I43" s="17" t="n">
        <v>100000</v>
      </c>
      <c r="J43" s="17" t="n">
        <v>100000</v>
      </c>
      <c r="K43" s="17" t="n">
        <v>100000</v>
      </c>
      <c r="L43" s="17" t="n"/>
      <c r="M43" s="17" t="n"/>
      <c r="N43" s="17" t="n"/>
      <c r="O43" s="17" t="n"/>
    </row>
    <row r="44">
      <c r="A44" s="45" t="inlineStr">
        <is>
          <t>3201</t>
        </is>
      </c>
      <c r="B44" s="10" t="inlineStr">
        <is>
          <t xml:space="preserve">   Saldo laba (termasuk laba tahun berjalan)</t>
        </is>
      </c>
      <c r="C44" s="17" t="n">
        <v>490000</v>
      </c>
      <c r="D44" s="17" t="n">
        <v>499315</v>
      </c>
      <c r="E44" s="17" t="n">
        <v>506712</v>
      </c>
      <c r="F44" s="17" t="n">
        <v>510890</v>
      </c>
      <c r="G44" s="17" t="n">
        <v>520496</v>
      </c>
      <c r="H44" s="17" t="n">
        <v>534019</v>
      </c>
      <c r="I44" s="17" t="n">
        <v>505246</v>
      </c>
      <c r="J44" s="17" t="n">
        <v>523629</v>
      </c>
      <c r="K44" s="17" t="n">
        <v>545995</v>
      </c>
      <c r="L44" s="17" t="n"/>
      <c r="M44" s="17" t="n"/>
      <c r="N44" s="17" t="n"/>
      <c r="O44" s="17" t="n"/>
    </row>
    <row r="45">
      <c r="A45" s="45" t="inlineStr">
        <is>
          <t>3301</t>
        </is>
      </c>
      <c r="B45" s="10" t="inlineStr">
        <is>
          <t xml:space="preserve">   Penghasilan komprehensif lain</t>
        </is>
      </c>
      <c r="C45" s="17" t="n">
        <v>3000</v>
      </c>
      <c r="D45" s="17" t="n">
        <v>3000</v>
      </c>
      <c r="E45" s="17" t="n">
        <v>3000</v>
      </c>
      <c r="F45" s="17" t="n">
        <v>3000</v>
      </c>
      <c r="G45" s="17" t="n">
        <v>3000</v>
      </c>
      <c r="H45" s="17" t="n">
        <v>3000</v>
      </c>
      <c r="I45" s="17" t="n">
        <v>3000</v>
      </c>
      <c r="J45" s="17" t="n">
        <v>3000</v>
      </c>
      <c r="K45" s="17" t="n">
        <v>3000</v>
      </c>
      <c r="L45" s="17" t="n"/>
      <c r="M45" s="17" t="n"/>
      <c r="N45" s="17" t="n"/>
      <c r="O45" s="17" t="n"/>
    </row>
    <row r="46">
      <c r="A46" s="45" t="inlineStr"/>
      <c r="B46" s="46" t="inlineStr">
        <is>
          <t xml:space="preserve">   JUMLAH EKUITAS</t>
        </is>
      </c>
      <c r="C46" s="71">
        <f>C42+C43+C44+C45</f>
        <v/>
      </c>
      <c r="D46" s="71">
        <f>D42+D43+D44+D45</f>
        <v/>
      </c>
      <c r="E46" s="71">
        <f>E42+E43+E44+E45</f>
        <v/>
      </c>
      <c r="F46" s="71">
        <f>F42+F43+F44+F45</f>
        <v/>
      </c>
      <c r="G46" s="71">
        <f>G42+G43+G44+G45</f>
        <v/>
      </c>
      <c r="H46" s="71">
        <f>H42+H43+H44+H45</f>
        <v/>
      </c>
      <c r="I46" s="71">
        <f>I42+I43+I44+I45</f>
        <v/>
      </c>
      <c r="J46" s="71">
        <f>J42+J43+J44+J45</f>
        <v/>
      </c>
      <c r="K46" s="71">
        <f>K42+K43+K44+K45</f>
        <v/>
      </c>
      <c r="L46" s="71">
        <f>L42+L43+L44+L45</f>
        <v/>
      </c>
      <c r="M46" s="71">
        <f>M42+M43+M44+M45</f>
        <v/>
      </c>
      <c r="N46" s="71">
        <f>N42+N43+N44+N45</f>
        <v/>
      </c>
      <c r="O46" s="71">
        <f>O42+O43+O44+O45</f>
        <v/>
      </c>
    </row>
    <row r="47">
      <c r="A47" s="82" t="inlineStr"/>
      <c r="B47" s="31" t="inlineStr">
        <is>
          <t>JUMLAH LIABILITAS DAN EKUITAS</t>
        </is>
      </c>
      <c r="C47" s="33">
        <f>C40+C46</f>
        <v/>
      </c>
      <c r="D47" s="33">
        <f>D40+D46</f>
        <v/>
      </c>
      <c r="E47" s="33">
        <f>E40+E46</f>
        <v/>
      </c>
      <c r="F47" s="33">
        <f>F40+F46</f>
        <v/>
      </c>
      <c r="G47" s="33">
        <f>G40+G46</f>
        <v/>
      </c>
      <c r="H47" s="33">
        <f>H40+H46</f>
        <v/>
      </c>
      <c r="I47" s="33">
        <f>I40+I46</f>
        <v/>
      </c>
      <c r="J47" s="33">
        <f>J40+J46</f>
        <v/>
      </c>
      <c r="K47" s="33">
        <f>K40+K46</f>
        <v/>
      </c>
      <c r="L47" s="33">
        <f>L40+L46</f>
        <v/>
      </c>
      <c r="M47" s="33">
        <f>M40+M46</f>
        <v/>
      </c>
      <c r="N47" s="33">
        <f>N40+N46</f>
        <v/>
      </c>
      <c r="O47" s="33">
        <f>O40+O46</f>
        <v/>
      </c>
    </row>
    <row r="48">
      <c r="A48" s="45" t="inlineStr"/>
      <c r="B48" s="37" t="inlineStr">
        <is>
          <t>Cek keseimbangan (harus 0)</t>
        </is>
      </c>
      <c r="C48" s="38">
        <f>ROUND(C25-C47,0)</f>
        <v/>
      </c>
      <c r="D48" s="38">
        <f>ROUND(D25-D47,0)</f>
        <v/>
      </c>
      <c r="E48" s="38">
        <f>ROUND(E25-E47,0)</f>
        <v/>
      </c>
      <c r="F48" s="38">
        <f>ROUND(F25-F47,0)</f>
        <v/>
      </c>
      <c r="G48" s="38">
        <f>ROUND(G25-G47,0)</f>
        <v/>
      </c>
      <c r="H48" s="38">
        <f>ROUND(H25-H47,0)</f>
        <v/>
      </c>
      <c r="I48" s="38">
        <f>ROUND(I25-I47,0)</f>
        <v/>
      </c>
      <c r="J48" s="38">
        <f>ROUND(J25-J47,0)</f>
        <v/>
      </c>
      <c r="K48" s="38">
        <f>ROUND(K25-K47,0)</f>
        <v/>
      </c>
      <c r="L48" s="38">
        <f>ROUND(L25-L47,0)</f>
        <v/>
      </c>
      <c r="M48" s="38">
        <f>ROUND(M25-M47,0)</f>
        <v/>
      </c>
      <c r="N48" s="38">
        <f>ROUND(N25-N47,0)</f>
        <v/>
      </c>
      <c r="O48" s="38">
        <f>ROUND(O25-O47,0)</f>
        <v/>
      </c>
    </row>
  </sheetData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43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6" customWidth="1" min="16" max="16"/>
  </cols>
  <sheetData>
    <row r="1">
      <c r="A1" s="1" t="inlineStr">
        <is>
          <t>GEG – Laporan Arus Kas Bulanan (otomatis dari Laba Rugi Aktual &amp; Neraca)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Tidak perlu input. Kolom P = kumulatif s/d bulan laporan (C1).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/>
      <c r="B6" s="16" t="inlineStr">
        <is>
          <t>Uraian</t>
        </is>
      </c>
      <c r="C6" s="16" t="inlineStr"/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  <c r="P6" s="16" t="inlineStr">
        <is>
          <t>YTD s/d bulan laporan</t>
        </is>
      </c>
    </row>
    <row r="7">
      <c r="A7" s="4" t="inlineStr">
        <is>
          <t>ARUS KAS DARI AKTIVITAS OPERASI (metode tidak langsung)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B8" s="10" t="inlineStr">
        <is>
          <t xml:space="preserve">   Laba bersih</t>
        </is>
      </c>
      <c r="D8" s="28">
        <f>IF('C6 GEG Neraca Aktual'!D$25=0,"",'C5 GEG LR Aktual'!D83)</f>
        <v/>
      </c>
      <c r="E8" s="28">
        <f>IF('C6 GEG Neraca Aktual'!E$25=0,"",'C5 GEG LR Aktual'!E83)</f>
        <v/>
      </c>
      <c r="F8" s="28">
        <f>IF('C6 GEG Neraca Aktual'!F$25=0,"",'C5 GEG LR Aktual'!F83)</f>
        <v/>
      </c>
      <c r="G8" s="28">
        <f>IF('C6 GEG Neraca Aktual'!G$25=0,"",'C5 GEG LR Aktual'!G83)</f>
        <v/>
      </c>
      <c r="H8" s="28">
        <f>IF('C6 GEG Neraca Aktual'!H$25=0,"",'C5 GEG LR Aktual'!H83)</f>
        <v/>
      </c>
      <c r="I8" s="28">
        <f>IF('C6 GEG Neraca Aktual'!I$25=0,"",'C5 GEG LR Aktual'!I83)</f>
        <v/>
      </c>
      <c r="J8" s="28">
        <f>IF('C6 GEG Neraca Aktual'!J$25=0,"",'C5 GEG LR Aktual'!J83)</f>
        <v/>
      </c>
      <c r="K8" s="28">
        <f>IF('C6 GEG Neraca Aktual'!K$25=0,"",'C5 GEG LR Aktual'!K83)</f>
        <v/>
      </c>
      <c r="L8" s="28">
        <f>IF('C6 GEG Neraca Aktual'!L$25=0,"",'C5 GEG LR Aktual'!L83)</f>
        <v/>
      </c>
      <c r="M8" s="28">
        <f>IF('C6 GEG Neraca Aktual'!M$25=0,"",'C5 GEG LR Aktual'!M83)</f>
        <v/>
      </c>
      <c r="N8" s="28">
        <f>IF('C6 GEG Neraca Aktual'!N$25=0,"",'C5 GEG LR Aktual'!N83)</f>
        <v/>
      </c>
      <c r="O8" s="28">
        <f>IF('C6 GEG Neraca Aktual'!O$25=0,"",'C5 GEG LR Aktual'!O83)</f>
        <v/>
      </c>
      <c r="P8" s="28">
        <f>SUMIF($D$5:$O$5,"&lt;="&amp;'C1 GEG Setting'!$C$6,D8:O8)</f>
        <v/>
      </c>
    </row>
    <row r="9">
      <c r="B9" s="10" t="inlineStr">
        <is>
          <t xml:space="preserve">   Penyusutan &amp; amortisasi</t>
        </is>
      </c>
      <c r="D9" s="28">
        <f>IF('C6 GEG Neraca Aktual'!D$25=0,"",'C5 GEG LR Aktual'!D46+'C5 GEG LR Aktual'!D69)</f>
        <v/>
      </c>
      <c r="E9" s="28">
        <f>IF('C6 GEG Neraca Aktual'!E$25=0,"",'C5 GEG LR Aktual'!E46+'C5 GEG LR Aktual'!E69)</f>
        <v/>
      </c>
      <c r="F9" s="28">
        <f>IF('C6 GEG Neraca Aktual'!F$25=0,"",'C5 GEG LR Aktual'!F46+'C5 GEG LR Aktual'!F69)</f>
        <v/>
      </c>
      <c r="G9" s="28">
        <f>IF('C6 GEG Neraca Aktual'!G$25=0,"",'C5 GEG LR Aktual'!G46+'C5 GEG LR Aktual'!G69)</f>
        <v/>
      </c>
      <c r="H9" s="28">
        <f>IF('C6 GEG Neraca Aktual'!H$25=0,"",'C5 GEG LR Aktual'!H46+'C5 GEG LR Aktual'!H69)</f>
        <v/>
      </c>
      <c r="I9" s="28">
        <f>IF('C6 GEG Neraca Aktual'!I$25=0,"",'C5 GEG LR Aktual'!I46+'C5 GEG LR Aktual'!I69)</f>
        <v/>
      </c>
      <c r="J9" s="28">
        <f>IF('C6 GEG Neraca Aktual'!J$25=0,"",'C5 GEG LR Aktual'!J46+'C5 GEG LR Aktual'!J69)</f>
        <v/>
      </c>
      <c r="K9" s="28">
        <f>IF('C6 GEG Neraca Aktual'!K$25=0,"",'C5 GEG LR Aktual'!K46+'C5 GEG LR Aktual'!K69)</f>
        <v/>
      </c>
      <c r="L9" s="28">
        <f>IF('C6 GEG Neraca Aktual'!L$25=0,"",'C5 GEG LR Aktual'!L46+'C5 GEG LR Aktual'!L69)</f>
        <v/>
      </c>
      <c r="M9" s="28">
        <f>IF('C6 GEG Neraca Aktual'!M$25=0,"",'C5 GEG LR Aktual'!M46+'C5 GEG LR Aktual'!M69)</f>
        <v/>
      </c>
      <c r="N9" s="28">
        <f>IF('C6 GEG Neraca Aktual'!N$25=0,"",'C5 GEG LR Aktual'!N46+'C5 GEG LR Aktual'!N69)</f>
        <v/>
      </c>
      <c r="O9" s="28">
        <f>IF('C6 GEG Neraca Aktual'!O$25=0,"",'C5 GEG LR Aktual'!O46+'C5 GEG LR Aktual'!O69)</f>
        <v/>
      </c>
      <c r="P9" s="28">
        <f>SUMIF($D$5:$O$5,"&lt;="&amp;'C1 GEG Setting'!$C$6,D9:O9)</f>
        <v/>
      </c>
    </row>
    <row r="10">
      <c r="B10" s="10" t="inlineStr">
        <is>
          <t xml:space="preserve">   Kenaikan provisi reklamasi – neto</t>
        </is>
      </c>
      <c r="D10" s="28">
        <f>IF('C6 GEG Neraca Aktual'!D$25=0,"",('C6 GEG Neraca Aktual'!D36-'C6 GEG Neraca Aktual'!C36))</f>
        <v/>
      </c>
      <c r="E10" s="28">
        <f>IF('C6 GEG Neraca Aktual'!E$25=0,"",('C6 GEG Neraca Aktual'!E36-'C6 GEG Neraca Aktual'!D36))</f>
        <v/>
      </c>
      <c r="F10" s="28">
        <f>IF('C6 GEG Neraca Aktual'!F$25=0,"",('C6 GEG Neraca Aktual'!F36-'C6 GEG Neraca Aktual'!E36))</f>
        <v/>
      </c>
      <c r="G10" s="28">
        <f>IF('C6 GEG Neraca Aktual'!G$25=0,"",('C6 GEG Neraca Aktual'!G36-'C6 GEG Neraca Aktual'!F36))</f>
        <v/>
      </c>
      <c r="H10" s="28">
        <f>IF('C6 GEG Neraca Aktual'!H$25=0,"",('C6 GEG Neraca Aktual'!H36-'C6 GEG Neraca Aktual'!G36))</f>
        <v/>
      </c>
      <c r="I10" s="28">
        <f>IF('C6 GEG Neraca Aktual'!I$25=0,"",('C6 GEG Neraca Aktual'!I36-'C6 GEG Neraca Aktual'!H36))</f>
        <v/>
      </c>
      <c r="J10" s="28">
        <f>IF('C6 GEG Neraca Aktual'!J$25=0,"",('C6 GEG Neraca Aktual'!J36-'C6 GEG Neraca Aktual'!I36))</f>
        <v/>
      </c>
      <c r="K10" s="28">
        <f>IF('C6 GEG Neraca Aktual'!K$25=0,"",('C6 GEG Neraca Aktual'!K36-'C6 GEG Neraca Aktual'!J36))</f>
        <v/>
      </c>
      <c r="L10" s="28">
        <f>IF('C6 GEG Neraca Aktual'!L$25=0,"",('C6 GEG Neraca Aktual'!L36-'C6 GEG Neraca Aktual'!K36))</f>
        <v/>
      </c>
      <c r="M10" s="28">
        <f>IF('C6 GEG Neraca Aktual'!M$25=0,"",('C6 GEG Neraca Aktual'!M36-'C6 GEG Neraca Aktual'!L36))</f>
        <v/>
      </c>
      <c r="N10" s="28">
        <f>IF('C6 GEG Neraca Aktual'!N$25=0,"",('C6 GEG Neraca Aktual'!N36-'C6 GEG Neraca Aktual'!M36))</f>
        <v/>
      </c>
      <c r="O10" s="28">
        <f>IF('C6 GEG Neraca Aktual'!O$25=0,"",('C6 GEG Neraca Aktual'!O36-'C6 GEG Neraca Aktual'!N36))</f>
        <v/>
      </c>
      <c r="P10" s="28">
        <f>SUMIF($D$5:$O$5,"&lt;="&amp;'C1 GEG Setting'!$C$6,D10:O10)</f>
        <v/>
      </c>
    </row>
    <row r="11">
      <c r="B11" s="10" t="inlineStr">
        <is>
          <t xml:space="preserve">   Kenaikan liabilitas imbalan kerja</t>
        </is>
      </c>
      <c r="D11" s="28">
        <f>IF('C6 GEG Neraca Aktual'!D$25=0,"",('C6 GEG Neraca Aktual'!D37-'C6 GEG Neraca Aktual'!C37))</f>
        <v/>
      </c>
      <c r="E11" s="28">
        <f>IF('C6 GEG Neraca Aktual'!E$25=0,"",('C6 GEG Neraca Aktual'!E37-'C6 GEG Neraca Aktual'!D37))</f>
        <v/>
      </c>
      <c r="F11" s="28">
        <f>IF('C6 GEG Neraca Aktual'!F$25=0,"",('C6 GEG Neraca Aktual'!F37-'C6 GEG Neraca Aktual'!E37))</f>
        <v/>
      </c>
      <c r="G11" s="28">
        <f>IF('C6 GEG Neraca Aktual'!G$25=0,"",('C6 GEG Neraca Aktual'!G37-'C6 GEG Neraca Aktual'!F37))</f>
        <v/>
      </c>
      <c r="H11" s="28">
        <f>IF('C6 GEG Neraca Aktual'!H$25=0,"",('C6 GEG Neraca Aktual'!H37-'C6 GEG Neraca Aktual'!G37))</f>
        <v/>
      </c>
      <c r="I11" s="28">
        <f>IF('C6 GEG Neraca Aktual'!I$25=0,"",('C6 GEG Neraca Aktual'!I37-'C6 GEG Neraca Aktual'!H37))</f>
        <v/>
      </c>
      <c r="J11" s="28">
        <f>IF('C6 GEG Neraca Aktual'!J$25=0,"",('C6 GEG Neraca Aktual'!J37-'C6 GEG Neraca Aktual'!I37))</f>
        <v/>
      </c>
      <c r="K11" s="28">
        <f>IF('C6 GEG Neraca Aktual'!K$25=0,"",('C6 GEG Neraca Aktual'!K37-'C6 GEG Neraca Aktual'!J37))</f>
        <v/>
      </c>
      <c r="L11" s="28">
        <f>IF('C6 GEG Neraca Aktual'!L$25=0,"",('C6 GEG Neraca Aktual'!L37-'C6 GEG Neraca Aktual'!K37))</f>
        <v/>
      </c>
      <c r="M11" s="28">
        <f>IF('C6 GEG Neraca Aktual'!M$25=0,"",('C6 GEG Neraca Aktual'!M37-'C6 GEG Neraca Aktual'!L37))</f>
        <v/>
      </c>
      <c r="N11" s="28">
        <f>IF('C6 GEG Neraca Aktual'!N$25=0,"",('C6 GEG Neraca Aktual'!N37-'C6 GEG Neraca Aktual'!M37))</f>
        <v/>
      </c>
      <c r="O11" s="28">
        <f>IF('C6 GEG Neraca Aktual'!O$25=0,"",('C6 GEG Neraca Aktual'!O37-'C6 GEG Neraca Aktual'!N37))</f>
        <v/>
      </c>
      <c r="P11" s="28">
        <f>SUMIF($D$5:$O$5,"&lt;="&amp;'C1 GEG Setting'!$C$6,D11:O11)</f>
        <v/>
      </c>
    </row>
    <row r="12">
      <c r="B12" s="10" t="inlineStr">
        <is>
          <t xml:space="preserve">   Perubahan pajak tangguhan</t>
        </is>
      </c>
      <c r="D12" s="28">
        <f>IF('C6 GEG Neraca Aktual'!D$25=0,"",-('C6 GEG Neraca Aktual'!D22-'C6 GEG Neraca Aktual'!C22)+('C6 GEG Neraca Aktual'!D38-'C6 GEG Neraca Aktual'!C38))</f>
        <v/>
      </c>
      <c r="E12" s="28">
        <f>IF('C6 GEG Neraca Aktual'!E$25=0,"",-('C6 GEG Neraca Aktual'!E22-'C6 GEG Neraca Aktual'!D22)+('C6 GEG Neraca Aktual'!E38-'C6 GEG Neraca Aktual'!D38))</f>
        <v/>
      </c>
      <c r="F12" s="28">
        <f>IF('C6 GEG Neraca Aktual'!F$25=0,"",-('C6 GEG Neraca Aktual'!F22-'C6 GEG Neraca Aktual'!E22)+('C6 GEG Neraca Aktual'!F38-'C6 GEG Neraca Aktual'!E38))</f>
        <v/>
      </c>
      <c r="G12" s="28">
        <f>IF('C6 GEG Neraca Aktual'!G$25=0,"",-('C6 GEG Neraca Aktual'!G22-'C6 GEG Neraca Aktual'!F22)+('C6 GEG Neraca Aktual'!G38-'C6 GEG Neraca Aktual'!F38))</f>
        <v/>
      </c>
      <c r="H12" s="28">
        <f>IF('C6 GEG Neraca Aktual'!H$25=0,"",-('C6 GEG Neraca Aktual'!H22-'C6 GEG Neraca Aktual'!G22)+('C6 GEG Neraca Aktual'!H38-'C6 GEG Neraca Aktual'!G38))</f>
        <v/>
      </c>
      <c r="I12" s="28">
        <f>IF('C6 GEG Neraca Aktual'!I$25=0,"",-('C6 GEG Neraca Aktual'!I22-'C6 GEG Neraca Aktual'!H22)+('C6 GEG Neraca Aktual'!I38-'C6 GEG Neraca Aktual'!H38))</f>
        <v/>
      </c>
      <c r="J12" s="28">
        <f>IF('C6 GEG Neraca Aktual'!J$25=0,"",-('C6 GEG Neraca Aktual'!J22-'C6 GEG Neraca Aktual'!I22)+('C6 GEG Neraca Aktual'!J38-'C6 GEG Neraca Aktual'!I38))</f>
        <v/>
      </c>
      <c r="K12" s="28">
        <f>IF('C6 GEG Neraca Aktual'!K$25=0,"",-('C6 GEG Neraca Aktual'!K22-'C6 GEG Neraca Aktual'!J22)+('C6 GEG Neraca Aktual'!K38-'C6 GEG Neraca Aktual'!J38))</f>
        <v/>
      </c>
      <c r="L12" s="28">
        <f>IF('C6 GEG Neraca Aktual'!L$25=0,"",-('C6 GEG Neraca Aktual'!L22-'C6 GEG Neraca Aktual'!K22)+('C6 GEG Neraca Aktual'!L38-'C6 GEG Neraca Aktual'!K38))</f>
        <v/>
      </c>
      <c r="M12" s="28">
        <f>IF('C6 GEG Neraca Aktual'!M$25=0,"",-('C6 GEG Neraca Aktual'!M22-'C6 GEG Neraca Aktual'!L22)+('C6 GEG Neraca Aktual'!M38-'C6 GEG Neraca Aktual'!L38))</f>
        <v/>
      </c>
      <c r="N12" s="28">
        <f>IF('C6 GEG Neraca Aktual'!N$25=0,"",-('C6 GEG Neraca Aktual'!N22-'C6 GEG Neraca Aktual'!M22)+('C6 GEG Neraca Aktual'!N38-'C6 GEG Neraca Aktual'!M38))</f>
        <v/>
      </c>
      <c r="O12" s="28">
        <f>IF('C6 GEG Neraca Aktual'!O$25=0,"",-('C6 GEG Neraca Aktual'!O22-'C6 GEG Neraca Aktual'!N22)+('C6 GEG Neraca Aktual'!O38-'C6 GEG Neraca Aktual'!N38))</f>
        <v/>
      </c>
      <c r="P12" s="28">
        <f>SUMIF($D$5:$O$5,"&lt;="&amp;'C1 GEG Setting'!$C$6,D12:O12)</f>
        <v/>
      </c>
    </row>
    <row r="13">
      <c r="B13" s="10" t="inlineStr">
        <is>
          <t xml:space="preserve">   Piutang usaha</t>
        </is>
      </c>
      <c r="D13" s="28">
        <f>IF('C6 GEG Neraca Aktual'!D$25=0,"",-('C6 GEG Neraca Aktual'!D9-'C6 GEG Neraca Aktual'!C9))</f>
        <v/>
      </c>
      <c r="E13" s="28">
        <f>IF('C6 GEG Neraca Aktual'!E$25=0,"",-('C6 GEG Neraca Aktual'!E9-'C6 GEG Neraca Aktual'!D9))</f>
        <v/>
      </c>
      <c r="F13" s="28">
        <f>IF('C6 GEG Neraca Aktual'!F$25=0,"",-('C6 GEG Neraca Aktual'!F9-'C6 GEG Neraca Aktual'!E9))</f>
        <v/>
      </c>
      <c r="G13" s="28">
        <f>IF('C6 GEG Neraca Aktual'!G$25=0,"",-('C6 GEG Neraca Aktual'!G9-'C6 GEG Neraca Aktual'!F9))</f>
        <v/>
      </c>
      <c r="H13" s="28">
        <f>IF('C6 GEG Neraca Aktual'!H$25=0,"",-('C6 GEG Neraca Aktual'!H9-'C6 GEG Neraca Aktual'!G9))</f>
        <v/>
      </c>
      <c r="I13" s="28">
        <f>IF('C6 GEG Neraca Aktual'!I$25=0,"",-('C6 GEG Neraca Aktual'!I9-'C6 GEG Neraca Aktual'!H9))</f>
        <v/>
      </c>
      <c r="J13" s="28">
        <f>IF('C6 GEG Neraca Aktual'!J$25=0,"",-('C6 GEG Neraca Aktual'!J9-'C6 GEG Neraca Aktual'!I9))</f>
        <v/>
      </c>
      <c r="K13" s="28">
        <f>IF('C6 GEG Neraca Aktual'!K$25=0,"",-('C6 GEG Neraca Aktual'!K9-'C6 GEG Neraca Aktual'!J9))</f>
        <v/>
      </c>
      <c r="L13" s="28">
        <f>IF('C6 GEG Neraca Aktual'!L$25=0,"",-('C6 GEG Neraca Aktual'!L9-'C6 GEG Neraca Aktual'!K9))</f>
        <v/>
      </c>
      <c r="M13" s="28">
        <f>IF('C6 GEG Neraca Aktual'!M$25=0,"",-('C6 GEG Neraca Aktual'!M9-'C6 GEG Neraca Aktual'!L9))</f>
        <v/>
      </c>
      <c r="N13" s="28">
        <f>IF('C6 GEG Neraca Aktual'!N$25=0,"",-('C6 GEG Neraca Aktual'!N9-'C6 GEG Neraca Aktual'!M9))</f>
        <v/>
      </c>
      <c r="O13" s="28">
        <f>IF('C6 GEG Neraca Aktual'!O$25=0,"",-('C6 GEG Neraca Aktual'!O9-'C6 GEG Neraca Aktual'!N9))</f>
        <v/>
      </c>
      <c r="P13" s="28">
        <f>SUMIF($D$5:$O$5,"&lt;="&amp;'C1 GEG Setting'!$C$6,D13:O13)</f>
        <v/>
      </c>
    </row>
    <row r="14">
      <c r="B14" s="10" t="inlineStr">
        <is>
          <t xml:space="preserve">   Piutang lain-lain</t>
        </is>
      </c>
      <c r="D14" s="28">
        <f>IF('C6 GEG Neraca Aktual'!D$25=0,"",-('C6 GEG Neraca Aktual'!D10-'C6 GEG Neraca Aktual'!C10))</f>
        <v/>
      </c>
      <c r="E14" s="28">
        <f>IF('C6 GEG Neraca Aktual'!E$25=0,"",-('C6 GEG Neraca Aktual'!E10-'C6 GEG Neraca Aktual'!D10))</f>
        <v/>
      </c>
      <c r="F14" s="28">
        <f>IF('C6 GEG Neraca Aktual'!F$25=0,"",-('C6 GEG Neraca Aktual'!F10-'C6 GEG Neraca Aktual'!E10))</f>
        <v/>
      </c>
      <c r="G14" s="28">
        <f>IF('C6 GEG Neraca Aktual'!G$25=0,"",-('C6 GEG Neraca Aktual'!G10-'C6 GEG Neraca Aktual'!F10))</f>
        <v/>
      </c>
      <c r="H14" s="28">
        <f>IF('C6 GEG Neraca Aktual'!H$25=0,"",-('C6 GEG Neraca Aktual'!H10-'C6 GEG Neraca Aktual'!G10))</f>
        <v/>
      </c>
      <c r="I14" s="28">
        <f>IF('C6 GEG Neraca Aktual'!I$25=0,"",-('C6 GEG Neraca Aktual'!I10-'C6 GEG Neraca Aktual'!H10))</f>
        <v/>
      </c>
      <c r="J14" s="28">
        <f>IF('C6 GEG Neraca Aktual'!J$25=0,"",-('C6 GEG Neraca Aktual'!J10-'C6 GEG Neraca Aktual'!I10))</f>
        <v/>
      </c>
      <c r="K14" s="28">
        <f>IF('C6 GEG Neraca Aktual'!K$25=0,"",-('C6 GEG Neraca Aktual'!K10-'C6 GEG Neraca Aktual'!J10))</f>
        <v/>
      </c>
      <c r="L14" s="28">
        <f>IF('C6 GEG Neraca Aktual'!L$25=0,"",-('C6 GEG Neraca Aktual'!L10-'C6 GEG Neraca Aktual'!K10))</f>
        <v/>
      </c>
      <c r="M14" s="28">
        <f>IF('C6 GEG Neraca Aktual'!M$25=0,"",-('C6 GEG Neraca Aktual'!M10-'C6 GEG Neraca Aktual'!L10))</f>
        <v/>
      </c>
      <c r="N14" s="28">
        <f>IF('C6 GEG Neraca Aktual'!N$25=0,"",-('C6 GEG Neraca Aktual'!N10-'C6 GEG Neraca Aktual'!M10))</f>
        <v/>
      </c>
      <c r="O14" s="28">
        <f>IF('C6 GEG Neraca Aktual'!O$25=0,"",-('C6 GEG Neraca Aktual'!O10-'C6 GEG Neraca Aktual'!N10))</f>
        <v/>
      </c>
      <c r="P14" s="28">
        <f>SUMIF($D$5:$O$5,"&lt;="&amp;'C1 GEG Setting'!$C$6,D14:O14)</f>
        <v/>
      </c>
    </row>
    <row r="15">
      <c r="B15" s="10" t="inlineStr">
        <is>
          <t xml:space="preserve">   Persediaan batubara</t>
        </is>
      </c>
      <c r="D15" s="28">
        <f>IF('C6 GEG Neraca Aktual'!D$25=0,"",-('C6 GEG Neraca Aktual'!D11-'C6 GEG Neraca Aktual'!C11))</f>
        <v/>
      </c>
      <c r="E15" s="28">
        <f>IF('C6 GEG Neraca Aktual'!E$25=0,"",-('C6 GEG Neraca Aktual'!E11-'C6 GEG Neraca Aktual'!D11))</f>
        <v/>
      </c>
      <c r="F15" s="28">
        <f>IF('C6 GEG Neraca Aktual'!F$25=0,"",-('C6 GEG Neraca Aktual'!F11-'C6 GEG Neraca Aktual'!E11))</f>
        <v/>
      </c>
      <c r="G15" s="28">
        <f>IF('C6 GEG Neraca Aktual'!G$25=0,"",-('C6 GEG Neraca Aktual'!G11-'C6 GEG Neraca Aktual'!F11))</f>
        <v/>
      </c>
      <c r="H15" s="28">
        <f>IF('C6 GEG Neraca Aktual'!H$25=0,"",-('C6 GEG Neraca Aktual'!H11-'C6 GEG Neraca Aktual'!G11))</f>
        <v/>
      </c>
      <c r="I15" s="28">
        <f>IF('C6 GEG Neraca Aktual'!I$25=0,"",-('C6 GEG Neraca Aktual'!I11-'C6 GEG Neraca Aktual'!H11))</f>
        <v/>
      </c>
      <c r="J15" s="28">
        <f>IF('C6 GEG Neraca Aktual'!J$25=0,"",-('C6 GEG Neraca Aktual'!J11-'C6 GEG Neraca Aktual'!I11))</f>
        <v/>
      </c>
      <c r="K15" s="28">
        <f>IF('C6 GEG Neraca Aktual'!K$25=0,"",-('C6 GEG Neraca Aktual'!K11-'C6 GEG Neraca Aktual'!J11))</f>
        <v/>
      </c>
      <c r="L15" s="28">
        <f>IF('C6 GEG Neraca Aktual'!L$25=0,"",-('C6 GEG Neraca Aktual'!L11-'C6 GEG Neraca Aktual'!K11))</f>
        <v/>
      </c>
      <c r="M15" s="28">
        <f>IF('C6 GEG Neraca Aktual'!M$25=0,"",-('C6 GEG Neraca Aktual'!M11-'C6 GEG Neraca Aktual'!L11))</f>
        <v/>
      </c>
      <c r="N15" s="28">
        <f>IF('C6 GEG Neraca Aktual'!N$25=0,"",-('C6 GEG Neraca Aktual'!N11-'C6 GEG Neraca Aktual'!M11))</f>
        <v/>
      </c>
      <c r="O15" s="28">
        <f>IF('C6 GEG Neraca Aktual'!O$25=0,"",-('C6 GEG Neraca Aktual'!O11-'C6 GEG Neraca Aktual'!N11))</f>
        <v/>
      </c>
      <c r="P15" s="28">
        <f>SUMIF($D$5:$O$5,"&lt;="&amp;'C1 GEG Setting'!$C$6,D15:O15)</f>
        <v/>
      </c>
    </row>
    <row r="16">
      <c r="B16" s="10" t="inlineStr">
        <is>
          <t xml:space="preserve">   Persediaan suku cadang &amp; BBM</t>
        </is>
      </c>
      <c r="D16" s="28">
        <f>IF('C6 GEG Neraca Aktual'!D$25=0,"",-('C6 GEG Neraca Aktual'!D12-'C6 GEG Neraca Aktual'!C12))</f>
        <v/>
      </c>
      <c r="E16" s="28">
        <f>IF('C6 GEG Neraca Aktual'!E$25=0,"",-('C6 GEG Neraca Aktual'!E12-'C6 GEG Neraca Aktual'!D12))</f>
        <v/>
      </c>
      <c r="F16" s="28">
        <f>IF('C6 GEG Neraca Aktual'!F$25=0,"",-('C6 GEG Neraca Aktual'!F12-'C6 GEG Neraca Aktual'!E12))</f>
        <v/>
      </c>
      <c r="G16" s="28">
        <f>IF('C6 GEG Neraca Aktual'!G$25=0,"",-('C6 GEG Neraca Aktual'!G12-'C6 GEG Neraca Aktual'!F12))</f>
        <v/>
      </c>
      <c r="H16" s="28">
        <f>IF('C6 GEG Neraca Aktual'!H$25=0,"",-('C6 GEG Neraca Aktual'!H12-'C6 GEG Neraca Aktual'!G12))</f>
        <v/>
      </c>
      <c r="I16" s="28">
        <f>IF('C6 GEG Neraca Aktual'!I$25=0,"",-('C6 GEG Neraca Aktual'!I12-'C6 GEG Neraca Aktual'!H12))</f>
        <v/>
      </c>
      <c r="J16" s="28">
        <f>IF('C6 GEG Neraca Aktual'!J$25=0,"",-('C6 GEG Neraca Aktual'!J12-'C6 GEG Neraca Aktual'!I12))</f>
        <v/>
      </c>
      <c r="K16" s="28">
        <f>IF('C6 GEG Neraca Aktual'!K$25=0,"",-('C6 GEG Neraca Aktual'!K12-'C6 GEG Neraca Aktual'!J12))</f>
        <v/>
      </c>
      <c r="L16" s="28">
        <f>IF('C6 GEG Neraca Aktual'!L$25=0,"",-('C6 GEG Neraca Aktual'!L12-'C6 GEG Neraca Aktual'!K12))</f>
        <v/>
      </c>
      <c r="M16" s="28">
        <f>IF('C6 GEG Neraca Aktual'!M$25=0,"",-('C6 GEG Neraca Aktual'!M12-'C6 GEG Neraca Aktual'!L12))</f>
        <v/>
      </c>
      <c r="N16" s="28">
        <f>IF('C6 GEG Neraca Aktual'!N$25=0,"",-('C6 GEG Neraca Aktual'!N12-'C6 GEG Neraca Aktual'!M12))</f>
        <v/>
      </c>
      <c r="O16" s="28">
        <f>IF('C6 GEG Neraca Aktual'!O$25=0,"",-('C6 GEG Neraca Aktual'!O12-'C6 GEG Neraca Aktual'!N12))</f>
        <v/>
      </c>
      <c r="P16" s="28">
        <f>SUMIF($D$5:$O$5,"&lt;="&amp;'C1 GEG Setting'!$C$6,D16:O16)</f>
        <v/>
      </c>
    </row>
    <row r="17">
      <c r="B17" s="10" t="inlineStr">
        <is>
          <t xml:space="preserve">   Uang muka &amp; biaya dibayar dimuka</t>
        </is>
      </c>
      <c r="D17" s="28">
        <f>IF('C6 GEG Neraca Aktual'!D$25=0,"",-('C6 GEG Neraca Aktual'!D13-'C6 GEG Neraca Aktual'!C13))</f>
        <v/>
      </c>
      <c r="E17" s="28">
        <f>IF('C6 GEG Neraca Aktual'!E$25=0,"",-('C6 GEG Neraca Aktual'!E13-'C6 GEG Neraca Aktual'!D13))</f>
        <v/>
      </c>
      <c r="F17" s="28">
        <f>IF('C6 GEG Neraca Aktual'!F$25=0,"",-('C6 GEG Neraca Aktual'!F13-'C6 GEG Neraca Aktual'!E13))</f>
        <v/>
      </c>
      <c r="G17" s="28">
        <f>IF('C6 GEG Neraca Aktual'!G$25=0,"",-('C6 GEG Neraca Aktual'!G13-'C6 GEG Neraca Aktual'!F13))</f>
        <v/>
      </c>
      <c r="H17" s="28">
        <f>IF('C6 GEG Neraca Aktual'!H$25=0,"",-('C6 GEG Neraca Aktual'!H13-'C6 GEG Neraca Aktual'!G13))</f>
        <v/>
      </c>
      <c r="I17" s="28">
        <f>IF('C6 GEG Neraca Aktual'!I$25=0,"",-('C6 GEG Neraca Aktual'!I13-'C6 GEG Neraca Aktual'!H13))</f>
        <v/>
      </c>
      <c r="J17" s="28">
        <f>IF('C6 GEG Neraca Aktual'!J$25=0,"",-('C6 GEG Neraca Aktual'!J13-'C6 GEG Neraca Aktual'!I13))</f>
        <v/>
      </c>
      <c r="K17" s="28">
        <f>IF('C6 GEG Neraca Aktual'!K$25=0,"",-('C6 GEG Neraca Aktual'!K13-'C6 GEG Neraca Aktual'!J13))</f>
        <v/>
      </c>
      <c r="L17" s="28">
        <f>IF('C6 GEG Neraca Aktual'!L$25=0,"",-('C6 GEG Neraca Aktual'!L13-'C6 GEG Neraca Aktual'!K13))</f>
        <v/>
      </c>
      <c r="M17" s="28">
        <f>IF('C6 GEG Neraca Aktual'!M$25=0,"",-('C6 GEG Neraca Aktual'!M13-'C6 GEG Neraca Aktual'!L13))</f>
        <v/>
      </c>
      <c r="N17" s="28">
        <f>IF('C6 GEG Neraca Aktual'!N$25=0,"",-('C6 GEG Neraca Aktual'!N13-'C6 GEG Neraca Aktual'!M13))</f>
        <v/>
      </c>
      <c r="O17" s="28">
        <f>IF('C6 GEG Neraca Aktual'!O$25=0,"",-('C6 GEG Neraca Aktual'!O13-'C6 GEG Neraca Aktual'!N13))</f>
        <v/>
      </c>
      <c r="P17" s="28">
        <f>SUMIF($D$5:$O$5,"&lt;="&amp;'C1 GEG Setting'!$C$6,D17:O17)</f>
        <v/>
      </c>
    </row>
    <row r="18">
      <c r="B18" s="10" t="inlineStr">
        <is>
          <t xml:space="preserve">   Pajak dibayar dimuka</t>
        </is>
      </c>
      <c r="D18" s="28">
        <f>IF('C6 GEG Neraca Aktual'!D$25=0,"",-('C6 GEG Neraca Aktual'!D14-'C6 GEG Neraca Aktual'!C14))</f>
        <v/>
      </c>
      <c r="E18" s="28">
        <f>IF('C6 GEG Neraca Aktual'!E$25=0,"",-('C6 GEG Neraca Aktual'!E14-'C6 GEG Neraca Aktual'!D14))</f>
        <v/>
      </c>
      <c r="F18" s="28">
        <f>IF('C6 GEG Neraca Aktual'!F$25=0,"",-('C6 GEG Neraca Aktual'!F14-'C6 GEG Neraca Aktual'!E14))</f>
        <v/>
      </c>
      <c r="G18" s="28">
        <f>IF('C6 GEG Neraca Aktual'!G$25=0,"",-('C6 GEG Neraca Aktual'!G14-'C6 GEG Neraca Aktual'!F14))</f>
        <v/>
      </c>
      <c r="H18" s="28">
        <f>IF('C6 GEG Neraca Aktual'!H$25=0,"",-('C6 GEG Neraca Aktual'!H14-'C6 GEG Neraca Aktual'!G14))</f>
        <v/>
      </c>
      <c r="I18" s="28">
        <f>IF('C6 GEG Neraca Aktual'!I$25=0,"",-('C6 GEG Neraca Aktual'!I14-'C6 GEG Neraca Aktual'!H14))</f>
        <v/>
      </c>
      <c r="J18" s="28">
        <f>IF('C6 GEG Neraca Aktual'!J$25=0,"",-('C6 GEG Neraca Aktual'!J14-'C6 GEG Neraca Aktual'!I14))</f>
        <v/>
      </c>
      <c r="K18" s="28">
        <f>IF('C6 GEG Neraca Aktual'!K$25=0,"",-('C6 GEG Neraca Aktual'!K14-'C6 GEG Neraca Aktual'!J14))</f>
        <v/>
      </c>
      <c r="L18" s="28">
        <f>IF('C6 GEG Neraca Aktual'!L$25=0,"",-('C6 GEG Neraca Aktual'!L14-'C6 GEG Neraca Aktual'!K14))</f>
        <v/>
      </c>
      <c r="M18" s="28">
        <f>IF('C6 GEG Neraca Aktual'!M$25=0,"",-('C6 GEG Neraca Aktual'!M14-'C6 GEG Neraca Aktual'!L14))</f>
        <v/>
      </c>
      <c r="N18" s="28">
        <f>IF('C6 GEG Neraca Aktual'!N$25=0,"",-('C6 GEG Neraca Aktual'!N14-'C6 GEG Neraca Aktual'!M14))</f>
        <v/>
      </c>
      <c r="O18" s="28">
        <f>IF('C6 GEG Neraca Aktual'!O$25=0,"",-('C6 GEG Neraca Aktual'!O14-'C6 GEG Neraca Aktual'!N14))</f>
        <v/>
      </c>
      <c r="P18" s="28">
        <f>SUMIF($D$5:$O$5,"&lt;="&amp;'C1 GEG Setting'!$C$6,D18:O18)</f>
        <v/>
      </c>
    </row>
    <row r="19">
      <c r="B19" s="10" t="inlineStr">
        <is>
          <t xml:space="preserve">   Utang usaha</t>
        </is>
      </c>
      <c r="D19" s="28">
        <f>IF('C6 GEG Neraca Aktual'!D$25=0,"",('C6 GEG Neraca Aktual'!D27-'C6 GEG Neraca Aktual'!C27))</f>
        <v/>
      </c>
      <c r="E19" s="28">
        <f>IF('C6 GEG Neraca Aktual'!E$25=0,"",('C6 GEG Neraca Aktual'!E27-'C6 GEG Neraca Aktual'!D27))</f>
        <v/>
      </c>
      <c r="F19" s="28">
        <f>IF('C6 GEG Neraca Aktual'!F$25=0,"",('C6 GEG Neraca Aktual'!F27-'C6 GEG Neraca Aktual'!E27))</f>
        <v/>
      </c>
      <c r="G19" s="28">
        <f>IF('C6 GEG Neraca Aktual'!G$25=0,"",('C6 GEG Neraca Aktual'!G27-'C6 GEG Neraca Aktual'!F27))</f>
        <v/>
      </c>
      <c r="H19" s="28">
        <f>IF('C6 GEG Neraca Aktual'!H$25=0,"",('C6 GEG Neraca Aktual'!H27-'C6 GEG Neraca Aktual'!G27))</f>
        <v/>
      </c>
      <c r="I19" s="28">
        <f>IF('C6 GEG Neraca Aktual'!I$25=0,"",('C6 GEG Neraca Aktual'!I27-'C6 GEG Neraca Aktual'!H27))</f>
        <v/>
      </c>
      <c r="J19" s="28">
        <f>IF('C6 GEG Neraca Aktual'!J$25=0,"",('C6 GEG Neraca Aktual'!J27-'C6 GEG Neraca Aktual'!I27))</f>
        <v/>
      </c>
      <c r="K19" s="28">
        <f>IF('C6 GEG Neraca Aktual'!K$25=0,"",('C6 GEG Neraca Aktual'!K27-'C6 GEG Neraca Aktual'!J27))</f>
        <v/>
      </c>
      <c r="L19" s="28">
        <f>IF('C6 GEG Neraca Aktual'!L$25=0,"",('C6 GEG Neraca Aktual'!L27-'C6 GEG Neraca Aktual'!K27))</f>
        <v/>
      </c>
      <c r="M19" s="28">
        <f>IF('C6 GEG Neraca Aktual'!M$25=0,"",('C6 GEG Neraca Aktual'!M27-'C6 GEG Neraca Aktual'!L27))</f>
        <v/>
      </c>
      <c r="N19" s="28">
        <f>IF('C6 GEG Neraca Aktual'!N$25=0,"",('C6 GEG Neraca Aktual'!N27-'C6 GEG Neraca Aktual'!M27))</f>
        <v/>
      </c>
      <c r="O19" s="28">
        <f>IF('C6 GEG Neraca Aktual'!O$25=0,"",('C6 GEG Neraca Aktual'!O27-'C6 GEG Neraca Aktual'!N27))</f>
        <v/>
      </c>
      <c r="P19" s="28">
        <f>SUMIF($D$5:$O$5,"&lt;="&amp;'C1 GEG Setting'!$C$6,D19:O19)</f>
        <v/>
      </c>
    </row>
    <row r="20">
      <c r="B20" s="10" t="inlineStr">
        <is>
          <t xml:space="preserve">   Utang royalti</t>
        </is>
      </c>
      <c r="D20" s="28">
        <f>IF('C6 GEG Neraca Aktual'!D$25=0,"",('C6 GEG Neraca Aktual'!D28-'C6 GEG Neraca Aktual'!C28))</f>
        <v/>
      </c>
      <c r="E20" s="28">
        <f>IF('C6 GEG Neraca Aktual'!E$25=0,"",('C6 GEG Neraca Aktual'!E28-'C6 GEG Neraca Aktual'!D28))</f>
        <v/>
      </c>
      <c r="F20" s="28">
        <f>IF('C6 GEG Neraca Aktual'!F$25=0,"",('C6 GEG Neraca Aktual'!F28-'C6 GEG Neraca Aktual'!E28))</f>
        <v/>
      </c>
      <c r="G20" s="28">
        <f>IF('C6 GEG Neraca Aktual'!G$25=0,"",('C6 GEG Neraca Aktual'!G28-'C6 GEG Neraca Aktual'!F28))</f>
        <v/>
      </c>
      <c r="H20" s="28">
        <f>IF('C6 GEG Neraca Aktual'!H$25=0,"",('C6 GEG Neraca Aktual'!H28-'C6 GEG Neraca Aktual'!G28))</f>
        <v/>
      </c>
      <c r="I20" s="28">
        <f>IF('C6 GEG Neraca Aktual'!I$25=0,"",('C6 GEG Neraca Aktual'!I28-'C6 GEG Neraca Aktual'!H28))</f>
        <v/>
      </c>
      <c r="J20" s="28">
        <f>IF('C6 GEG Neraca Aktual'!J$25=0,"",('C6 GEG Neraca Aktual'!J28-'C6 GEG Neraca Aktual'!I28))</f>
        <v/>
      </c>
      <c r="K20" s="28">
        <f>IF('C6 GEG Neraca Aktual'!K$25=0,"",('C6 GEG Neraca Aktual'!K28-'C6 GEG Neraca Aktual'!J28))</f>
        <v/>
      </c>
      <c r="L20" s="28">
        <f>IF('C6 GEG Neraca Aktual'!L$25=0,"",('C6 GEG Neraca Aktual'!L28-'C6 GEG Neraca Aktual'!K28))</f>
        <v/>
      </c>
      <c r="M20" s="28">
        <f>IF('C6 GEG Neraca Aktual'!M$25=0,"",('C6 GEG Neraca Aktual'!M28-'C6 GEG Neraca Aktual'!L28))</f>
        <v/>
      </c>
      <c r="N20" s="28">
        <f>IF('C6 GEG Neraca Aktual'!N$25=0,"",('C6 GEG Neraca Aktual'!N28-'C6 GEG Neraca Aktual'!M28))</f>
        <v/>
      </c>
      <c r="O20" s="28">
        <f>IF('C6 GEG Neraca Aktual'!O$25=0,"",('C6 GEG Neraca Aktual'!O28-'C6 GEG Neraca Aktual'!N28))</f>
        <v/>
      </c>
      <c r="P20" s="28">
        <f>SUMIF($D$5:$O$5,"&lt;="&amp;'C1 GEG Setting'!$C$6,D20:O20)</f>
        <v/>
      </c>
    </row>
    <row r="21">
      <c r="B21" s="10" t="inlineStr">
        <is>
          <t xml:space="preserve">   Beban akrual</t>
        </is>
      </c>
      <c r="D21" s="28">
        <f>IF('C6 GEG Neraca Aktual'!D$25=0,"",('C6 GEG Neraca Aktual'!D29-'C6 GEG Neraca Aktual'!C29))</f>
        <v/>
      </c>
      <c r="E21" s="28">
        <f>IF('C6 GEG Neraca Aktual'!E$25=0,"",('C6 GEG Neraca Aktual'!E29-'C6 GEG Neraca Aktual'!D29))</f>
        <v/>
      </c>
      <c r="F21" s="28">
        <f>IF('C6 GEG Neraca Aktual'!F$25=0,"",('C6 GEG Neraca Aktual'!F29-'C6 GEG Neraca Aktual'!E29))</f>
        <v/>
      </c>
      <c r="G21" s="28">
        <f>IF('C6 GEG Neraca Aktual'!G$25=0,"",('C6 GEG Neraca Aktual'!G29-'C6 GEG Neraca Aktual'!F29))</f>
        <v/>
      </c>
      <c r="H21" s="28">
        <f>IF('C6 GEG Neraca Aktual'!H$25=0,"",('C6 GEG Neraca Aktual'!H29-'C6 GEG Neraca Aktual'!G29))</f>
        <v/>
      </c>
      <c r="I21" s="28">
        <f>IF('C6 GEG Neraca Aktual'!I$25=0,"",('C6 GEG Neraca Aktual'!I29-'C6 GEG Neraca Aktual'!H29))</f>
        <v/>
      </c>
      <c r="J21" s="28">
        <f>IF('C6 GEG Neraca Aktual'!J$25=0,"",('C6 GEG Neraca Aktual'!J29-'C6 GEG Neraca Aktual'!I29))</f>
        <v/>
      </c>
      <c r="K21" s="28">
        <f>IF('C6 GEG Neraca Aktual'!K$25=0,"",('C6 GEG Neraca Aktual'!K29-'C6 GEG Neraca Aktual'!J29))</f>
        <v/>
      </c>
      <c r="L21" s="28">
        <f>IF('C6 GEG Neraca Aktual'!L$25=0,"",('C6 GEG Neraca Aktual'!L29-'C6 GEG Neraca Aktual'!K29))</f>
        <v/>
      </c>
      <c r="M21" s="28">
        <f>IF('C6 GEG Neraca Aktual'!M$25=0,"",('C6 GEG Neraca Aktual'!M29-'C6 GEG Neraca Aktual'!L29))</f>
        <v/>
      </c>
      <c r="N21" s="28">
        <f>IF('C6 GEG Neraca Aktual'!N$25=0,"",('C6 GEG Neraca Aktual'!N29-'C6 GEG Neraca Aktual'!M29))</f>
        <v/>
      </c>
      <c r="O21" s="28">
        <f>IF('C6 GEG Neraca Aktual'!O$25=0,"",('C6 GEG Neraca Aktual'!O29-'C6 GEG Neraca Aktual'!N29))</f>
        <v/>
      </c>
      <c r="P21" s="28">
        <f>SUMIF($D$5:$O$5,"&lt;="&amp;'C1 GEG Setting'!$C$6,D21:O21)</f>
        <v/>
      </c>
    </row>
    <row r="22">
      <c r="B22" s="10" t="inlineStr">
        <is>
          <t xml:space="preserve">   Utang pajak</t>
        </is>
      </c>
      <c r="D22" s="28">
        <f>IF('C6 GEG Neraca Aktual'!D$25=0,"",('C6 GEG Neraca Aktual'!D30-'C6 GEG Neraca Aktual'!C30))</f>
        <v/>
      </c>
      <c r="E22" s="28">
        <f>IF('C6 GEG Neraca Aktual'!E$25=0,"",('C6 GEG Neraca Aktual'!E30-'C6 GEG Neraca Aktual'!D30))</f>
        <v/>
      </c>
      <c r="F22" s="28">
        <f>IF('C6 GEG Neraca Aktual'!F$25=0,"",('C6 GEG Neraca Aktual'!F30-'C6 GEG Neraca Aktual'!E30))</f>
        <v/>
      </c>
      <c r="G22" s="28">
        <f>IF('C6 GEG Neraca Aktual'!G$25=0,"",('C6 GEG Neraca Aktual'!G30-'C6 GEG Neraca Aktual'!F30))</f>
        <v/>
      </c>
      <c r="H22" s="28">
        <f>IF('C6 GEG Neraca Aktual'!H$25=0,"",('C6 GEG Neraca Aktual'!H30-'C6 GEG Neraca Aktual'!G30))</f>
        <v/>
      </c>
      <c r="I22" s="28">
        <f>IF('C6 GEG Neraca Aktual'!I$25=0,"",('C6 GEG Neraca Aktual'!I30-'C6 GEG Neraca Aktual'!H30))</f>
        <v/>
      </c>
      <c r="J22" s="28">
        <f>IF('C6 GEG Neraca Aktual'!J$25=0,"",('C6 GEG Neraca Aktual'!J30-'C6 GEG Neraca Aktual'!I30))</f>
        <v/>
      </c>
      <c r="K22" s="28">
        <f>IF('C6 GEG Neraca Aktual'!K$25=0,"",('C6 GEG Neraca Aktual'!K30-'C6 GEG Neraca Aktual'!J30))</f>
        <v/>
      </c>
      <c r="L22" s="28">
        <f>IF('C6 GEG Neraca Aktual'!L$25=0,"",('C6 GEG Neraca Aktual'!L30-'C6 GEG Neraca Aktual'!K30))</f>
        <v/>
      </c>
      <c r="M22" s="28">
        <f>IF('C6 GEG Neraca Aktual'!M$25=0,"",('C6 GEG Neraca Aktual'!M30-'C6 GEG Neraca Aktual'!L30))</f>
        <v/>
      </c>
      <c r="N22" s="28">
        <f>IF('C6 GEG Neraca Aktual'!N$25=0,"",('C6 GEG Neraca Aktual'!N30-'C6 GEG Neraca Aktual'!M30))</f>
        <v/>
      </c>
      <c r="O22" s="28">
        <f>IF('C6 GEG Neraca Aktual'!O$25=0,"",('C6 GEG Neraca Aktual'!O30-'C6 GEG Neraca Aktual'!N30))</f>
        <v/>
      </c>
      <c r="P22" s="28">
        <f>SUMIF($D$5:$O$5,"&lt;="&amp;'C1 GEG Setting'!$C$6,D22:O22)</f>
        <v/>
      </c>
    </row>
    <row r="23">
      <c r="B23" s="48" t="inlineStr">
        <is>
          <t>KAS BERSIH DARI AKTIVITAS OPERASI</t>
        </is>
      </c>
      <c r="C23" s="72" t="n"/>
      <c r="D23" s="50">
        <f>IF('C6 GEG Neraca Aktual'!D$25=0,"",SUM(D8:D22))</f>
        <v/>
      </c>
      <c r="E23" s="50">
        <f>IF('C6 GEG Neraca Aktual'!E$25=0,"",SUM(E8:E22))</f>
        <v/>
      </c>
      <c r="F23" s="50">
        <f>IF('C6 GEG Neraca Aktual'!F$25=0,"",SUM(F8:F22))</f>
        <v/>
      </c>
      <c r="G23" s="50">
        <f>IF('C6 GEG Neraca Aktual'!G$25=0,"",SUM(G8:G22))</f>
        <v/>
      </c>
      <c r="H23" s="50">
        <f>IF('C6 GEG Neraca Aktual'!H$25=0,"",SUM(H8:H22))</f>
        <v/>
      </c>
      <c r="I23" s="50">
        <f>IF('C6 GEG Neraca Aktual'!I$25=0,"",SUM(I8:I22))</f>
        <v/>
      </c>
      <c r="J23" s="50">
        <f>IF('C6 GEG Neraca Aktual'!J$25=0,"",SUM(J8:J22))</f>
        <v/>
      </c>
      <c r="K23" s="50">
        <f>IF('C6 GEG Neraca Aktual'!K$25=0,"",SUM(K8:K22))</f>
        <v/>
      </c>
      <c r="L23" s="50">
        <f>IF('C6 GEG Neraca Aktual'!L$25=0,"",SUM(L8:L22))</f>
        <v/>
      </c>
      <c r="M23" s="50">
        <f>IF('C6 GEG Neraca Aktual'!M$25=0,"",SUM(M8:M22))</f>
        <v/>
      </c>
      <c r="N23" s="50">
        <f>IF('C6 GEG Neraca Aktual'!N$25=0,"",SUM(N8:N22))</f>
        <v/>
      </c>
      <c r="O23" s="50">
        <f>IF('C6 GEG Neraca Aktual'!O$25=0,"",SUM(O8:O22))</f>
        <v/>
      </c>
      <c r="P23" s="50">
        <f>SUMIF($D$5:$O$5,"&lt;="&amp;'C1 GEG Setting'!$C$6,D23:O23)</f>
        <v/>
      </c>
    </row>
    <row r="24">
      <c r="A24" s="4" t="inlineStr">
        <is>
          <t>ARUS KAS DARI AKTIVITAS INVESTASI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B25" s="10" t="inlineStr">
        <is>
          <t xml:space="preserve">   Perolehan aset tetap</t>
        </is>
      </c>
      <c r="D25" s="28">
        <f>IF('C6 GEG Neraca Aktual'!D$25=0,"",-(('C6 GEG Neraca Aktual'!D17-'C6 GEG Neraca Aktual'!C17)+'C5 GEG LR Aktual'!D43+'C5 GEG LR Aktual'!D69))</f>
        <v/>
      </c>
      <c r="E25" s="28">
        <f>IF('C6 GEG Neraca Aktual'!E$25=0,"",-(('C6 GEG Neraca Aktual'!E17-'C6 GEG Neraca Aktual'!D17)+'C5 GEG LR Aktual'!E43+'C5 GEG LR Aktual'!E69))</f>
        <v/>
      </c>
      <c r="F25" s="28">
        <f>IF('C6 GEG Neraca Aktual'!F$25=0,"",-(('C6 GEG Neraca Aktual'!F17-'C6 GEG Neraca Aktual'!E17)+'C5 GEG LR Aktual'!F43+'C5 GEG LR Aktual'!F69))</f>
        <v/>
      </c>
      <c r="G25" s="28">
        <f>IF('C6 GEG Neraca Aktual'!G$25=0,"",-(('C6 GEG Neraca Aktual'!G17-'C6 GEG Neraca Aktual'!F17)+'C5 GEG LR Aktual'!G43+'C5 GEG LR Aktual'!G69))</f>
        <v/>
      </c>
      <c r="H25" s="28">
        <f>IF('C6 GEG Neraca Aktual'!H$25=0,"",-(('C6 GEG Neraca Aktual'!H17-'C6 GEG Neraca Aktual'!G17)+'C5 GEG LR Aktual'!H43+'C5 GEG LR Aktual'!H69))</f>
        <v/>
      </c>
      <c r="I25" s="28">
        <f>IF('C6 GEG Neraca Aktual'!I$25=0,"",-(('C6 GEG Neraca Aktual'!I17-'C6 GEG Neraca Aktual'!H17)+'C5 GEG LR Aktual'!I43+'C5 GEG LR Aktual'!I69))</f>
        <v/>
      </c>
      <c r="J25" s="28">
        <f>IF('C6 GEG Neraca Aktual'!J$25=0,"",-(('C6 GEG Neraca Aktual'!J17-'C6 GEG Neraca Aktual'!I17)+'C5 GEG LR Aktual'!J43+'C5 GEG LR Aktual'!J69))</f>
        <v/>
      </c>
      <c r="K25" s="28">
        <f>IF('C6 GEG Neraca Aktual'!K$25=0,"",-(('C6 GEG Neraca Aktual'!K17-'C6 GEG Neraca Aktual'!J17)+'C5 GEG LR Aktual'!K43+'C5 GEG LR Aktual'!K69))</f>
        <v/>
      </c>
      <c r="L25" s="28">
        <f>IF('C6 GEG Neraca Aktual'!L$25=0,"",-(('C6 GEG Neraca Aktual'!L17-'C6 GEG Neraca Aktual'!K17)+'C5 GEG LR Aktual'!L43+'C5 GEG LR Aktual'!L69))</f>
        <v/>
      </c>
      <c r="M25" s="28">
        <f>IF('C6 GEG Neraca Aktual'!M$25=0,"",-(('C6 GEG Neraca Aktual'!M17-'C6 GEG Neraca Aktual'!L17)+'C5 GEG LR Aktual'!M43+'C5 GEG LR Aktual'!M69))</f>
        <v/>
      </c>
      <c r="N25" s="28">
        <f>IF('C6 GEG Neraca Aktual'!N$25=0,"",-(('C6 GEG Neraca Aktual'!N17-'C6 GEG Neraca Aktual'!M17)+'C5 GEG LR Aktual'!N43+'C5 GEG LR Aktual'!N69))</f>
        <v/>
      </c>
      <c r="O25" s="28">
        <f>IF('C6 GEG Neraca Aktual'!O$25=0,"",-(('C6 GEG Neraca Aktual'!O17-'C6 GEG Neraca Aktual'!N17)+'C5 GEG LR Aktual'!O43+'C5 GEG LR Aktual'!O69))</f>
        <v/>
      </c>
      <c r="P25" s="28">
        <f>SUMIF($D$5:$O$5,"&lt;="&amp;'C1 GEG Setting'!$C$6,D25:O25)</f>
        <v/>
      </c>
    </row>
    <row r="26">
      <c r="B26" s="10" t="inlineStr">
        <is>
          <t xml:space="preserve">   Penambahan properti pertambangan</t>
        </is>
      </c>
      <c r="D26" s="28">
        <f>IF('C6 GEG Neraca Aktual'!D$25=0,"",-(('C6 GEG Neraca Aktual'!D18-'C6 GEG Neraca Aktual'!C18)+'C5 GEG LR Aktual'!D44))</f>
        <v/>
      </c>
      <c r="E26" s="28">
        <f>IF('C6 GEG Neraca Aktual'!E$25=0,"",-(('C6 GEG Neraca Aktual'!E18-'C6 GEG Neraca Aktual'!D18)+'C5 GEG LR Aktual'!E44))</f>
        <v/>
      </c>
      <c r="F26" s="28">
        <f>IF('C6 GEG Neraca Aktual'!F$25=0,"",-(('C6 GEG Neraca Aktual'!F18-'C6 GEG Neraca Aktual'!E18)+'C5 GEG LR Aktual'!F44))</f>
        <v/>
      </c>
      <c r="G26" s="28">
        <f>IF('C6 GEG Neraca Aktual'!G$25=0,"",-(('C6 GEG Neraca Aktual'!G18-'C6 GEG Neraca Aktual'!F18)+'C5 GEG LR Aktual'!G44))</f>
        <v/>
      </c>
      <c r="H26" s="28">
        <f>IF('C6 GEG Neraca Aktual'!H$25=0,"",-(('C6 GEG Neraca Aktual'!H18-'C6 GEG Neraca Aktual'!G18)+'C5 GEG LR Aktual'!H44))</f>
        <v/>
      </c>
      <c r="I26" s="28">
        <f>IF('C6 GEG Neraca Aktual'!I$25=0,"",-(('C6 GEG Neraca Aktual'!I18-'C6 GEG Neraca Aktual'!H18)+'C5 GEG LR Aktual'!I44))</f>
        <v/>
      </c>
      <c r="J26" s="28">
        <f>IF('C6 GEG Neraca Aktual'!J$25=0,"",-(('C6 GEG Neraca Aktual'!J18-'C6 GEG Neraca Aktual'!I18)+'C5 GEG LR Aktual'!J44))</f>
        <v/>
      </c>
      <c r="K26" s="28">
        <f>IF('C6 GEG Neraca Aktual'!K$25=0,"",-(('C6 GEG Neraca Aktual'!K18-'C6 GEG Neraca Aktual'!J18)+'C5 GEG LR Aktual'!K44))</f>
        <v/>
      </c>
      <c r="L26" s="28">
        <f>IF('C6 GEG Neraca Aktual'!L$25=0,"",-(('C6 GEG Neraca Aktual'!L18-'C6 GEG Neraca Aktual'!K18)+'C5 GEG LR Aktual'!L44))</f>
        <v/>
      </c>
      <c r="M26" s="28">
        <f>IF('C6 GEG Neraca Aktual'!M$25=0,"",-(('C6 GEG Neraca Aktual'!M18-'C6 GEG Neraca Aktual'!L18)+'C5 GEG LR Aktual'!M44))</f>
        <v/>
      </c>
      <c r="N26" s="28">
        <f>IF('C6 GEG Neraca Aktual'!N$25=0,"",-(('C6 GEG Neraca Aktual'!N18-'C6 GEG Neraca Aktual'!M18)+'C5 GEG LR Aktual'!N44))</f>
        <v/>
      </c>
      <c r="O26" s="28">
        <f>IF('C6 GEG Neraca Aktual'!O$25=0,"",-(('C6 GEG Neraca Aktual'!O18-'C6 GEG Neraca Aktual'!N18)+'C5 GEG LR Aktual'!O44))</f>
        <v/>
      </c>
      <c r="P26" s="28">
        <f>SUMIF($D$5:$O$5,"&lt;="&amp;'C1 GEG Setting'!$C$6,D26:O26)</f>
        <v/>
      </c>
    </row>
    <row r="27">
      <c r="B27" s="10" t="inlineStr">
        <is>
          <t xml:space="preserve">   Biaya pengupasan tangguhan</t>
        </is>
      </c>
      <c r="D27" s="28">
        <f>IF('C6 GEG Neraca Aktual'!D$25=0,"",-(('C6 GEG Neraca Aktual'!D20-'C6 GEG Neraca Aktual'!C20)+'C5 GEG LR Aktual'!D45))</f>
        <v/>
      </c>
      <c r="E27" s="28">
        <f>IF('C6 GEG Neraca Aktual'!E$25=0,"",-(('C6 GEG Neraca Aktual'!E20-'C6 GEG Neraca Aktual'!D20)+'C5 GEG LR Aktual'!E45))</f>
        <v/>
      </c>
      <c r="F27" s="28">
        <f>IF('C6 GEG Neraca Aktual'!F$25=0,"",-(('C6 GEG Neraca Aktual'!F20-'C6 GEG Neraca Aktual'!E20)+'C5 GEG LR Aktual'!F45))</f>
        <v/>
      </c>
      <c r="G27" s="28">
        <f>IF('C6 GEG Neraca Aktual'!G$25=0,"",-(('C6 GEG Neraca Aktual'!G20-'C6 GEG Neraca Aktual'!F20)+'C5 GEG LR Aktual'!G45))</f>
        <v/>
      </c>
      <c r="H27" s="28">
        <f>IF('C6 GEG Neraca Aktual'!H$25=0,"",-(('C6 GEG Neraca Aktual'!H20-'C6 GEG Neraca Aktual'!G20)+'C5 GEG LR Aktual'!H45))</f>
        <v/>
      </c>
      <c r="I27" s="28">
        <f>IF('C6 GEG Neraca Aktual'!I$25=0,"",-(('C6 GEG Neraca Aktual'!I20-'C6 GEG Neraca Aktual'!H20)+'C5 GEG LR Aktual'!I45))</f>
        <v/>
      </c>
      <c r="J27" s="28">
        <f>IF('C6 GEG Neraca Aktual'!J$25=0,"",-(('C6 GEG Neraca Aktual'!J20-'C6 GEG Neraca Aktual'!I20)+'C5 GEG LR Aktual'!J45))</f>
        <v/>
      </c>
      <c r="K27" s="28">
        <f>IF('C6 GEG Neraca Aktual'!K$25=0,"",-(('C6 GEG Neraca Aktual'!K20-'C6 GEG Neraca Aktual'!J20)+'C5 GEG LR Aktual'!K45))</f>
        <v/>
      </c>
      <c r="L27" s="28">
        <f>IF('C6 GEG Neraca Aktual'!L$25=0,"",-(('C6 GEG Neraca Aktual'!L20-'C6 GEG Neraca Aktual'!K20)+'C5 GEG LR Aktual'!L45))</f>
        <v/>
      </c>
      <c r="M27" s="28">
        <f>IF('C6 GEG Neraca Aktual'!M$25=0,"",-(('C6 GEG Neraca Aktual'!M20-'C6 GEG Neraca Aktual'!L20)+'C5 GEG LR Aktual'!M45))</f>
        <v/>
      </c>
      <c r="N27" s="28">
        <f>IF('C6 GEG Neraca Aktual'!N$25=0,"",-(('C6 GEG Neraca Aktual'!N20-'C6 GEG Neraca Aktual'!M20)+'C5 GEG LR Aktual'!N45))</f>
        <v/>
      </c>
      <c r="O27" s="28">
        <f>IF('C6 GEG Neraca Aktual'!O$25=0,"",-(('C6 GEG Neraca Aktual'!O20-'C6 GEG Neraca Aktual'!N20)+'C5 GEG LR Aktual'!O45))</f>
        <v/>
      </c>
      <c r="P27" s="28">
        <f>SUMIF($D$5:$O$5,"&lt;="&amp;'C1 GEG Setting'!$C$6,D27:O27)</f>
        <v/>
      </c>
    </row>
    <row r="28">
      <c r="B28" s="10" t="inlineStr">
        <is>
          <t xml:space="preserve">   Eksplorasi &amp; evaluasi</t>
        </is>
      </c>
      <c r="D28" s="28">
        <f>IF('C6 GEG Neraca Aktual'!D$25=0,"",-('C6 GEG Neraca Aktual'!D19-'C6 GEG Neraca Aktual'!C19))</f>
        <v/>
      </c>
      <c r="E28" s="28">
        <f>IF('C6 GEG Neraca Aktual'!E$25=0,"",-('C6 GEG Neraca Aktual'!E19-'C6 GEG Neraca Aktual'!D19))</f>
        <v/>
      </c>
      <c r="F28" s="28">
        <f>IF('C6 GEG Neraca Aktual'!F$25=0,"",-('C6 GEG Neraca Aktual'!F19-'C6 GEG Neraca Aktual'!E19))</f>
        <v/>
      </c>
      <c r="G28" s="28">
        <f>IF('C6 GEG Neraca Aktual'!G$25=0,"",-('C6 GEG Neraca Aktual'!G19-'C6 GEG Neraca Aktual'!F19))</f>
        <v/>
      </c>
      <c r="H28" s="28">
        <f>IF('C6 GEG Neraca Aktual'!H$25=0,"",-('C6 GEG Neraca Aktual'!H19-'C6 GEG Neraca Aktual'!G19))</f>
        <v/>
      </c>
      <c r="I28" s="28">
        <f>IF('C6 GEG Neraca Aktual'!I$25=0,"",-('C6 GEG Neraca Aktual'!I19-'C6 GEG Neraca Aktual'!H19))</f>
        <v/>
      </c>
      <c r="J28" s="28">
        <f>IF('C6 GEG Neraca Aktual'!J$25=0,"",-('C6 GEG Neraca Aktual'!J19-'C6 GEG Neraca Aktual'!I19))</f>
        <v/>
      </c>
      <c r="K28" s="28">
        <f>IF('C6 GEG Neraca Aktual'!K$25=0,"",-('C6 GEG Neraca Aktual'!K19-'C6 GEG Neraca Aktual'!J19))</f>
        <v/>
      </c>
      <c r="L28" s="28">
        <f>IF('C6 GEG Neraca Aktual'!L$25=0,"",-('C6 GEG Neraca Aktual'!L19-'C6 GEG Neraca Aktual'!K19))</f>
        <v/>
      </c>
      <c r="M28" s="28">
        <f>IF('C6 GEG Neraca Aktual'!M$25=0,"",-('C6 GEG Neraca Aktual'!M19-'C6 GEG Neraca Aktual'!L19))</f>
        <v/>
      </c>
      <c r="N28" s="28">
        <f>IF('C6 GEG Neraca Aktual'!N$25=0,"",-('C6 GEG Neraca Aktual'!N19-'C6 GEG Neraca Aktual'!M19))</f>
        <v/>
      </c>
      <c r="O28" s="28">
        <f>IF('C6 GEG Neraca Aktual'!O$25=0,"",-('C6 GEG Neraca Aktual'!O19-'C6 GEG Neraca Aktual'!N19))</f>
        <v/>
      </c>
      <c r="P28" s="28">
        <f>SUMIF($D$5:$O$5,"&lt;="&amp;'C1 GEG Setting'!$C$6,D28:O28)</f>
        <v/>
      </c>
    </row>
    <row r="29">
      <c r="B29" s="10" t="inlineStr">
        <is>
          <t xml:space="preserve">   Dana jaminan reklamasi</t>
        </is>
      </c>
      <c r="D29" s="28">
        <f>IF('C6 GEG Neraca Aktual'!D$25=0,"",-('C6 GEG Neraca Aktual'!D21-'C6 GEG Neraca Aktual'!C21))</f>
        <v/>
      </c>
      <c r="E29" s="28">
        <f>IF('C6 GEG Neraca Aktual'!E$25=0,"",-('C6 GEG Neraca Aktual'!E21-'C6 GEG Neraca Aktual'!D21))</f>
        <v/>
      </c>
      <c r="F29" s="28">
        <f>IF('C6 GEG Neraca Aktual'!F$25=0,"",-('C6 GEG Neraca Aktual'!F21-'C6 GEG Neraca Aktual'!E21))</f>
        <v/>
      </c>
      <c r="G29" s="28">
        <f>IF('C6 GEG Neraca Aktual'!G$25=0,"",-('C6 GEG Neraca Aktual'!G21-'C6 GEG Neraca Aktual'!F21))</f>
        <v/>
      </c>
      <c r="H29" s="28">
        <f>IF('C6 GEG Neraca Aktual'!H$25=0,"",-('C6 GEG Neraca Aktual'!H21-'C6 GEG Neraca Aktual'!G21))</f>
        <v/>
      </c>
      <c r="I29" s="28">
        <f>IF('C6 GEG Neraca Aktual'!I$25=0,"",-('C6 GEG Neraca Aktual'!I21-'C6 GEG Neraca Aktual'!H21))</f>
        <v/>
      </c>
      <c r="J29" s="28">
        <f>IF('C6 GEG Neraca Aktual'!J$25=0,"",-('C6 GEG Neraca Aktual'!J21-'C6 GEG Neraca Aktual'!I21))</f>
        <v/>
      </c>
      <c r="K29" s="28">
        <f>IF('C6 GEG Neraca Aktual'!K$25=0,"",-('C6 GEG Neraca Aktual'!K21-'C6 GEG Neraca Aktual'!J21))</f>
        <v/>
      </c>
      <c r="L29" s="28">
        <f>IF('C6 GEG Neraca Aktual'!L$25=0,"",-('C6 GEG Neraca Aktual'!L21-'C6 GEG Neraca Aktual'!K21))</f>
        <v/>
      </c>
      <c r="M29" s="28">
        <f>IF('C6 GEG Neraca Aktual'!M$25=0,"",-('C6 GEG Neraca Aktual'!M21-'C6 GEG Neraca Aktual'!L21))</f>
        <v/>
      </c>
      <c r="N29" s="28">
        <f>IF('C6 GEG Neraca Aktual'!N$25=0,"",-('C6 GEG Neraca Aktual'!N21-'C6 GEG Neraca Aktual'!M21))</f>
        <v/>
      </c>
      <c r="O29" s="28">
        <f>IF('C6 GEG Neraca Aktual'!O$25=0,"",-('C6 GEG Neraca Aktual'!O21-'C6 GEG Neraca Aktual'!N21))</f>
        <v/>
      </c>
      <c r="P29" s="28">
        <f>SUMIF($D$5:$O$5,"&lt;="&amp;'C1 GEG Setting'!$C$6,D29:O29)</f>
        <v/>
      </c>
    </row>
    <row r="30">
      <c r="B30" s="10" t="inlineStr">
        <is>
          <t xml:space="preserve">   Aset tidak lancar lainnya</t>
        </is>
      </c>
      <c r="D30" s="28">
        <f>IF('C6 GEG Neraca Aktual'!D$25=0,"",-('C6 GEG Neraca Aktual'!D23-'C6 GEG Neraca Aktual'!C23))</f>
        <v/>
      </c>
      <c r="E30" s="28">
        <f>IF('C6 GEG Neraca Aktual'!E$25=0,"",-('C6 GEG Neraca Aktual'!E23-'C6 GEG Neraca Aktual'!D23))</f>
        <v/>
      </c>
      <c r="F30" s="28">
        <f>IF('C6 GEG Neraca Aktual'!F$25=0,"",-('C6 GEG Neraca Aktual'!F23-'C6 GEG Neraca Aktual'!E23))</f>
        <v/>
      </c>
      <c r="G30" s="28">
        <f>IF('C6 GEG Neraca Aktual'!G$25=0,"",-('C6 GEG Neraca Aktual'!G23-'C6 GEG Neraca Aktual'!F23))</f>
        <v/>
      </c>
      <c r="H30" s="28">
        <f>IF('C6 GEG Neraca Aktual'!H$25=0,"",-('C6 GEG Neraca Aktual'!H23-'C6 GEG Neraca Aktual'!G23))</f>
        <v/>
      </c>
      <c r="I30" s="28">
        <f>IF('C6 GEG Neraca Aktual'!I$25=0,"",-('C6 GEG Neraca Aktual'!I23-'C6 GEG Neraca Aktual'!H23))</f>
        <v/>
      </c>
      <c r="J30" s="28">
        <f>IF('C6 GEG Neraca Aktual'!J$25=0,"",-('C6 GEG Neraca Aktual'!J23-'C6 GEG Neraca Aktual'!I23))</f>
        <v/>
      </c>
      <c r="K30" s="28">
        <f>IF('C6 GEG Neraca Aktual'!K$25=0,"",-('C6 GEG Neraca Aktual'!K23-'C6 GEG Neraca Aktual'!J23))</f>
        <v/>
      </c>
      <c r="L30" s="28">
        <f>IF('C6 GEG Neraca Aktual'!L$25=0,"",-('C6 GEG Neraca Aktual'!L23-'C6 GEG Neraca Aktual'!K23))</f>
        <v/>
      </c>
      <c r="M30" s="28">
        <f>IF('C6 GEG Neraca Aktual'!M$25=0,"",-('C6 GEG Neraca Aktual'!M23-'C6 GEG Neraca Aktual'!L23))</f>
        <v/>
      </c>
      <c r="N30" s="28">
        <f>IF('C6 GEG Neraca Aktual'!N$25=0,"",-('C6 GEG Neraca Aktual'!N23-'C6 GEG Neraca Aktual'!M23))</f>
        <v/>
      </c>
      <c r="O30" s="28">
        <f>IF('C6 GEG Neraca Aktual'!O$25=0,"",-('C6 GEG Neraca Aktual'!O23-'C6 GEG Neraca Aktual'!N23))</f>
        <v/>
      </c>
      <c r="P30" s="28">
        <f>SUMIF($D$5:$O$5,"&lt;="&amp;'C1 GEG Setting'!$C$6,D30:O30)</f>
        <v/>
      </c>
    </row>
    <row r="31">
      <c r="B31" s="48" t="inlineStr">
        <is>
          <t>KAS BERSIH UNTUK AKTIVITAS INVESTASI</t>
        </is>
      </c>
      <c r="C31" s="72" t="n"/>
      <c r="D31" s="50">
        <f>IF('C6 GEG Neraca Aktual'!D$25=0,"",SUM(D25:D30))</f>
        <v/>
      </c>
      <c r="E31" s="50">
        <f>IF('C6 GEG Neraca Aktual'!E$25=0,"",SUM(E25:E30))</f>
        <v/>
      </c>
      <c r="F31" s="50">
        <f>IF('C6 GEG Neraca Aktual'!F$25=0,"",SUM(F25:F30))</f>
        <v/>
      </c>
      <c r="G31" s="50">
        <f>IF('C6 GEG Neraca Aktual'!G$25=0,"",SUM(G25:G30))</f>
        <v/>
      </c>
      <c r="H31" s="50">
        <f>IF('C6 GEG Neraca Aktual'!H$25=0,"",SUM(H25:H30))</f>
        <v/>
      </c>
      <c r="I31" s="50">
        <f>IF('C6 GEG Neraca Aktual'!I$25=0,"",SUM(I25:I30))</f>
        <v/>
      </c>
      <c r="J31" s="50">
        <f>IF('C6 GEG Neraca Aktual'!J$25=0,"",SUM(J25:J30))</f>
        <v/>
      </c>
      <c r="K31" s="50">
        <f>IF('C6 GEG Neraca Aktual'!K$25=0,"",SUM(K25:K30))</f>
        <v/>
      </c>
      <c r="L31" s="50">
        <f>IF('C6 GEG Neraca Aktual'!L$25=0,"",SUM(L25:L30))</f>
        <v/>
      </c>
      <c r="M31" s="50">
        <f>IF('C6 GEG Neraca Aktual'!M$25=0,"",SUM(M25:M30))</f>
        <v/>
      </c>
      <c r="N31" s="50">
        <f>IF('C6 GEG Neraca Aktual'!N$25=0,"",SUM(N25:N30))</f>
        <v/>
      </c>
      <c r="O31" s="50">
        <f>IF('C6 GEG Neraca Aktual'!O$25=0,"",SUM(O25:O30))</f>
        <v/>
      </c>
      <c r="P31" s="50">
        <f>SUMIF($D$5:$O$5,"&lt;="&amp;'C1 GEG Setting'!$C$6,D31:O31)</f>
        <v/>
      </c>
    </row>
    <row r="32">
      <c r="A32" s="4" t="inlineStr">
        <is>
          <t>ARUS KAS DARI AKTIVITAS PENDANAAN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B33" s="10" t="inlineStr">
        <is>
          <t xml:space="preserve">   Pinjaman jangka pendek – neto</t>
        </is>
      </c>
      <c r="D33" s="28">
        <f>IF('C6 GEG Neraca Aktual'!D$25=0,"",('C6 GEG Neraca Aktual'!D31-'C6 GEG Neraca Aktual'!C31))</f>
        <v/>
      </c>
      <c r="E33" s="28">
        <f>IF('C6 GEG Neraca Aktual'!E$25=0,"",('C6 GEG Neraca Aktual'!E31-'C6 GEG Neraca Aktual'!D31))</f>
        <v/>
      </c>
      <c r="F33" s="28">
        <f>IF('C6 GEG Neraca Aktual'!F$25=0,"",('C6 GEG Neraca Aktual'!F31-'C6 GEG Neraca Aktual'!E31))</f>
        <v/>
      </c>
      <c r="G33" s="28">
        <f>IF('C6 GEG Neraca Aktual'!G$25=0,"",('C6 GEG Neraca Aktual'!G31-'C6 GEG Neraca Aktual'!F31))</f>
        <v/>
      </c>
      <c r="H33" s="28">
        <f>IF('C6 GEG Neraca Aktual'!H$25=0,"",('C6 GEG Neraca Aktual'!H31-'C6 GEG Neraca Aktual'!G31))</f>
        <v/>
      </c>
      <c r="I33" s="28">
        <f>IF('C6 GEG Neraca Aktual'!I$25=0,"",('C6 GEG Neraca Aktual'!I31-'C6 GEG Neraca Aktual'!H31))</f>
        <v/>
      </c>
      <c r="J33" s="28">
        <f>IF('C6 GEG Neraca Aktual'!J$25=0,"",('C6 GEG Neraca Aktual'!J31-'C6 GEG Neraca Aktual'!I31))</f>
        <v/>
      </c>
      <c r="K33" s="28">
        <f>IF('C6 GEG Neraca Aktual'!K$25=0,"",('C6 GEG Neraca Aktual'!K31-'C6 GEG Neraca Aktual'!J31))</f>
        <v/>
      </c>
      <c r="L33" s="28">
        <f>IF('C6 GEG Neraca Aktual'!L$25=0,"",('C6 GEG Neraca Aktual'!L31-'C6 GEG Neraca Aktual'!K31))</f>
        <v/>
      </c>
      <c r="M33" s="28">
        <f>IF('C6 GEG Neraca Aktual'!M$25=0,"",('C6 GEG Neraca Aktual'!M31-'C6 GEG Neraca Aktual'!L31))</f>
        <v/>
      </c>
      <c r="N33" s="28">
        <f>IF('C6 GEG Neraca Aktual'!N$25=0,"",('C6 GEG Neraca Aktual'!N31-'C6 GEG Neraca Aktual'!M31))</f>
        <v/>
      </c>
      <c r="O33" s="28">
        <f>IF('C6 GEG Neraca Aktual'!O$25=0,"",('C6 GEG Neraca Aktual'!O31-'C6 GEG Neraca Aktual'!N31))</f>
        <v/>
      </c>
      <c r="P33" s="28">
        <f>SUMIF($D$5:$O$5,"&lt;="&amp;'C1 GEG Setting'!$C$6,D33:O33)</f>
        <v/>
      </c>
    </row>
    <row r="34">
      <c r="B34" s="10" t="inlineStr">
        <is>
          <t xml:space="preserve">   Pinjaman jangka panjang – neto</t>
        </is>
      </c>
      <c r="D34" s="28">
        <f>IF('C6 GEG Neraca Aktual'!D$25=0,"",('C6 GEG Neraca Aktual'!D32-'C6 GEG Neraca Aktual'!C32)+('C6 GEG Neraca Aktual'!D35-'C6 GEG Neraca Aktual'!C35))</f>
        <v/>
      </c>
      <c r="E34" s="28">
        <f>IF('C6 GEG Neraca Aktual'!E$25=0,"",('C6 GEG Neraca Aktual'!E32-'C6 GEG Neraca Aktual'!D32)+('C6 GEG Neraca Aktual'!E35-'C6 GEG Neraca Aktual'!D35))</f>
        <v/>
      </c>
      <c r="F34" s="28">
        <f>IF('C6 GEG Neraca Aktual'!F$25=0,"",('C6 GEG Neraca Aktual'!F32-'C6 GEG Neraca Aktual'!E32)+('C6 GEG Neraca Aktual'!F35-'C6 GEG Neraca Aktual'!E35))</f>
        <v/>
      </c>
      <c r="G34" s="28">
        <f>IF('C6 GEG Neraca Aktual'!G$25=0,"",('C6 GEG Neraca Aktual'!G32-'C6 GEG Neraca Aktual'!F32)+('C6 GEG Neraca Aktual'!G35-'C6 GEG Neraca Aktual'!F35))</f>
        <v/>
      </c>
      <c r="H34" s="28">
        <f>IF('C6 GEG Neraca Aktual'!H$25=0,"",('C6 GEG Neraca Aktual'!H32-'C6 GEG Neraca Aktual'!G32)+('C6 GEG Neraca Aktual'!H35-'C6 GEG Neraca Aktual'!G35))</f>
        <v/>
      </c>
      <c r="I34" s="28">
        <f>IF('C6 GEG Neraca Aktual'!I$25=0,"",('C6 GEG Neraca Aktual'!I32-'C6 GEG Neraca Aktual'!H32)+('C6 GEG Neraca Aktual'!I35-'C6 GEG Neraca Aktual'!H35))</f>
        <v/>
      </c>
      <c r="J34" s="28">
        <f>IF('C6 GEG Neraca Aktual'!J$25=0,"",('C6 GEG Neraca Aktual'!J32-'C6 GEG Neraca Aktual'!I32)+('C6 GEG Neraca Aktual'!J35-'C6 GEG Neraca Aktual'!I35))</f>
        <v/>
      </c>
      <c r="K34" s="28">
        <f>IF('C6 GEG Neraca Aktual'!K$25=0,"",('C6 GEG Neraca Aktual'!K32-'C6 GEG Neraca Aktual'!J32)+('C6 GEG Neraca Aktual'!K35-'C6 GEG Neraca Aktual'!J35))</f>
        <v/>
      </c>
      <c r="L34" s="28">
        <f>IF('C6 GEG Neraca Aktual'!L$25=0,"",('C6 GEG Neraca Aktual'!L32-'C6 GEG Neraca Aktual'!K32)+('C6 GEG Neraca Aktual'!L35-'C6 GEG Neraca Aktual'!K35))</f>
        <v/>
      </c>
      <c r="M34" s="28">
        <f>IF('C6 GEG Neraca Aktual'!M$25=0,"",('C6 GEG Neraca Aktual'!M32-'C6 GEG Neraca Aktual'!L32)+('C6 GEG Neraca Aktual'!M35-'C6 GEG Neraca Aktual'!L35))</f>
        <v/>
      </c>
      <c r="N34" s="28">
        <f>IF('C6 GEG Neraca Aktual'!N$25=0,"",('C6 GEG Neraca Aktual'!N32-'C6 GEG Neraca Aktual'!M32)+('C6 GEG Neraca Aktual'!N35-'C6 GEG Neraca Aktual'!M35))</f>
        <v/>
      </c>
      <c r="O34" s="28">
        <f>IF('C6 GEG Neraca Aktual'!O$25=0,"",('C6 GEG Neraca Aktual'!O32-'C6 GEG Neraca Aktual'!N32)+('C6 GEG Neraca Aktual'!O35-'C6 GEG Neraca Aktual'!N35))</f>
        <v/>
      </c>
      <c r="P34" s="28">
        <f>SUMIF($D$5:$O$5,"&lt;="&amp;'C1 GEG Setting'!$C$6,D34:O34)</f>
        <v/>
      </c>
    </row>
    <row r="35">
      <c r="B35" s="10" t="inlineStr">
        <is>
          <t xml:space="preserve">   Setoran modal &amp; ekuitas lain</t>
        </is>
      </c>
      <c r="D35" s="28">
        <f>IF('C6 GEG Neraca Aktual'!D$25=0,"",('C6 GEG Neraca Aktual'!D42-'C6 GEG Neraca Aktual'!C42)+('C6 GEG Neraca Aktual'!D43-'C6 GEG Neraca Aktual'!C43)+('C6 GEG Neraca Aktual'!D45-'C6 GEG Neraca Aktual'!C45))</f>
        <v/>
      </c>
      <c r="E35" s="28">
        <f>IF('C6 GEG Neraca Aktual'!E$25=0,"",('C6 GEG Neraca Aktual'!E42-'C6 GEG Neraca Aktual'!D42)+('C6 GEG Neraca Aktual'!E43-'C6 GEG Neraca Aktual'!D43)+('C6 GEG Neraca Aktual'!E45-'C6 GEG Neraca Aktual'!D45))</f>
        <v/>
      </c>
      <c r="F35" s="28">
        <f>IF('C6 GEG Neraca Aktual'!F$25=0,"",('C6 GEG Neraca Aktual'!F42-'C6 GEG Neraca Aktual'!E42)+('C6 GEG Neraca Aktual'!F43-'C6 GEG Neraca Aktual'!E43)+('C6 GEG Neraca Aktual'!F45-'C6 GEG Neraca Aktual'!E45))</f>
        <v/>
      </c>
      <c r="G35" s="28">
        <f>IF('C6 GEG Neraca Aktual'!G$25=0,"",('C6 GEG Neraca Aktual'!G42-'C6 GEG Neraca Aktual'!F42)+('C6 GEG Neraca Aktual'!G43-'C6 GEG Neraca Aktual'!F43)+('C6 GEG Neraca Aktual'!G45-'C6 GEG Neraca Aktual'!F45))</f>
        <v/>
      </c>
      <c r="H35" s="28">
        <f>IF('C6 GEG Neraca Aktual'!H$25=0,"",('C6 GEG Neraca Aktual'!H42-'C6 GEG Neraca Aktual'!G42)+('C6 GEG Neraca Aktual'!H43-'C6 GEG Neraca Aktual'!G43)+('C6 GEG Neraca Aktual'!H45-'C6 GEG Neraca Aktual'!G45))</f>
        <v/>
      </c>
      <c r="I35" s="28">
        <f>IF('C6 GEG Neraca Aktual'!I$25=0,"",('C6 GEG Neraca Aktual'!I42-'C6 GEG Neraca Aktual'!H42)+('C6 GEG Neraca Aktual'!I43-'C6 GEG Neraca Aktual'!H43)+('C6 GEG Neraca Aktual'!I45-'C6 GEG Neraca Aktual'!H45))</f>
        <v/>
      </c>
      <c r="J35" s="28">
        <f>IF('C6 GEG Neraca Aktual'!J$25=0,"",('C6 GEG Neraca Aktual'!J42-'C6 GEG Neraca Aktual'!I42)+('C6 GEG Neraca Aktual'!J43-'C6 GEG Neraca Aktual'!I43)+('C6 GEG Neraca Aktual'!J45-'C6 GEG Neraca Aktual'!I45))</f>
        <v/>
      </c>
      <c r="K35" s="28">
        <f>IF('C6 GEG Neraca Aktual'!K$25=0,"",('C6 GEG Neraca Aktual'!K42-'C6 GEG Neraca Aktual'!J42)+('C6 GEG Neraca Aktual'!K43-'C6 GEG Neraca Aktual'!J43)+('C6 GEG Neraca Aktual'!K45-'C6 GEG Neraca Aktual'!J45))</f>
        <v/>
      </c>
      <c r="L35" s="28">
        <f>IF('C6 GEG Neraca Aktual'!L$25=0,"",('C6 GEG Neraca Aktual'!L42-'C6 GEG Neraca Aktual'!K42)+('C6 GEG Neraca Aktual'!L43-'C6 GEG Neraca Aktual'!K43)+('C6 GEG Neraca Aktual'!L45-'C6 GEG Neraca Aktual'!K45))</f>
        <v/>
      </c>
      <c r="M35" s="28">
        <f>IF('C6 GEG Neraca Aktual'!M$25=0,"",('C6 GEG Neraca Aktual'!M42-'C6 GEG Neraca Aktual'!L42)+('C6 GEG Neraca Aktual'!M43-'C6 GEG Neraca Aktual'!L43)+('C6 GEG Neraca Aktual'!M45-'C6 GEG Neraca Aktual'!L45))</f>
        <v/>
      </c>
      <c r="N35" s="28">
        <f>IF('C6 GEG Neraca Aktual'!N$25=0,"",('C6 GEG Neraca Aktual'!N42-'C6 GEG Neraca Aktual'!M42)+('C6 GEG Neraca Aktual'!N43-'C6 GEG Neraca Aktual'!M43)+('C6 GEG Neraca Aktual'!N45-'C6 GEG Neraca Aktual'!M45))</f>
        <v/>
      </c>
      <c r="O35" s="28">
        <f>IF('C6 GEG Neraca Aktual'!O$25=0,"",('C6 GEG Neraca Aktual'!O42-'C6 GEG Neraca Aktual'!N42)+('C6 GEG Neraca Aktual'!O43-'C6 GEG Neraca Aktual'!N43)+('C6 GEG Neraca Aktual'!O45-'C6 GEG Neraca Aktual'!N45))</f>
        <v/>
      </c>
      <c r="P35" s="28">
        <f>SUMIF($D$5:$O$5,"&lt;="&amp;'C1 GEG Setting'!$C$6,D35:O35)</f>
        <v/>
      </c>
    </row>
    <row r="36">
      <c r="B36" s="10" t="inlineStr">
        <is>
          <t xml:space="preserve">   Pembayaran dividen</t>
        </is>
      </c>
      <c r="D36" s="28">
        <f>IF('C6 GEG Neraca Aktual'!D$25=0,"",'C6 GEG Neraca Aktual'!D44-'C6 GEG Neraca Aktual'!C44-'C5 GEG LR Aktual'!D83)</f>
        <v/>
      </c>
      <c r="E36" s="28">
        <f>IF('C6 GEG Neraca Aktual'!E$25=0,"",'C6 GEG Neraca Aktual'!E44-'C6 GEG Neraca Aktual'!D44-'C5 GEG LR Aktual'!E83)</f>
        <v/>
      </c>
      <c r="F36" s="28">
        <f>IF('C6 GEG Neraca Aktual'!F$25=0,"",'C6 GEG Neraca Aktual'!F44-'C6 GEG Neraca Aktual'!E44-'C5 GEG LR Aktual'!F83)</f>
        <v/>
      </c>
      <c r="G36" s="28">
        <f>IF('C6 GEG Neraca Aktual'!G$25=0,"",'C6 GEG Neraca Aktual'!G44-'C6 GEG Neraca Aktual'!F44-'C5 GEG LR Aktual'!G83)</f>
        <v/>
      </c>
      <c r="H36" s="28">
        <f>IF('C6 GEG Neraca Aktual'!H$25=0,"",'C6 GEG Neraca Aktual'!H44-'C6 GEG Neraca Aktual'!G44-'C5 GEG LR Aktual'!H83)</f>
        <v/>
      </c>
      <c r="I36" s="28">
        <f>IF('C6 GEG Neraca Aktual'!I$25=0,"",'C6 GEG Neraca Aktual'!I44-'C6 GEG Neraca Aktual'!H44-'C5 GEG LR Aktual'!I83)</f>
        <v/>
      </c>
      <c r="J36" s="28">
        <f>IF('C6 GEG Neraca Aktual'!J$25=0,"",'C6 GEG Neraca Aktual'!J44-'C6 GEG Neraca Aktual'!I44-'C5 GEG LR Aktual'!J83)</f>
        <v/>
      </c>
      <c r="K36" s="28">
        <f>IF('C6 GEG Neraca Aktual'!K$25=0,"",'C6 GEG Neraca Aktual'!K44-'C6 GEG Neraca Aktual'!J44-'C5 GEG LR Aktual'!K83)</f>
        <v/>
      </c>
      <c r="L36" s="28">
        <f>IF('C6 GEG Neraca Aktual'!L$25=0,"",'C6 GEG Neraca Aktual'!L44-'C6 GEG Neraca Aktual'!K44-'C5 GEG LR Aktual'!L83)</f>
        <v/>
      </c>
      <c r="M36" s="28">
        <f>IF('C6 GEG Neraca Aktual'!M$25=0,"",'C6 GEG Neraca Aktual'!M44-'C6 GEG Neraca Aktual'!L44-'C5 GEG LR Aktual'!M83)</f>
        <v/>
      </c>
      <c r="N36" s="28">
        <f>IF('C6 GEG Neraca Aktual'!N$25=0,"",'C6 GEG Neraca Aktual'!N44-'C6 GEG Neraca Aktual'!M44-'C5 GEG LR Aktual'!N83)</f>
        <v/>
      </c>
      <c r="O36" s="28">
        <f>IF('C6 GEG Neraca Aktual'!O$25=0,"",'C6 GEG Neraca Aktual'!O44-'C6 GEG Neraca Aktual'!N44-'C5 GEG LR Aktual'!O83)</f>
        <v/>
      </c>
      <c r="P36" s="28">
        <f>SUMIF($D$5:$O$5,"&lt;="&amp;'C1 GEG Setting'!$C$6,D36:O36)</f>
        <v/>
      </c>
    </row>
    <row r="37">
      <c r="B37" s="48" t="inlineStr">
        <is>
          <t>KAS BERSIH DARI (UNTUK) AKTIVITAS PENDANAAN</t>
        </is>
      </c>
      <c r="C37" s="72" t="n"/>
      <c r="D37" s="50">
        <f>IF('C6 GEG Neraca Aktual'!D$25=0,"",SUM(D33:D36))</f>
        <v/>
      </c>
      <c r="E37" s="50">
        <f>IF('C6 GEG Neraca Aktual'!E$25=0,"",SUM(E33:E36))</f>
        <v/>
      </c>
      <c r="F37" s="50">
        <f>IF('C6 GEG Neraca Aktual'!F$25=0,"",SUM(F33:F36))</f>
        <v/>
      </c>
      <c r="G37" s="50">
        <f>IF('C6 GEG Neraca Aktual'!G$25=0,"",SUM(G33:G36))</f>
        <v/>
      </c>
      <c r="H37" s="50">
        <f>IF('C6 GEG Neraca Aktual'!H$25=0,"",SUM(H33:H36))</f>
        <v/>
      </c>
      <c r="I37" s="50">
        <f>IF('C6 GEG Neraca Aktual'!I$25=0,"",SUM(I33:I36))</f>
        <v/>
      </c>
      <c r="J37" s="50">
        <f>IF('C6 GEG Neraca Aktual'!J$25=0,"",SUM(J33:J36))</f>
        <v/>
      </c>
      <c r="K37" s="50">
        <f>IF('C6 GEG Neraca Aktual'!K$25=0,"",SUM(K33:K36))</f>
        <v/>
      </c>
      <c r="L37" s="50">
        <f>IF('C6 GEG Neraca Aktual'!L$25=0,"",SUM(L33:L36))</f>
        <v/>
      </c>
      <c r="M37" s="50">
        <f>IF('C6 GEG Neraca Aktual'!M$25=0,"",SUM(M33:M36))</f>
        <v/>
      </c>
      <c r="N37" s="50">
        <f>IF('C6 GEG Neraca Aktual'!N$25=0,"",SUM(N33:N36))</f>
        <v/>
      </c>
      <c r="O37" s="50">
        <f>IF('C6 GEG Neraca Aktual'!O$25=0,"",SUM(O33:O36))</f>
        <v/>
      </c>
      <c r="P37" s="50">
        <f>SUMIF($D$5:$O$5,"&lt;="&amp;'C1 GEG Setting'!$C$6,D37:O37)</f>
        <v/>
      </c>
    </row>
    <row r="38">
      <c r="A38" s="4" t="inlineStr">
        <is>
          <t>REKONSILIASI KAS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</row>
    <row r="39">
      <c r="B39" s="48" t="inlineStr">
        <is>
          <t>Kenaikan (penurunan) bersih kas</t>
        </is>
      </c>
      <c r="C39" s="72" t="n"/>
      <c r="D39" s="50">
        <f>IF('C6 GEG Neraca Aktual'!D$25=0,"",D23+D31+D37)</f>
        <v/>
      </c>
      <c r="E39" s="50">
        <f>IF('C6 GEG Neraca Aktual'!E$25=0,"",E23+E31+E37)</f>
        <v/>
      </c>
      <c r="F39" s="50">
        <f>IF('C6 GEG Neraca Aktual'!F$25=0,"",F23+F31+F37)</f>
        <v/>
      </c>
      <c r="G39" s="50">
        <f>IF('C6 GEG Neraca Aktual'!G$25=0,"",G23+G31+G37)</f>
        <v/>
      </c>
      <c r="H39" s="50">
        <f>IF('C6 GEG Neraca Aktual'!H$25=0,"",H23+H31+H37)</f>
        <v/>
      </c>
      <c r="I39" s="50">
        <f>IF('C6 GEG Neraca Aktual'!I$25=0,"",I23+I31+I37)</f>
        <v/>
      </c>
      <c r="J39" s="50">
        <f>IF('C6 GEG Neraca Aktual'!J$25=0,"",J23+J31+J37)</f>
        <v/>
      </c>
      <c r="K39" s="50">
        <f>IF('C6 GEG Neraca Aktual'!K$25=0,"",K23+K31+K37)</f>
        <v/>
      </c>
      <c r="L39" s="50">
        <f>IF('C6 GEG Neraca Aktual'!L$25=0,"",L23+L31+L37)</f>
        <v/>
      </c>
      <c r="M39" s="50">
        <f>IF('C6 GEG Neraca Aktual'!M$25=0,"",M23+M31+M37)</f>
        <v/>
      </c>
      <c r="N39" s="50">
        <f>IF('C6 GEG Neraca Aktual'!N$25=0,"",N23+N31+N37)</f>
        <v/>
      </c>
      <c r="O39" s="50">
        <f>IF('C6 GEG Neraca Aktual'!O$25=0,"",O23+O31+O37)</f>
        <v/>
      </c>
      <c r="P39" s="50">
        <f>SUMIF($D$5:$O$5,"&lt;="&amp;'C1 GEG Setting'!$C$6,D39:O39)</f>
        <v/>
      </c>
    </row>
    <row r="40">
      <c r="B40" s="10" t="inlineStr">
        <is>
          <t xml:space="preserve">   Kas awal periode</t>
        </is>
      </c>
      <c r="D40" s="28">
        <f>IF('C6 GEG Neraca Aktual'!D$25=0,"",'C6 GEG Neraca Aktual'!C8)</f>
        <v/>
      </c>
      <c r="E40" s="28">
        <f>IF('C6 GEG Neraca Aktual'!E$25=0,"",'C6 GEG Neraca Aktual'!D8)</f>
        <v/>
      </c>
      <c r="F40" s="28">
        <f>IF('C6 GEG Neraca Aktual'!F$25=0,"",'C6 GEG Neraca Aktual'!E8)</f>
        <v/>
      </c>
      <c r="G40" s="28">
        <f>IF('C6 GEG Neraca Aktual'!G$25=0,"",'C6 GEG Neraca Aktual'!F8)</f>
        <v/>
      </c>
      <c r="H40" s="28">
        <f>IF('C6 GEG Neraca Aktual'!H$25=0,"",'C6 GEG Neraca Aktual'!G8)</f>
        <v/>
      </c>
      <c r="I40" s="28">
        <f>IF('C6 GEG Neraca Aktual'!I$25=0,"",'C6 GEG Neraca Aktual'!H8)</f>
        <v/>
      </c>
      <c r="J40" s="28">
        <f>IF('C6 GEG Neraca Aktual'!J$25=0,"",'C6 GEG Neraca Aktual'!I8)</f>
        <v/>
      </c>
      <c r="K40" s="28">
        <f>IF('C6 GEG Neraca Aktual'!K$25=0,"",'C6 GEG Neraca Aktual'!J8)</f>
        <v/>
      </c>
      <c r="L40" s="28">
        <f>IF('C6 GEG Neraca Aktual'!L$25=0,"",'C6 GEG Neraca Aktual'!K8)</f>
        <v/>
      </c>
      <c r="M40" s="28">
        <f>IF('C6 GEG Neraca Aktual'!M$25=0,"",'C6 GEG Neraca Aktual'!L8)</f>
        <v/>
      </c>
      <c r="N40" s="28">
        <f>IF('C6 GEG Neraca Aktual'!N$25=0,"",'C6 GEG Neraca Aktual'!M8)</f>
        <v/>
      </c>
      <c r="O40" s="28">
        <f>IF('C6 GEG Neraca Aktual'!O$25=0,"",'C6 GEG Neraca Aktual'!N8)</f>
        <v/>
      </c>
      <c r="P40" s="28">
        <f>'C6 GEG Neraca Aktual'!$C$8</f>
        <v/>
      </c>
    </row>
    <row r="41">
      <c r="B41" s="48" t="inlineStr">
        <is>
          <t>Kas akhir periode</t>
        </is>
      </c>
      <c r="C41" s="72" t="n"/>
      <c r="D41" s="50">
        <f>IF('C6 GEG Neraca Aktual'!D$25=0,"",D40+D39)</f>
        <v/>
      </c>
      <c r="E41" s="50">
        <f>IF('C6 GEG Neraca Aktual'!E$25=0,"",E40+E39)</f>
        <v/>
      </c>
      <c r="F41" s="50">
        <f>IF('C6 GEG Neraca Aktual'!F$25=0,"",F40+F39)</f>
        <v/>
      </c>
      <c r="G41" s="50">
        <f>IF('C6 GEG Neraca Aktual'!G$25=0,"",G40+G39)</f>
        <v/>
      </c>
      <c r="H41" s="50">
        <f>IF('C6 GEG Neraca Aktual'!H$25=0,"",H40+H39)</f>
        <v/>
      </c>
      <c r="I41" s="50">
        <f>IF('C6 GEG Neraca Aktual'!I$25=0,"",I40+I39)</f>
        <v/>
      </c>
      <c r="J41" s="50">
        <f>IF('C6 GEG Neraca Aktual'!J$25=0,"",J40+J39)</f>
        <v/>
      </c>
      <c r="K41" s="50">
        <f>IF('C6 GEG Neraca Aktual'!K$25=0,"",K40+K39)</f>
        <v/>
      </c>
      <c r="L41" s="50">
        <f>IF('C6 GEG Neraca Aktual'!L$25=0,"",L40+L39)</f>
        <v/>
      </c>
      <c r="M41" s="50">
        <f>IF('C6 GEG Neraca Aktual'!M$25=0,"",M40+M39)</f>
        <v/>
      </c>
      <c r="N41" s="50">
        <f>IF('C6 GEG Neraca Aktual'!N$25=0,"",N40+N39)</f>
        <v/>
      </c>
      <c r="O41" s="50">
        <f>IF('C6 GEG Neraca Aktual'!O$25=0,"",O40+O39)</f>
        <v/>
      </c>
      <c r="P41" s="58">
        <f>P40+P39</f>
        <v/>
      </c>
    </row>
    <row r="42">
      <c r="B42" s="10" t="inlineStr">
        <is>
          <t xml:space="preserve">   Cek vs kas di neraca (harus 0)</t>
        </is>
      </c>
      <c r="D42" s="28">
        <f>IF('C6 GEG Neraca Aktual'!D$25=0,"",ROUND(D41-'C6 GEG Neraca Aktual'!D8,0))</f>
        <v/>
      </c>
      <c r="E42" s="28">
        <f>IF('C6 GEG Neraca Aktual'!E$25=0,"",ROUND(E41-'C6 GEG Neraca Aktual'!E8,0))</f>
        <v/>
      </c>
      <c r="F42" s="28">
        <f>IF('C6 GEG Neraca Aktual'!F$25=0,"",ROUND(F41-'C6 GEG Neraca Aktual'!F8,0))</f>
        <v/>
      </c>
      <c r="G42" s="28">
        <f>IF('C6 GEG Neraca Aktual'!G$25=0,"",ROUND(G41-'C6 GEG Neraca Aktual'!G8,0))</f>
        <v/>
      </c>
      <c r="H42" s="28">
        <f>IF('C6 GEG Neraca Aktual'!H$25=0,"",ROUND(H41-'C6 GEG Neraca Aktual'!H8,0))</f>
        <v/>
      </c>
      <c r="I42" s="28">
        <f>IF('C6 GEG Neraca Aktual'!I$25=0,"",ROUND(I41-'C6 GEG Neraca Aktual'!I8,0))</f>
        <v/>
      </c>
      <c r="J42" s="28">
        <f>IF('C6 GEG Neraca Aktual'!J$25=0,"",ROUND(J41-'C6 GEG Neraca Aktual'!J8,0))</f>
        <v/>
      </c>
      <c r="K42" s="28">
        <f>IF('C6 GEG Neraca Aktual'!K$25=0,"",ROUND(K41-'C6 GEG Neraca Aktual'!K8,0))</f>
        <v/>
      </c>
      <c r="L42" s="28">
        <f>IF('C6 GEG Neraca Aktual'!L$25=0,"",ROUND(L41-'C6 GEG Neraca Aktual'!L8,0))</f>
        <v/>
      </c>
      <c r="M42" s="28">
        <f>IF('C6 GEG Neraca Aktual'!M$25=0,"",ROUND(M41-'C6 GEG Neraca Aktual'!M8,0))</f>
        <v/>
      </c>
      <c r="N42" s="28">
        <f>IF('C6 GEG Neraca Aktual'!N$25=0,"",ROUND(N41-'C6 GEG Neraca Aktual'!N8,0))</f>
        <v/>
      </c>
      <c r="O42" s="28">
        <f>IF('C6 GEG Neraca Aktual'!O$25=0,"",ROUND(O41-'C6 GEG Neraca Aktual'!O8,0))</f>
        <v/>
      </c>
      <c r="P42" s="28">
        <f>ROUND(P41-INDEX('C6 GEG Neraca Aktual'!$D$8:$O$8,'C1 GEG Setting'!$C$6),0)</f>
        <v/>
      </c>
    </row>
    <row r="43">
      <c r="B43" s="48" t="inlineStr">
        <is>
          <t>Memo: Free cash flow (CFO + CFI)</t>
        </is>
      </c>
      <c r="C43" s="72" t="n"/>
      <c r="D43" s="50">
        <f>IF('C6 GEG Neraca Aktual'!D$25=0,"",D23+D31)</f>
        <v/>
      </c>
      <c r="E43" s="50">
        <f>IF('C6 GEG Neraca Aktual'!E$25=0,"",E23+E31)</f>
        <v/>
      </c>
      <c r="F43" s="50">
        <f>IF('C6 GEG Neraca Aktual'!F$25=0,"",F23+F31)</f>
        <v/>
      </c>
      <c r="G43" s="50">
        <f>IF('C6 GEG Neraca Aktual'!G$25=0,"",G23+G31)</f>
        <v/>
      </c>
      <c r="H43" s="50">
        <f>IF('C6 GEG Neraca Aktual'!H$25=0,"",H23+H31)</f>
        <v/>
      </c>
      <c r="I43" s="50">
        <f>IF('C6 GEG Neraca Aktual'!I$25=0,"",I23+I31)</f>
        <v/>
      </c>
      <c r="J43" s="50">
        <f>IF('C6 GEG Neraca Aktual'!J$25=0,"",J23+J31)</f>
        <v/>
      </c>
      <c r="K43" s="50">
        <f>IF('C6 GEG Neraca Aktual'!K$25=0,"",K23+K31)</f>
        <v/>
      </c>
      <c r="L43" s="50">
        <f>IF('C6 GEG Neraca Aktual'!L$25=0,"",L23+L31)</f>
        <v/>
      </c>
      <c r="M43" s="50">
        <f>IF('C6 GEG Neraca Aktual'!M$25=0,"",M23+M31)</f>
        <v/>
      </c>
      <c r="N43" s="50">
        <f>IF('C6 GEG Neraca Aktual'!N$25=0,"",N23+N31)</f>
        <v/>
      </c>
      <c r="O43" s="50">
        <f>IF('C6 GEG Neraca Aktual'!O$25=0,"",O23+O31)</f>
        <v/>
      </c>
      <c r="P43" s="50">
        <f>SUMIF($D$5:$O$5,"&lt;="&amp;'C1 GEG Setting'!$C$6,D43:O43)</f>
        <v/>
      </c>
    </row>
  </sheetData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8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4" customWidth="1" min="2" max="2"/>
    <col width="5" customWidth="1" min="3" max="3"/>
    <col width="13" customWidth="1" min="4" max="4"/>
    <col width="13" customWidth="1" min="5" max="5"/>
    <col width="12" customWidth="1" min="6" max="6"/>
    <col width="10" customWidth="1" min="7" max="7"/>
    <col width="5" customWidth="1" min="8" max="8"/>
    <col width="2" customWidth="1" min="9" max="9"/>
    <col width="13" customWidth="1" min="10" max="10"/>
    <col width="13" customWidth="1" min="11" max="11"/>
    <col width="12" customWidth="1" min="12" max="12"/>
    <col width="10" customWidth="1" min="13" max="13"/>
    <col width="5" customWidth="1" min="14" max="14"/>
    <col width="13" customWidth="1" min="15" max="15"/>
    <col width="11" customWidth="1" min="16" max="16"/>
  </cols>
  <sheetData>
    <row r="1">
      <c r="A1" s="1" t="inlineStr">
        <is>
          <t>GEG – Laporan Laba Rugi Bulanan: Aktual vs Budget (Rp juta)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>
        <f>"PT Global Energy Group | Bulan laporan: "&amp;'C1 GEG Setting'!$C$7&amp;" "&amp;'C1 GEG Setting'!$C$5&amp;" | F = favourable, U = unfavourable"</f>
        <v/>
      </c>
    </row>
    <row r="5" ht="30" customHeight="1">
      <c r="A5" s="16" t="inlineStr">
        <is>
          <t>Kode</t>
        </is>
      </c>
      <c r="B5" s="16" t="inlineStr">
        <is>
          <t>Uraian</t>
        </is>
      </c>
      <c r="C5" s="16" t="inlineStr">
        <is>
          <t>Tipe</t>
        </is>
      </c>
      <c r="D5" s="16" t="inlineStr">
        <is>
          <t>Bulan ini – Aktual</t>
        </is>
      </c>
      <c r="E5" s="16" t="inlineStr">
        <is>
          <t>Bulan ini – Budget</t>
        </is>
      </c>
      <c r="F5" s="16" t="inlineStr">
        <is>
          <t>Varians</t>
        </is>
      </c>
      <c r="G5" s="16" t="inlineStr">
        <is>
          <t>Varians %</t>
        </is>
      </c>
      <c r="H5" s="16" t="inlineStr">
        <is>
          <t>F/U</t>
        </is>
      </c>
      <c r="I5" s="16" t="inlineStr"/>
      <c r="J5" s="16" t="inlineStr">
        <is>
          <t>YTD – Aktual</t>
        </is>
      </c>
      <c r="K5" s="16" t="inlineStr">
        <is>
          <t>YTD – Budget</t>
        </is>
      </c>
      <c r="L5" s="16" t="inlineStr">
        <is>
          <t>Varians</t>
        </is>
      </c>
      <c r="M5" s="16" t="inlineStr">
        <is>
          <t>Varians %</t>
        </is>
      </c>
      <c r="N5" s="16" t="inlineStr">
        <is>
          <t>F/U</t>
        </is>
      </c>
      <c r="O5" s="16" t="inlineStr">
        <is>
          <t>Budget FY</t>
        </is>
      </c>
      <c r="P5" s="16" t="inlineStr">
        <is>
          <t>Capaian YTD thd FY</t>
        </is>
      </c>
    </row>
    <row r="6">
      <c r="A6" s="4" t="inlineStr">
        <is>
          <t>PENDAPATAN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</row>
    <row r="7">
      <c r="A7" s="45" t="inlineStr">
        <is>
          <t>4101</t>
        </is>
      </c>
      <c r="B7" s="10" t="inlineStr">
        <is>
          <t xml:space="preserve">   Penjualan batubara – Ekspor</t>
        </is>
      </c>
      <c r="C7" s="80" t="n">
        <v>1</v>
      </c>
      <c r="D7" s="28">
        <f>INDEX('C5 GEG LR Aktual'!$D$8:$O$8,'C1 GEG Setting'!$C$6)</f>
        <v/>
      </c>
      <c r="E7" s="28">
        <f>INDEX('C4 GEG LR Budget'!$D$8:$O$8,'C1 GEG Setting'!$C$6)</f>
        <v/>
      </c>
      <c r="F7" s="19">
        <f>D7-E7</f>
        <v/>
      </c>
      <c r="G7" s="24">
        <f>IFERROR(F7/ABS(E7),"")</f>
        <v/>
      </c>
      <c r="H7" s="11">
        <f>IF(ROUND(F7,0)=0,"",IF(F7*$C7&gt;0,"F","U"))</f>
        <v/>
      </c>
      <c r="J7" s="28">
        <f>SUMIF('C5 GEG LR Aktual'!$D$5:$O$5,"&lt;="&amp;'C1 GEG Setting'!$C$6,'C5 GEG LR Aktual'!$D$8:$O$8)</f>
        <v/>
      </c>
      <c r="K7" s="28">
        <f>SUMIF('C4 GEG LR Budget'!$D$5:$O$5,"&lt;="&amp;'C1 GEG Setting'!$C$6,'C4 GEG LR Budget'!$D$8:$O$8)</f>
        <v/>
      </c>
      <c r="L7" s="19">
        <f>J7-K7</f>
        <v/>
      </c>
      <c r="M7" s="24">
        <f>IFERROR(L7/ABS(K7),"")</f>
        <v/>
      </c>
      <c r="N7" s="11">
        <f>IF(ROUND(L7,0)=0,"",IF(L7*$C7&gt;0,"F","U"))</f>
        <v/>
      </c>
      <c r="O7" s="28">
        <f>'C4 GEG LR Budget'!$P$8</f>
        <v/>
      </c>
      <c r="P7" s="24">
        <f>IFERROR(J7/O7,0)</f>
        <v/>
      </c>
    </row>
    <row r="8">
      <c r="A8" s="45" t="inlineStr">
        <is>
          <t>4102</t>
        </is>
      </c>
      <c r="B8" s="10" t="inlineStr">
        <is>
          <t xml:space="preserve">   Penjualan batubara – Domestik DMO</t>
        </is>
      </c>
      <c r="C8" s="80" t="n">
        <v>1</v>
      </c>
      <c r="D8" s="28">
        <f>INDEX('C5 GEG LR Aktual'!$D$9:$O$9,'C1 GEG Setting'!$C$6)</f>
        <v/>
      </c>
      <c r="E8" s="28">
        <f>INDEX('C4 GEG LR Budget'!$D$9:$O$9,'C1 GEG Setting'!$C$6)</f>
        <v/>
      </c>
      <c r="F8" s="19">
        <f>D8-E8</f>
        <v/>
      </c>
      <c r="G8" s="24">
        <f>IFERROR(F8/ABS(E8),"")</f>
        <v/>
      </c>
      <c r="H8" s="11">
        <f>IF(ROUND(F8,0)=0,"",IF(F8*$C8&gt;0,"F","U"))</f>
        <v/>
      </c>
      <c r="J8" s="28">
        <f>SUMIF('C5 GEG LR Aktual'!$D$5:$O$5,"&lt;="&amp;'C1 GEG Setting'!$C$6,'C5 GEG LR Aktual'!$D$9:$O$9)</f>
        <v/>
      </c>
      <c r="K8" s="28">
        <f>SUMIF('C4 GEG LR Budget'!$D$5:$O$5,"&lt;="&amp;'C1 GEG Setting'!$C$6,'C4 GEG LR Budget'!$D$9:$O$9)</f>
        <v/>
      </c>
      <c r="L8" s="19">
        <f>J8-K8</f>
        <v/>
      </c>
      <c r="M8" s="24">
        <f>IFERROR(L8/ABS(K8),"")</f>
        <v/>
      </c>
      <c r="N8" s="11">
        <f>IF(ROUND(L8,0)=0,"",IF(L8*$C8&gt;0,"F","U"))</f>
        <v/>
      </c>
      <c r="O8" s="28">
        <f>'C4 GEG LR Budget'!$P$9</f>
        <v/>
      </c>
      <c r="P8" s="24">
        <f>IFERROR(J8/O8,0)</f>
        <v/>
      </c>
    </row>
    <row r="9">
      <c r="A9" s="45" t="inlineStr">
        <is>
          <t>4103</t>
        </is>
      </c>
      <c r="B9" s="10" t="inlineStr">
        <is>
          <t xml:space="preserve">   Penjualan batubara – Domestik non-DMO</t>
        </is>
      </c>
      <c r="C9" s="80" t="n">
        <v>1</v>
      </c>
      <c r="D9" s="28">
        <f>INDEX('C5 GEG LR Aktual'!$D$10:$O$10,'C1 GEG Setting'!$C$6)</f>
        <v/>
      </c>
      <c r="E9" s="28">
        <f>INDEX('C4 GEG LR Budget'!$D$10:$O$10,'C1 GEG Setting'!$C$6)</f>
        <v/>
      </c>
      <c r="F9" s="19">
        <f>D9-E9</f>
        <v/>
      </c>
      <c r="G9" s="24">
        <f>IFERROR(F9/ABS(E9),"")</f>
        <v/>
      </c>
      <c r="H9" s="11">
        <f>IF(ROUND(F9,0)=0,"",IF(F9*$C9&gt;0,"F","U"))</f>
        <v/>
      </c>
      <c r="J9" s="28">
        <f>SUMIF('C5 GEG LR Aktual'!$D$5:$O$5,"&lt;="&amp;'C1 GEG Setting'!$C$6,'C5 GEG LR Aktual'!$D$10:$O$10)</f>
        <v/>
      </c>
      <c r="K9" s="28">
        <f>SUMIF('C4 GEG LR Budget'!$D$5:$O$5,"&lt;="&amp;'C1 GEG Setting'!$C$6,'C4 GEG LR Budget'!$D$10:$O$10)</f>
        <v/>
      </c>
      <c r="L9" s="19">
        <f>J9-K9</f>
        <v/>
      </c>
      <c r="M9" s="24">
        <f>IFERROR(L9/ABS(K9),"")</f>
        <v/>
      </c>
      <c r="N9" s="11">
        <f>IF(ROUND(L9,0)=0,"",IF(L9*$C9&gt;0,"F","U"))</f>
        <v/>
      </c>
      <c r="O9" s="28">
        <f>'C4 GEG LR Budget'!$P$10</f>
        <v/>
      </c>
      <c r="P9" s="24">
        <f>IFERROR(J9/O9,0)</f>
        <v/>
      </c>
    </row>
    <row r="10">
      <c r="A10" s="45" t="inlineStr"/>
      <c r="B10" s="46" t="inlineStr">
        <is>
          <t xml:space="preserve">   Subtotal penjualan batubara</t>
        </is>
      </c>
      <c r="C10" s="80" t="n">
        <v>1</v>
      </c>
      <c r="D10" s="70">
        <f>INDEX('C5 GEG LR Aktual'!$D$11:$O$11,'C1 GEG Setting'!$C$6)</f>
        <v/>
      </c>
      <c r="E10" s="70">
        <f>INDEX('C4 GEG LR Budget'!$D$11:$O$11,'C1 GEG Setting'!$C$6)</f>
        <v/>
      </c>
      <c r="F10" s="71">
        <f>D10-E10</f>
        <v/>
      </c>
      <c r="G10" s="24">
        <f>IFERROR(F10/ABS(E10),"")</f>
        <v/>
      </c>
      <c r="H10" s="11">
        <f>IF(ROUND(F10,0)=0,"",IF(F10*$C10&gt;0,"F","U"))</f>
        <v/>
      </c>
      <c r="J10" s="70">
        <f>SUMIF('C5 GEG LR Aktual'!$D$5:$O$5,"&lt;="&amp;'C1 GEG Setting'!$C$6,'C5 GEG LR Aktual'!$D$11:$O$11)</f>
        <v/>
      </c>
      <c r="K10" s="70">
        <f>SUMIF('C4 GEG LR Budget'!$D$5:$O$5,"&lt;="&amp;'C1 GEG Setting'!$C$6,'C4 GEG LR Budget'!$D$11:$O$11)</f>
        <v/>
      </c>
      <c r="L10" s="71">
        <f>J10-K10</f>
        <v/>
      </c>
      <c r="M10" s="24">
        <f>IFERROR(L10/ABS(K10),"")</f>
        <v/>
      </c>
      <c r="N10" s="11">
        <f>IF(ROUND(L10,0)=0,"",IF(L10*$C10&gt;0,"F","U"))</f>
        <v/>
      </c>
      <c r="O10" s="28">
        <f>'C4 GEG LR Budget'!$P$11</f>
        <v/>
      </c>
      <c r="P10" s="24">
        <f>IFERROR(J10/O10,0)</f>
        <v/>
      </c>
    </row>
    <row r="11">
      <c r="A11" s="45" t="inlineStr">
        <is>
          <t>4104</t>
        </is>
      </c>
      <c r="B11" s="10" t="inlineStr">
        <is>
          <t xml:space="preserve">   Penyesuaian harga / penalti kualitas (isi negatif)</t>
        </is>
      </c>
      <c r="C11" s="80" t="n">
        <v>1</v>
      </c>
      <c r="D11" s="28">
        <f>INDEX('C5 GEG LR Aktual'!$D$12:$O$12,'C1 GEG Setting'!$C$6)</f>
        <v/>
      </c>
      <c r="E11" s="28">
        <f>INDEX('C4 GEG LR Budget'!$D$12:$O$12,'C1 GEG Setting'!$C$6)</f>
        <v/>
      </c>
      <c r="F11" s="19">
        <f>D11-E11</f>
        <v/>
      </c>
      <c r="G11" s="24">
        <f>IFERROR(F11/ABS(E11),"")</f>
        <v/>
      </c>
      <c r="H11" s="11">
        <f>IF(ROUND(F11,0)=0,"",IF(F11*$C11&gt;0,"F","U"))</f>
        <v/>
      </c>
      <c r="J11" s="28">
        <f>SUMIF('C5 GEG LR Aktual'!$D$5:$O$5,"&lt;="&amp;'C1 GEG Setting'!$C$6,'C5 GEG LR Aktual'!$D$12:$O$12)</f>
        <v/>
      </c>
      <c r="K11" s="28">
        <f>SUMIF('C4 GEG LR Budget'!$D$5:$O$5,"&lt;="&amp;'C1 GEG Setting'!$C$6,'C4 GEG LR Budget'!$D$12:$O$12)</f>
        <v/>
      </c>
      <c r="L11" s="19">
        <f>J11-K11</f>
        <v/>
      </c>
      <c r="M11" s="24">
        <f>IFERROR(L11/ABS(K11),"")</f>
        <v/>
      </c>
      <c r="N11" s="11">
        <f>IF(ROUND(L11,0)=0,"",IF(L11*$C11&gt;0,"F","U"))</f>
        <v/>
      </c>
      <c r="O11" s="28">
        <f>'C4 GEG LR Budget'!$P$12</f>
        <v/>
      </c>
      <c r="P11" s="24">
        <f>IFERROR(J11/O11,0)</f>
        <v/>
      </c>
    </row>
    <row r="12">
      <c r="A12" s="45" t="inlineStr">
        <is>
          <t>4201</t>
        </is>
      </c>
      <c r="B12" s="10" t="inlineStr">
        <is>
          <t xml:space="preserve">   Pendapatan jasa &amp; usaha lainnya</t>
        </is>
      </c>
      <c r="C12" s="80" t="n">
        <v>1</v>
      </c>
      <c r="D12" s="28">
        <f>INDEX('C5 GEG LR Aktual'!$D$13:$O$13,'C1 GEG Setting'!$C$6)</f>
        <v/>
      </c>
      <c r="E12" s="28">
        <f>INDEX('C4 GEG LR Budget'!$D$13:$O$13,'C1 GEG Setting'!$C$6)</f>
        <v/>
      </c>
      <c r="F12" s="19">
        <f>D12-E12</f>
        <v/>
      </c>
      <c r="G12" s="24">
        <f>IFERROR(F12/ABS(E12),"")</f>
        <v/>
      </c>
      <c r="H12" s="11">
        <f>IF(ROUND(F12,0)=0,"",IF(F12*$C12&gt;0,"F","U"))</f>
        <v/>
      </c>
      <c r="J12" s="28">
        <f>SUMIF('C5 GEG LR Aktual'!$D$5:$O$5,"&lt;="&amp;'C1 GEG Setting'!$C$6,'C5 GEG LR Aktual'!$D$13:$O$13)</f>
        <v/>
      </c>
      <c r="K12" s="28">
        <f>SUMIF('C4 GEG LR Budget'!$D$5:$O$5,"&lt;="&amp;'C1 GEG Setting'!$C$6,'C4 GEG LR Budget'!$D$13:$O$13)</f>
        <v/>
      </c>
      <c r="L12" s="19">
        <f>J12-K12</f>
        <v/>
      </c>
      <c r="M12" s="24">
        <f>IFERROR(L12/ABS(K12),"")</f>
        <v/>
      </c>
      <c r="N12" s="11">
        <f>IF(ROUND(L12,0)=0,"",IF(L12*$C12&gt;0,"F","U"))</f>
        <v/>
      </c>
      <c r="O12" s="28">
        <f>'C4 GEG LR Budget'!$P$13</f>
        <v/>
      </c>
      <c r="P12" s="24">
        <f>IFERROR(J12/O12,0)</f>
        <v/>
      </c>
    </row>
    <row r="13">
      <c r="A13" s="82" t="inlineStr"/>
      <c r="B13" s="31" t="inlineStr">
        <is>
          <t>PENDAPATAN BERSIH</t>
        </is>
      </c>
      <c r="C13" s="83" t="n">
        <v>1</v>
      </c>
      <c r="D13" s="84">
        <f>INDEX('C5 GEG LR Aktual'!$D$14:$O$14,'C1 GEG Setting'!$C$6)</f>
        <v/>
      </c>
      <c r="E13" s="84">
        <f>INDEX('C4 GEG LR Budget'!$D$14:$O$14,'C1 GEG Setting'!$C$6)</f>
        <v/>
      </c>
      <c r="F13" s="33">
        <f>D13-E13</f>
        <v/>
      </c>
      <c r="G13" s="85">
        <f>IFERROR(F13/ABS(E13),"")</f>
        <v/>
      </c>
      <c r="H13" s="86">
        <f>IF(ROUND(F13,0)=0,"",IF(F13*$C13&gt;0,"F","U"))</f>
        <v/>
      </c>
      <c r="I13" s="32" t="n"/>
      <c r="J13" s="84">
        <f>SUMIF('C5 GEG LR Aktual'!$D$5:$O$5,"&lt;="&amp;'C1 GEG Setting'!$C$6,'C5 GEG LR Aktual'!$D$14:$O$14)</f>
        <v/>
      </c>
      <c r="K13" s="84">
        <f>SUMIF('C4 GEG LR Budget'!$D$5:$O$5,"&lt;="&amp;'C1 GEG Setting'!$C$6,'C4 GEG LR Budget'!$D$14:$O$14)</f>
        <v/>
      </c>
      <c r="L13" s="33">
        <f>J13-K13</f>
        <v/>
      </c>
      <c r="M13" s="85">
        <f>IFERROR(L13/ABS(K13),"")</f>
        <v/>
      </c>
      <c r="N13" s="86">
        <f>IF(ROUND(L13,0)=0,"",IF(L13*$C13&gt;0,"F","U"))</f>
        <v/>
      </c>
      <c r="O13" s="87">
        <f>'C4 GEG LR Budget'!$P$14</f>
        <v/>
      </c>
      <c r="P13" s="85">
        <f>IFERROR(J13/O13,0)</f>
        <v/>
      </c>
    </row>
    <row r="14">
      <c r="A14" s="4" t="inlineStr">
        <is>
          <t>BEBAN POKOK PENDAPATAN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>
      <c r="B15" s="35" t="inlineStr">
        <is>
          <t>A. Biaya penambangan</t>
        </is>
      </c>
    </row>
    <row r="16">
      <c r="A16" s="45" t="inlineStr">
        <is>
          <t>5101</t>
        </is>
      </c>
      <c r="B16" s="10" t="inlineStr">
        <is>
          <t xml:space="preserve">   Jasa kontraktor OB removal</t>
        </is>
      </c>
      <c r="C16" s="80" t="n">
        <v>-1</v>
      </c>
      <c r="D16" s="28">
        <f>INDEX('C5 GEG LR Aktual'!$D$17:$O$17,'C1 GEG Setting'!$C$6)</f>
        <v/>
      </c>
      <c r="E16" s="28">
        <f>INDEX('C4 GEG LR Budget'!$D$17:$O$17,'C1 GEG Setting'!$C$6)</f>
        <v/>
      </c>
      <c r="F16" s="19">
        <f>D16-E16</f>
        <v/>
      </c>
      <c r="G16" s="24">
        <f>IFERROR(F16/ABS(E16),"")</f>
        <v/>
      </c>
      <c r="H16" s="11">
        <f>IF(ROUND(F16,0)=0,"",IF(F16*$C16&gt;0,"F","U"))</f>
        <v/>
      </c>
      <c r="J16" s="28">
        <f>SUMIF('C5 GEG LR Aktual'!$D$5:$O$5,"&lt;="&amp;'C1 GEG Setting'!$C$6,'C5 GEG LR Aktual'!$D$17:$O$17)</f>
        <v/>
      </c>
      <c r="K16" s="28">
        <f>SUMIF('C4 GEG LR Budget'!$D$5:$O$5,"&lt;="&amp;'C1 GEG Setting'!$C$6,'C4 GEG LR Budget'!$D$17:$O$17)</f>
        <v/>
      </c>
      <c r="L16" s="19">
        <f>J16-K16</f>
        <v/>
      </c>
      <c r="M16" s="24">
        <f>IFERROR(L16/ABS(K16),"")</f>
        <v/>
      </c>
      <c r="N16" s="11">
        <f>IF(ROUND(L16,0)=0,"",IF(L16*$C16&gt;0,"F","U"))</f>
        <v/>
      </c>
      <c r="O16" s="28">
        <f>'C4 GEG LR Budget'!$P$17</f>
        <v/>
      </c>
      <c r="P16" s="24">
        <f>IFERROR(J16/O16,0)</f>
        <v/>
      </c>
    </row>
    <row r="17">
      <c r="A17" s="45" t="inlineStr">
        <is>
          <t>5102</t>
        </is>
      </c>
      <c r="B17" s="10" t="inlineStr">
        <is>
          <t xml:space="preserve">   Bahan bakar (BBM)</t>
        </is>
      </c>
      <c r="C17" s="80" t="n">
        <v>-1</v>
      </c>
      <c r="D17" s="28">
        <f>INDEX('C5 GEG LR Aktual'!$D$18:$O$18,'C1 GEG Setting'!$C$6)</f>
        <v/>
      </c>
      <c r="E17" s="28">
        <f>INDEX('C4 GEG LR Budget'!$D$18:$O$18,'C1 GEG Setting'!$C$6)</f>
        <v/>
      </c>
      <c r="F17" s="19">
        <f>D17-E17</f>
        <v/>
      </c>
      <c r="G17" s="24">
        <f>IFERROR(F17/ABS(E17),"")</f>
        <v/>
      </c>
      <c r="H17" s="11">
        <f>IF(ROUND(F17,0)=0,"",IF(F17*$C17&gt;0,"F","U"))</f>
        <v/>
      </c>
      <c r="J17" s="28">
        <f>SUMIF('C5 GEG LR Aktual'!$D$5:$O$5,"&lt;="&amp;'C1 GEG Setting'!$C$6,'C5 GEG LR Aktual'!$D$18:$O$18)</f>
        <v/>
      </c>
      <c r="K17" s="28">
        <f>SUMIF('C4 GEG LR Budget'!$D$5:$O$5,"&lt;="&amp;'C1 GEG Setting'!$C$6,'C4 GEG LR Budget'!$D$18:$O$18)</f>
        <v/>
      </c>
      <c r="L17" s="19">
        <f>J17-K17</f>
        <v/>
      </c>
      <c r="M17" s="24">
        <f>IFERROR(L17/ABS(K17),"")</f>
        <v/>
      </c>
      <c r="N17" s="11">
        <f>IF(ROUND(L17,0)=0,"",IF(L17*$C17&gt;0,"F","U"))</f>
        <v/>
      </c>
      <c r="O17" s="28">
        <f>'C4 GEG LR Budget'!$P$18</f>
        <v/>
      </c>
      <c r="P17" s="24">
        <f>IFERROR(J17/O17,0)</f>
        <v/>
      </c>
    </row>
    <row r="18">
      <c r="A18" s="45" t="inlineStr">
        <is>
          <t>5103</t>
        </is>
      </c>
      <c r="B18" s="10" t="inlineStr">
        <is>
          <t xml:space="preserve">   Peledakan (drill &amp; blast)</t>
        </is>
      </c>
      <c r="C18" s="80" t="n">
        <v>-1</v>
      </c>
      <c r="D18" s="28">
        <f>INDEX('C5 GEG LR Aktual'!$D$19:$O$19,'C1 GEG Setting'!$C$6)</f>
        <v/>
      </c>
      <c r="E18" s="28">
        <f>INDEX('C4 GEG LR Budget'!$D$19:$O$19,'C1 GEG Setting'!$C$6)</f>
        <v/>
      </c>
      <c r="F18" s="19">
        <f>D18-E18</f>
        <v/>
      </c>
      <c r="G18" s="24">
        <f>IFERROR(F18/ABS(E18),"")</f>
        <v/>
      </c>
      <c r="H18" s="11">
        <f>IF(ROUND(F18,0)=0,"",IF(F18*$C18&gt;0,"F","U"))</f>
        <v/>
      </c>
      <c r="J18" s="28">
        <f>SUMIF('C5 GEG LR Aktual'!$D$5:$O$5,"&lt;="&amp;'C1 GEG Setting'!$C$6,'C5 GEG LR Aktual'!$D$19:$O$19)</f>
        <v/>
      </c>
      <c r="K18" s="28">
        <f>SUMIF('C4 GEG LR Budget'!$D$5:$O$5,"&lt;="&amp;'C1 GEG Setting'!$C$6,'C4 GEG LR Budget'!$D$19:$O$19)</f>
        <v/>
      </c>
      <c r="L18" s="19">
        <f>J18-K18</f>
        <v/>
      </c>
      <c r="M18" s="24">
        <f>IFERROR(L18/ABS(K18),"")</f>
        <v/>
      </c>
      <c r="N18" s="11">
        <f>IF(ROUND(L18,0)=0,"",IF(L18*$C18&gt;0,"F","U"))</f>
        <v/>
      </c>
      <c r="O18" s="28">
        <f>'C4 GEG LR Budget'!$P$19</f>
        <v/>
      </c>
      <c r="P18" s="24">
        <f>IFERROR(J18/O18,0)</f>
        <v/>
      </c>
    </row>
    <row r="19">
      <c r="A19" s="45" t="inlineStr">
        <is>
          <t>5104</t>
        </is>
      </c>
      <c r="B19" s="10" t="inlineStr">
        <is>
          <t xml:space="preserve">   Penggalian batubara (coal getting)</t>
        </is>
      </c>
      <c r="C19" s="80" t="n">
        <v>-1</v>
      </c>
      <c r="D19" s="28">
        <f>INDEX('C5 GEG LR Aktual'!$D$20:$O$20,'C1 GEG Setting'!$C$6)</f>
        <v/>
      </c>
      <c r="E19" s="28">
        <f>INDEX('C4 GEG LR Budget'!$D$20:$O$20,'C1 GEG Setting'!$C$6)</f>
        <v/>
      </c>
      <c r="F19" s="19">
        <f>D19-E19</f>
        <v/>
      </c>
      <c r="G19" s="24">
        <f>IFERROR(F19/ABS(E19),"")</f>
        <v/>
      </c>
      <c r="H19" s="11">
        <f>IF(ROUND(F19,0)=0,"",IF(F19*$C19&gt;0,"F","U"))</f>
        <v/>
      </c>
      <c r="J19" s="28">
        <f>SUMIF('C5 GEG LR Aktual'!$D$5:$O$5,"&lt;="&amp;'C1 GEG Setting'!$C$6,'C5 GEG LR Aktual'!$D$20:$O$20)</f>
        <v/>
      </c>
      <c r="K19" s="28">
        <f>SUMIF('C4 GEG LR Budget'!$D$5:$O$5,"&lt;="&amp;'C1 GEG Setting'!$C$6,'C4 GEG LR Budget'!$D$20:$O$20)</f>
        <v/>
      </c>
      <c r="L19" s="19">
        <f>J19-K19</f>
        <v/>
      </c>
      <c r="M19" s="24">
        <f>IFERROR(L19/ABS(K19),"")</f>
        <v/>
      </c>
      <c r="N19" s="11">
        <f>IF(ROUND(L19,0)=0,"",IF(L19*$C19&gt;0,"F","U"))</f>
        <v/>
      </c>
      <c r="O19" s="28">
        <f>'C4 GEG LR Budget'!$P$20</f>
        <v/>
      </c>
      <c r="P19" s="24">
        <f>IFERROR(J19/O19,0)</f>
        <v/>
      </c>
    </row>
    <row r="20">
      <c r="A20" s="45" t="inlineStr">
        <is>
          <t>5105</t>
        </is>
      </c>
      <c r="B20" s="10" t="inlineStr">
        <is>
          <t xml:space="preserve">   Sewa alat berat &amp; sarana penunjang</t>
        </is>
      </c>
      <c r="C20" s="80" t="n">
        <v>-1</v>
      </c>
      <c r="D20" s="28">
        <f>INDEX('C5 GEG LR Aktual'!$D$21:$O$21,'C1 GEG Setting'!$C$6)</f>
        <v/>
      </c>
      <c r="E20" s="28">
        <f>INDEX('C4 GEG LR Budget'!$D$21:$O$21,'C1 GEG Setting'!$C$6)</f>
        <v/>
      </c>
      <c r="F20" s="19">
        <f>D20-E20</f>
        <v/>
      </c>
      <c r="G20" s="24">
        <f>IFERROR(F20/ABS(E20),"")</f>
        <v/>
      </c>
      <c r="H20" s="11">
        <f>IF(ROUND(F20,0)=0,"",IF(F20*$C20&gt;0,"F","U"))</f>
        <v/>
      </c>
      <c r="J20" s="28">
        <f>SUMIF('C5 GEG LR Aktual'!$D$5:$O$5,"&lt;="&amp;'C1 GEG Setting'!$C$6,'C5 GEG LR Aktual'!$D$21:$O$21)</f>
        <v/>
      </c>
      <c r="K20" s="28">
        <f>SUMIF('C4 GEG LR Budget'!$D$5:$O$5,"&lt;="&amp;'C1 GEG Setting'!$C$6,'C4 GEG LR Budget'!$D$21:$O$21)</f>
        <v/>
      </c>
      <c r="L20" s="19">
        <f>J20-K20</f>
        <v/>
      </c>
      <c r="M20" s="24">
        <f>IFERROR(L20/ABS(K20),"")</f>
        <v/>
      </c>
      <c r="N20" s="11">
        <f>IF(ROUND(L20,0)=0,"",IF(L20*$C20&gt;0,"F","U"))</f>
        <v/>
      </c>
      <c r="O20" s="28">
        <f>'C4 GEG LR Budget'!$P$21</f>
        <v/>
      </c>
      <c r="P20" s="24">
        <f>IFERROR(J20/O20,0)</f>
        <v/>
      </c>
    </row>
    <row r="21">
      <c r="A21" s="45" t="inlineStr">
        <is>
          <t>5106</t>
        </is>
      </c>
      <c r="B21" s="10" t="inlineStr">
        <is>
          <t xml:space="preserve">   Pemeliharaan jalan tambang &amp; infrastruktur</t>
        </is>
      </c>
      <c r="C21" s="80" t="n">
        <v>-1</v>
      </c>
      <c r="D21" s="28">
        <f>INDEX('C5 GEG LR Aktual'!$D$22:$O$22,'C1 GEG Setting'!$C$6)</f>
        <v/>
      </c>
      <c r="E21" s="28">
        <f>INDEX('C4 GEG LR Budget'!$D$22:$O$22,'C1 GEG Setting'!$C$6)</f>
        <v/>
      </c>
      <c r="F21" s="19">
        <f>D21-E21</f>
        <v/>
      </c>
      <c r="G21" s="24">
        <f>IFERROR(F21/ABS(E21),"")</f>
        <v/>
      </c>
      <c r="H21" s="11">
        <f>IF(ROUND(F21,0)=0,"",IF(F21*$C21&gt;0,"F","U"))</f>
        <v/>
      </c>
      <c r="J21" s="28">
        <f>SUMIF('C5 GEG LR Aktual'!$D$5:$O$5,"&lt;="&amp;'C1 GEG Setting'!$C$6,'C5 GEG LR Aktual'!$D$22:$O$22)</f>
        <v/>
      </c>
      <c r="K21" s="28">
        <f>SUMIF('C4 GEG LR Budget'!$D$5:$O$5,"&lt;="&amp;'C1 GEG Setting'!$C$6,'C4 GEG LR Budget'!$D$22:$O$22)</f>
        <v/>
      </c>
      <c r="L21" s="19">
        <f>J21-K21</f>
        <v/>
      </c>
      <c r="M21" s="24">
        <f>IFERROR(L21/ABS(K21),"")</f>
        <v/>
      </c>
      <c r="N21" s="11">
        <f>IF(ROUND(L21,0)=0,"",IF(L21*$C21&gt;0,"F","U"))</f>
        <v/>
      </c>
      <c r="O21" s="28">
        <f>'C4 GEG LR Budget'!$P$22</f>
        <v/>
      </c>
      <c r="P21" s="24">
        <f>IFERROR(J21/O21,0)</f>
        <v/>
      </c>
    </row>
    <row r="22">
      <c r="A22" s="45" t="inlineStr">
        <is>
          <t>5107</t>
        </is>
      </c>
      <c r="B22" s="10" t="inlineStr">
        <is>
          <t xml:space="preserve">   Pengelolaan air tambang (dewatering)</t>
        </is>
      </c>
      <c r="C22" s="80" t="n">
        <v>-1</v>
      </c>
      <c r="D22" s="28">
        <f>INDEX('C5 GEG LR Aktual'!$D$23:$O$23,'C1 GEG Setting'!$C$6)</f>
        <v/>
      </c>
      <c r="E22" s="28">
        <f>INDEX('C4 GEG LR Budget'!$D$23:$O$23,'C1 GEG Setting'!$C$6)</f>
        <v/>
      </c>
      <c r="F22" s="19">
        <f>D22-E22</f>
        <v/>
      </c>
      <c r="G22" s="24">
        <f>IFERROR(F22/ABS(E22),"")</f>
        <v/>
      </c>
      <c r="H22" s="11">
        <f>IF(ROUND(F22,0)=0,"",IF(F22*$C22&gt;0,"F","U"))</f>
        <v/>
      </c>
      <c r="J22" s="28">
        <f>SUMIF('C5 GEG LR Aktual'!$D$5:$O$5,"&lt;="&amp;'C1 GEG Setting'!$C$6,'C5 GEG LR Aktual'!$D$23:$O$23)</f>
        <v/>
      </c>
      <c r="K22" s="28">
        <f>SUMIF('C4 GEG LR Budget'!$D$5:$O$5,"&lt;="&amp;'C1 GEG Setting'!$C$6,'C4 GEG LR Budget'!$D$23:$O$23)</f>
        <v/>
      </c>
      <c r="L22" s="19">
        <f>J22-K22</f>
        <v/>
      </c>
      <c r="M22" s="24">
        <f>IFERROR(L22/ABS(K22),"")</f>
        <v/>
      </c>
      <c r="N22" s="11">
        <f>IF(ROUND(L22,0)=0,"",IF(L22*$C22&gt;0,"F","U"))</f>
        <v/>
      </c>
      <c r="O22" s="28">
        <f>'C4 GEG LR Budget'!$P$23</f>
        <v/>
      </c>
      <c r="P22" s="24">
        <f>IFERROR(J22/O22,0)</f>
        <v/>
      </c>
    </row>
    <row r="23">
      <c r="A23" s="45" t="inlineStr">
        <is>
          <t>5108</t>
        </is>
      </c>
      <c r="B23" s="10" t="inlineStr">
        <is>
          <t xml:space="preserve">   Survei, geologi &amp; grade control</t>
        </is>
      </c>
      <c r="C23" s="80" t="n">
        <v>-1</v>
      </c>
      <c r="D23" s="28">
        <f>INDEX('C5 GEG LR Aktual'!$D$24:$O$24,'C1 GEG Setting'!$C$6)</f>
        <v/>
      </c>
      <c r="E23" s="28">
        <f>INDEX('C4 GEG LR Budget'!$D$24:$O$24,'C1 GEG Setting'!$C$6)</f>
        <v/>
      </c>
      <c r="F23" s="19">
        <f>D23-E23</f>
        <v/>
      </c>
      <c r="G23" s="24">
        <f>IFERROR(F23/ABS(E23),"")</f>
        <v/>
      </c>
      <c r="H23" s="11">
        <f>IF(ROUND(F23,0)=0,"",IF(F23*$C23&gt;0,"F","U"))</f>
        <v/>
      </c>
      <c r="J23" s="28">
        <f>SUMIF('C5 GEG LR Aktual'!$D$5:$O$5,"&lt;="&amp;'C1 GEG Setting'!$C$6,'C5 GEG LR Aktual'!$D$24:$O$24)</f>
        <v/>
      </c>
      <c r="K23" s="28">
        <f>SUMIF('C4 GEG LR Budget'!$D$5:$O$5,"&lt;="&amp;'C1 GEG Setting'!$C$6,'C4 GEG LR Budget'!$D$24:$O$24)</f>
        <v/>
      </c>
      <c r="L23" s="19">
        <f>J23-K23</f>
        <v/>
      </c>
      <c r="M23" s="24">
        <f>IFERROR(L23/ABS(K23),"")</f>
        <v/>
      </c>
      <c r="N23" s="11">
        <f>IF(ROUND(L23,0)=0,"",IF(L23*$C23&gt;0,"F","U"))</f>
        <v/>
      </c>
      <c r="O23" s="28">
        <f>'C4 GEG LR Budget'!$P$24</f>
        <v/>
      </c>
      <c r="P23" s="24">
        <f>IFERROR(J23/O23,0)</f>
        <v/>
      </c>
    </row>
    <row r="24">
      <c r="A24" s="45" t="inlineStr"/>
      <c r="B24" s="46" t="inlineStr">
        <is>
          <t xml:space="preserve">   Subtotal biaya penambangan</t>
        </is>
      </c>
      <c r="C24" s="80" t="n">
        <v>-1</v>
      </c>
      <c r="D24" s="70">
        <f>INDEX('C5 GEG LR Aktual'!$D$25:$O$25,'C1 GEG Setting'!$C$6)</f>
        <v/>
      </c>
      <c r="E24" s="70">
        <f>INDEX('C4 GEG LR Budget'!$D$25:$O$25,'C1 GEG Setting'!$C$6)</f>
        <v/>
      </c>
      <c r="F24" s="71">
        <f>D24-E24</f>
        <v/>
      </c>
      <c r="G24" s="24">
        <f>IFERROR(F24/ABS(E24),"")</f>
        <v/>
      </c>
      <c r="H24" s="11">
        <f>IF(ROUND(F24,0)=0,"",IF(F24*$C24&gt;0,"F","U"))</f>
        <v/>
      </c>
      <c r="J24" s="70">
        <f>SUMIF('C5 GEG LR Aktual'!$D$5:$O$5,"&lt;="&amp;'C1 GEG Setting'!$C$6,'C5 GEG LR Aktual'!$D$25:$O$25)</f>
        <v/>
      </c>
      <c r="K24" s="70">
        <f>SUMIF('C4 GEG LR Budget'!$D$5:$O$5,"&lt;="&amp;'C1 GEG Setting'!$C$6,'C4 GEG LR Budget'!$D$25:$O$25)</f>
        <v/>
      </c>
      <c r="L24" s="71">
        <f>J24-K24</f>
        <v/>
      </c>
      <c r="M24" s="24">
        <f>IFERROR(L24/ABS(K24),"")</f>
        <v/>
      </c>
      <c r="N24" s="11">
        <f>IF(ROUND(L24,0)=0,"",IF(L24*$C24&gt;0,"F","U"))</f>
        <v/>
      </c>
      <c r="O24" s="28">
        <f>'C4 GEG LR Budget'!$P$25</f>
        <v/>
      </c>
      <c r="P24" s="24">
        <f>IFERROR(J24/O24,0)</f>
        <v/>
      </c>
    </row>
    <row r="25">
      <c r="B25" s="35" t="inlineStr">
        <is>
          <t>B. Pengolahan &amp; logistik</t>
        </is>
      </c>
    </row>
    <row r="26">
      <c r="A26" s="45" t="inlineStr">
        <is>
          <t>5201</t>
        </is>
      </c>
      <c r="B26" s="10" t="inlineStr">
        <is>
          <t xml:space="preserve">   Crushing &amp; pengolahan (CPP)</t>
        </is>
      </c>
      <c r="C26" s="80" t="n">
        <v>-1</v>
      </c>
      <c r="D26" s="28">
        <f>INDEX('C5 GEG LR Aktual'!$D$27:$O$27,'C1 GEG Setting'!$C$6)</f>
        <v/>
      </c>
      <c r="E26" s="28">
        <f>INDEX('C4 GEG LR Budget'!$D$27:$O$27,'C1 GEG Setting'!$C$6)</f>
        <v/>
      </c>
      <c r="F26" s="19">
        <f>D26-E26</f>
        <v/>
      </c>
      <c r="G26" s="24">
        <f>IFERROR(F26/ABS(E26),"")</f>
        <v/>
      </c>
      <c r="H26" s="11">
        <f>IF(ROUND(F26,0)=0,"",IF(F26*$C26&gt;0,"F","U"))</f>
        <v/>
      </c>
      <c r="J26" s="28">
        <f>SUMIF('C5 GEG LR Aktual'!$D$5:$O$5,"&lt;="&amp;'C1 GEG Setting'!$C$6,'C5 GEG LR Aktual'!$D$27:$O$27)</f>
        <v/>
      </c>
      <c r="K26" s="28">
        <f>SUMIF('C4 GEG LR Budget'!$D$5:$O$5,"&lt;="&amp;'C1 GEG Setting'!$C$6,'C4 GEG LR Budget'!$D$27:$O$27)</f>
        <v/>
      </c>
      <c r="L26" s="19">
        <f>J26-K26</f>
        <v/>
      </c>
      <c r="M26" s="24">
        <f>IFERROR(L26/ABS(K26),"")</f>
        <v/>
      </c>
      <c r="N26" s="11">
        <f>IF(ROUND(L26,0)=0,"",IF(L26*$C26&gt;0,"F","U"))</f>
        <v/>
      </c>
      <c r="O26" s="28">
        <f>'C4 GEG LR Budget'!$P$27</f>
        <v/>
      </c>
      <c r="P26" s="24">
        <f>IFERROR(J26/O26,0)</f>
        <v/>
      </c>
    </row>
    <row r="27">
      <c r="A27" s="45" t="inlineStr">
        <is>
          <t>5202</t>
        </is>
      </c>
      <c r="B27" s="10" t="inlineStr">
        <is>
          <t xml:space="preserve">   Hauling tambang – pelabuhan</t>
        </is>
      </c>
      <c r="C27" s="80" t="n">
        <v>-1</v>
      </c>
      <c r="D27" s="28">
        <f>INDEX('C5 GEG LR Aktual'!$D$28:$O$28,'C1 GEG Setting'!$C$6)</f>
        <v/>
      </c>
      <c r="E27" s="28">
        <f>INDEX('C4 GEG LR Budget'!$D$28:$O$28,'C1 GEG Setting'!$C$6)</f>
        <v/>
      </c>
      <c r="F27" s="19">
        <f>D27-E27</f>
        <v/>
      </c>
      <c r="G27" s="24">
        <f>IFERROR(F27/ABS(E27),"")</f>
        <v/>
      </c>
      <c r="H27" s="11">
        <f>IF(ROUND(F27,0)=0,"",IF(F27*$C27&gt;0,"F","U"))</f>
        <v/>
      </c>
      <c r="J27" s="28">
        <f>SUMIF('C5 GEG LR Aktual'!$D$5:$O$5,"&lt;="&amp;'C1 GEG Setting'!$C$6,'C5 GEG LR Aktual'!$D$28:$O$28)</f>
        <v/>
      </c>
      <c r="K27" s="28">
        <f>SUMIF('C4 GEG LR Budget'!$D$5:$O$5,"&lt;="&amp;'C1 GEG Setting'!$C$6,'C4 GEG LR Budget'!$D$28:$O$28)</f>
        <v/>
      </c>
      <c r="L27" s="19">
        <f>J27-K27</f>
        <v/>
      </c>
      <c r="M27" s="24">
        <f>IFERROR(L27/ABS(K27),"")</f>
        <v/>
      </c>
      <c r="N27" s="11">
        <f>IF(ROUND(L27,0)=0,"",IF(L27*$C27&gt;0,"F","U"))</f>
        <v/>
      </c>
      <c r="O27" s="28">
        <f>'C4 GEG LR Budget'!$P$28</f>
        <v/>
      </c>
      <c r="P27" s="24">
        <f>IFERROR(J27/O27,0)</f>
        <v/>
      </c>
    </row>
    <row r="28">
      <c r="A28" s="45" t="inlineStr">
        <is>
          <t>5203</t>
        </is>
      </c>
      <c r="B28" s="10" t="inlineStr">
        <is>
          <t xml:space="preserve">   Penanganan pelabuhan &amp; stockpile</t>
        </is>
      </c>
      <c r="C28" s="80" t="n">
        <v>-1</v>
      </c>
      <c r="D28" s="28">
        <f>INDEX('C5 GEG LR Aktual'!$D$29:$O$29,'C1 GEG Setting'!$C$6)</f>
        <v/>
      </c>
      <c r="E28" s="28">
        <f>INDEX('C4 GEG LR Budget'!$D$29:$O$29,'C1 GEG Setting'!$C$6)</f>
        <v/>
      </c>
      <c r="F28" s="19">
        <f>D28-E28</f>
        <v/>
      </c>
      <c r="G28" s="24">
        <f>IFERROR(F28/ABS(E28),"")</f>
        <v/>
      </c>
      <c r="H28" s="11">
        <f>IF(ROUND(F28,0)=0,"",IF(F28*$C28&gt;0,"F","U"))</f>
        <v/>
      </c>
      <c r="J28" s="28">
        <f>SUMIF('C5 GEG LR Aktual'!$D$5:$O$5,"&lt;="&amp;'C1 GEG Setting'!$C$6,'C5 GEG LR Aktual'!$D$29:$O$29)</f>
        <v/>
      </c>
      <c r="K28" s="28">
        <f>SUMIF('C4 GEG LR Budget'!$D$5:$O$5,"&lt;="&amp;'C1 GEG Setting'!$C$6,'C4 GEG LR Budget'!$D$29:$O$29)</f>
        <v/>
      </c>
      <c r="L28" s="19">
        <f>J28-K28</f>
        <v/>
      </c>
      <c r="M28" s="24">
        <f>IFERROR(L28/ABS(K28),"")</f>
        <v/>
      </c>
      <c r="N28" s="11">
        <f>IF(ROUND(L28,0)=0,"",IF(L28*$C28&gt;0,"F","U"))</f>
        <v/>
      </c>
      <c r="O28" s="28">
        <f>'C4 GEG LR Budget'!$P$29</f>
        <v/>
      </c>
      <c r="P28" s="24">
        <f>IFERROR(J28/O28,0)</f>
        <v/>
      </c>
    </row>
    <row r="29">
      <c r="A29" s="45" t="inlineStr">
        <is>
          <t>5204</t>
        </is>
      </c>
      <c r="B29" s="10" t="inlineStr">
        <is>
          <t xml:space="preserve">   Tongkang &amp; transshipment (barging)</t>
        </is>
      </c>
      <c r="C29" s="80" t="n">
        <v>-1</v>
      </c>
      <c r="D29" s="28">
        <f>INDEX('C5 GEG LR Aktual'!$D$30:$O$30,'C1 GEG Setting'!$C$6)</f>
        <v/>
      </c>
      <c r="E29" s="28">
        <f>INDEX('C4 GEG LR Budget'!$D$30:$O$30,'C1 GEG Setting'!$C$6)</f>
        <v/>
      </c>
      <c r="F29" s="19">
        <f>D29-E29</f>
        <v/>
      </c>
      <c r="G29" s="24">
        <f>IFERROR(F29/ABS(E29),"")</f>
        <v/>
      </c>
      <c r="H29" s="11">
        <f>IF(ROUND(F29,0)=0,"",IF(F29*$C29&gt;0,"F","U"))</f>
        <v/>
      </c>
      <c r="J29" s="28">
        <f>SUMIF('C5 GEG LR Aktual'!$D$5:$O$5,"&lt;="&amp;'C1 GEG Setting'!$C$6,'C5 GEG LR Aktual'!$D$30:$O$30)</f>
        <v/>
      </c>
      <c r="K29" s="28">
        <f>SUMIF('C4 GEG LR Budget'!$D$5:$O$5,"&lt;="&amp;'C1 GEG Setting'!$C$6,'C4 GEG LR Budget'!$D$30:$O$30)</f>
        <v/>
      </c>
      <c r="L29" s="19">
        <f>J29-K29</f>
        <v/>
      </c>
      <c r="M29" s="24">
        <f>IFERROR(L29/ABS(K29),"")</f>
        <v/>
      </c>
      <c r="N29" s="11">
        <f>IF(ROUND(L29,0)=0,"",IF(L29*$C29&gt;0,"F","U"))</f>
        <v/>
      </c>
      <c r="O29" s="28">
        <f>'C4 GEG LR Budget'!$P$30</f>
        <v/>
      </c>
      <c r="P29" s="24">
        <f>IFERROR(J29/O29,0)</f>
        <v/>
      </c>
    </row>
    <row r="30">
      <c r="A30" s="45" t="inlineStr"/>
      <c r="B30" s="46" t="inlineStr">
        <is>
          <t xml:space="preserve">   Subtotal pengolahan &amp; logistik</t>
        </is>
      </c>
      <c r="C30" s="80" t="n">
        <v>-1</v>
      </c>
      <c r="D30" s="70">
        <f>INDEX('C5 GEG LR Aktual'!$D$31:$O$31,'C1 GEG Setting'!$C$6)</f>
        <v/>
      </c>
      <c r="E30" s="70">
        <f>INDEX('C4 GEG LR Budget'!$D$31:$O$31,'C1 GEG Setting'!$C$6)</f>
        <v/>
      </c>
      <c r="F30" s="71">
        <f>D30-E30</f>
        <v/>
      </c>
      <c r="G30" s="24">
        <f>IFERROR(F30/ABS(E30),"")</f>
        <v/>
      </c>
      <c r="H30" s="11">
        <f>IF(ROUND(F30,0)=0,"",IF(F30*$C30&gt;0,"F","U"))</f>
        <v/>
      </c>
      <c r="J30" s="70">
        <f>SUMIF('C5 GEG LR Aktual'!$D$5:$O$5,"&lt;="&amp;'C1 GEG Setting'!$C$6,'C5 GEG LR Aktual'!$D$31:$O$31)</f>
        <v/>
      </c>
      <c r="K30" s="70">
        <f>SUMIF('C4 GEG LR Budget'!$D$5:$O$5,"&lt;="&amp;'C1 GEG Setting'!$C$6,'C4 GEG LR Budget'!$D$31:$O$31)</f>
        <v/>
      </c>
      <c r="L30" s="71">
        <f>J30-K30</f>
        <v/>
      </c>
      <c r="M30" s="24">
        <f>IFERROR(L30/ABS(K30),"")</f>
        <v/>
      </c>
      <c r="N30" s="11">
        <f>IF(ROUND(L30,0)=0,"",IF(L30*$C30&gt;0,"F","U"))</f>
        <v/>
      </c>
      <c r="O30" s="28">
        <f>'C4 GEG LR Budget'!$P$31</f>
        <v/>
      </c>
      <c r="P30" s="24">
        <f>IFERROR(J30/O30,0)</f>
        <v/>
      </c>
    </row>
    <row r="31">
      <c r="B31" s="35" t="inlineStr">
        <is>
          <t>C. Royalti</t>
        </is>
      </c>
    </row>
    <row r="32">
      <c r="A32" s="45" t="inlineStr">
        <is>
          <t>5301</t>
        </is>
      </c>
      <c r="B32" s="10" t="inlineStr">
        <is>
          <t xml:space="preserve">   Royalti / PNBP (DHPB)</t>
        </is>
      </c>
      <c r="C32" s="80" t="n">
        <v>-1</v>
      </c>
      <c r="D32" s="28">
        <f>INDEX('C5 GEG LR Aktual'!$D$33:$O$33,'C1 GEG Setting'!$C$6)</f>
        <v/>
      </c>
      <c r="E32" s="28">
        <f>INDEX('C4 GEG LR Budget'!$D$33:$O$33,'C1 GEG Setting'!$C$6)</f>
        <v/>
      </c>
      <c r="F32" s="19">
        <f>D32-E32</f>
        <v/>
      </c>
      <c r="G32" s="24">
        <f>IFERROR(F32/ABS(E32),"")</f>
        <v/>
      </c>
      <c r="H32" s="11">
        <f>IF(ROUND(F32,0)=0,"",IF(F32*$C32&gt;0,"F","U"))</f>
        <v/>
      </c>
      <c r="J32" s="28">
        <f>SUMIF('C5 GEG LR Aktual'!$D$5:$O$5,"&lt;="&amp;'C1 GEG Setting'!$C$6,'C5 GEG LR Aktual'!$D$33:$O$33)</f>
        <v/>
      </c>
      <c r="K32" s="28">
        <f>SUMIF('C4 GEG LR Budget'!$D$5:$O$5,"&lt;="&amp;'C1 GEG Setting'!$C$6,'C4 GEG LR Budget'!$D$33:$O$33)</f>
        <v/>
      </c>
      <c r="L32" s="19">
        <f>J32-K32</f>
        <v/>
      </c>
      <c r="M32" s="24">
        <f>IFERROR(L32/ABS(K32),"")</f>
        <v/>
      </c>
      <c r="N32" s="11">
        <f>IF(ROUND(L32,0)=0,"",IF(L32*$C32&gt;0,"F","U"))</f>
        <v/>
      </c>
      <c r="O32" s="28">
        <f>'C4 GEG LR Budget'!$P$33</f>
        <v/>
      </c>
      <c r="P32" s="24">
        <f>IFERROR(J32/O32,0)</f>
        <v/>
      </c>
    </row>
    <row r="33">
      <c r="B33" s="35" t="inlineStr">
        <is>
          <t>D. Overhead site</t>
        </is>
      </c>
    </row>
    <row r="34">
      <c r="A34" s="45" t="inlineStr">
        <is>
          <t>5401</t>
        </is>
      </c>
      <c r="B34" s="10" t="inlineStr">
        <is>
          <t xml:space="preserve">   Gaji &amp; tunjangan karyawan site</t>
        </is>
      </c>
      <c r="C34" s="80" t="n">
        <v>-1</v>
      </c>
      <c r="D34" s="28">
        <f>INDEX('C5 GEG LR Aktual'!$D$35:$O$35,'C1 GEG Setting'!$C$6)</f>
        <v/>
      </c>
      <c r="E34" s="28">
        <f>INDEX('C4 GEG LR Budget'!$D$35:$O$35,'C1 GEG Setting'!$C$6)</f>
        <v/>
      </c>
      <c r="F34" s="19">
        <f>D34-E34</f>
        <v/>
      </c>
      <c r="G34" s="24">
        <f>IFERROR(F34/ABS(E34),"")</f>
        <v/>
      </c>
      <c r="H34" s="11">
        <f>IF(ROUND(F34,0)=0,"",IF(F34*$C34&gt;0,"F","U"))</f>
        <v/>
      </c>
      <c r="J34" s="28">
        <f>SUMIF('C5 GEG LR Aktual'!$D$5:$O$5,"&lt;="&amp;'C1 GEG Setting'!$C$6,'C5 GEG LR Aktual'!$D$35:$O$35)</f>
        <v/>
      </c>
      <c r="K34" s="28">
        <f>SUMIF('C4 GEG LR Budget'!$D$5:$O$5,"&lt;="&amp;'C1 GEG Setting'!$C$6,'C4 GEG LR Budget'!$D$35:$O$35)</f>
        <v/>
      </c>
      <c r="L34" s="19">
        <f>J34-K34</f>
        <v/>
      </c>
      <c r="M34" s="24">
        <f>IFERROR(L34/ABS(K34),"")</f>
        <v/>
      </c>
      <c r="N34" s="11">
        <f>IF(ROUND(L34,0)=0,"",IF(L34*$C34&gt;0,"F","U"))</f>
        <v/>
      </c>
      <c r="O34" s="28">
        <f>'C4 GEG LR Budget'!$P$35</f>
        <v/>
      </c>
      <c r="P34" s="24">
        <f>IFERROR(J34/O34,0)</f>
        <v/>
      </c>
    </row>
    <row r="35">
      <c r="A35" s="45" t="inlineStr">
        <is>
          <t>5402</t>
        </is>
      </c>
      <c r="B35" s="10" t="inlineStr">
        <is>
          <t xml:space="preserve">   Camp, mess &amp; katering</t>
        </is>
      </c>
      <c r="C35" s="80" t="n">
        <v>-1</v>
      </c>
      <c r="D35" s="28">
        <f>INDEX('C5 GEG LR Aktual'!$D$36:$O$36,'C1 GEG Setting'!$C$6)</f>
        <v/>
      </c>
      <c r="E35" s="28">
        <f>INDEX('C4 GEG LR Budget'!$D$36:$O$36,'C1 GEG Setting'!$C$6)</f>
        <v/>
      </c>
      <c r="F35" s="19">
        <f>D35-E35</f>
        <v/>
      </c>
      <c r="G35" s="24">
        <f>IFERROR(F35/ABS(E35),"")</f>
        <v/>
      </c>
      <c r="H35" s="11">
        <f>IF(ROUND(F35,0)=0,"",IF(F35*$C35&gt;0,"F","U"))</f>
        <v/>
      </c>
      <c r="J35" s="28">
        <f>SUMIF('C5 GEG LR Aktual'!$D$5:$O$5,"&lt;="&amp;'C1 GEG Setting'!$C$6,'C5 GEG LR Aktual'!$D$36:$O$36)</f>
        <v/>
      </c>
      <c r="K35" s="28">
        <f>SUMIF('C4 GEG LR Budget'!$D$5:$O$5,"&lt;="&amp;'C1 GEG Setting'!$C$6,'C4 GEG LR Budget'!$D$36:$O$36)</f>
        <v/>
      </c>
      <c r="L35" s="19">
        <f>J35-K35</f>
        <v/>
      </c>
      <c r="M35" s="24">
        <f>IFERROR(L35/ABS(K35),"")</f>
        <v/>
      </c>
      <c r="N35" s="11">
        <f>IF(ROUND(L35,0)=0,"",IF(L35*$C35&gt;0,"F","U"))</f>
        <v/>
      </c>
      <c r="O35" s="28">
        <f>'C4 GEG LR Budget'!$P$36</f>
        <v/>
      </c>
      <c r="P35" s="24">
        <f>IFERROR(J35/O35,0)</f>
        <v/>
      </c>
    </row>
    <row r="36">
      <c r="A36" s="45" t="inlineStr">
        <is>
          <t>5403</t>
        </is>
      </c>
      <c r="B36" s="10" t="inlineStr">
        <is>
          <t xml:space="preserve">   K3 / HSE</t>
        </is>
      </c>
      <c r="C36" s="80" t="n">
        <v>-1</v>
      </c>
      <c r="D36" s="28">
        <f>INDEX('C5 GEG LR Aktual'!$D$37:$O$37,'C1 GEG Setting'!$C$6)</f>
        <v/>
      </c>
      <c r="E36" s="28">
        <f>INDEX('C4 GEG LR Budget'!$D$37:$O$37,'C1 GEG Setting'!$C$6)</f>
        <v/>
      </c>
      <c r="F36" s="19">
        <f>D36-E36</f>
        <v/>
      </c>
      <c r="G36" s="24">
        <f>IFERROR(F36/ABS(E36),"")</f>
        <v/>
      </c>
      <c r="H36" s="11">
        <f>IF(ROUND(F36,0)=0,"",IF(F36*$C36&gt;0,"F","U"))</f>
        <v/>
      </c>
      <c r="J36" s="28">
        <f>SUMIF('C5 GEG LR Aktual'!$D$5:$O$5,"&lt;="&amp;'C1 GEG Setting'!$C$6,'C5 GEG LR Aktual'!$D$37:$O$37)</f>
        <v/>
      </c>
      <c r="K36" s="28">
        <f>SUMIF('C4 GEG LR Budget'!$D$5:$O$5,"&lt;="&amp;'C1 GEG Setting'!$C$6,'C4 GEG LR Budget'!$D$37:$O$37)</f>
        <v/>
      </c>
      <c r="L36" s="19">
        <f>J36-K36</f>
        <v/>
      </c>
      <c r="M36" s="24">
        <f>IFERROR(L36/ABS(K36),"")</f>
        <v/>
      </c>
      <c r="N36" s="11">
        <f>IF(ROUND(L36,0)=0,"",IF(L36*$C36&gt;0,"F","U"))</f>
        <v/>
      </c>
      <c r="O36" s="28">
        <f>'C4 GEG LR Budget'!$P$37</f>
        <v/>
      </c>
      <c r="P36" s="24">
        <f>IFERROR(J36/O36,0)</f>
        <v/>
      </c>
    </row>
    <row r="37">
      <c r="A37" s="45" t="inlineStr">
        <is>
          <t>5404</t>
        </is>
      </c>
      <c r="B37" s="10" t="inlineStr">
        <is>
          <t xml:space="preserve">   Lingkungan &amp; reklamasi (provisi)</t>
        </is>
      </c>
      <c r="C37" s="80" t="n">
        <v>-1</v>
      </c>
      <c r="D37" s="28">
        <f>INDEX('C5 GEG LR Aktual'!$D$38:$O$38,'C1 GEG Setting'!$C$6)</f>
        <v/>
      </c>
      <c r="E37" s="28">
        <f>INDEX('C4 GEG LR Budget'!$D$38:$O$38,'C1 GEG Setting'!$C$6)</f>
        <v/>
      </c>
      <c r="F37" s="19">
        <f>D37-E37</f>
        <v/>
      </c>
      <c r="G37" s="24">
        <f>IFERROR(F37/ABS(E37),"")</f>
        <v/>
      </c>
      <c r="H37" s="11">
        <f>IF(ROUND(F37,0)=0,"",IF(F37*$C37&gt;0,"F","U"))</f>
        <v/>
      </c>
      <c r="J37" s="28">
        <f>SUMIF('C5 GEG LR Aktual'!$D$5:$O$5,"&lt;="&amp;'C1 GEG Setting'!$C$6,'C5 GEG LR Aktual'!$D$38:$O$38)</f>
        <v/>
      </c>
      <c r="K37" s="28">
        <f>SUMIF('C4 GEG LR Budget'!$D$5:$O$5,"&lt;="&amp;'C1 GEG Setting'!$C$6,'C4 GEG LR Budget'!$D$38:$O$38)</f>
        <v/>
      </c>
      <c r="L37" s="19">
        <f>J37-K37</f>
        <v/>
      </c>
      <c r="M37" s="24">
        <f>IFERROR(L37/ABS(K37),"")</f>
        <v/>
      </c>
      <c r="N37" s="11">
        <f>IF(ROUND(L37,0)=0,"",IF(L37*$C37&gt;0,"F","U"))</f>
        <v/>
      </c>
      <c r="O37" s="28">
        <f>'C4 GEG LR Budget'!$P$38</f>
        <v/>
      </c>
      <c r="P37" s="24">
        <f>IFERROR(J37/O37,0)</f>
        <v/>
      </c>
    </row>
    <row r="38">
      <c r="A38" s="45" t="inlineStr">
        <is>
          <t>5405</t>
        </is>
      </c>
      <c r="B38" s="10" t="inlineStr">
        <is>
          <t xml:space="preserve">   PPM / CSR</t>
        </is>
      </c>
      <c r="C38" s="80" t="n">
        <v>-1</v>
      </c>
      <c r="D38" s="28">
        <f>INDEX('C5 GEG LR Aktual'!$D$39:$O$39,'C1 GEG Setting'!$C$6)</f>
        <v/>
      </c>
      <c r="E38" s="28">
        <f>INDEX('C4 GEG LR Budget'!$D$39:$O$39,'C1 GEG Setting'!$C$6)</f>
        <v/>
      </c>
      <c r="F38" s="19">
        <f>D38-E38</f>
        <v/>
      </c>
      <c r="G38" s="24">
        <f>IFERROR(F38/ABS(E38),"")</f>
        <v/>
      </c>
      <c r="H38" s="11">
        <f>IF(ROUND(F38,0)=0,"",IF(F38*$C38&gt;0,"F","U"))</f>
        <v/>
      </c>
      <c r="J38" s="28">
        <f>SUMIF('C5 GEG LR Aktual'!$D$5:$O$5,"&lt;="&amp;'C1 GEG Setting'!$C$6,'C5 GEG LR Aktual'!$D$39:$O$39)</f>
        <v/>
      </c>
      <c r="K38" s="28">
        <f>SUMIF('C4 GEG LR Budget'!$D$5:$O$5,"&lt;="&amp;'C1 GEG Setting'!$C$6,'C4 GEG LR Budget'!$D$39:$O$39)</f>
        <v/>
      </c>
      <c r="L38" s="19">
        <f>J38-K38</f>
        <v/>
      </c>
      <c r="M38" s="24">
        <f>IFERROR(L38/ABS(K38),"")</f>
        <v/>
      </c>
      <c r="N38" s="11">
        <f>IF(ROUND(L38,0)=0,"",IF(L38*$C38&gt;0,"F","U"))</f>
        <v/>
      </c>
      <c r="O38" s="28">
        <f>'C4 GEG LR Budget'!$P$39</f>
        <v/>
      </c>
      <c r="P38" s="24">
        <f>IFERROR(J38/O38,0)</f>
        <v/>
      </c>
    </row>
    <row r="39">
      <c r="A39" s="45" t="inlineStr">
        <is>
          <t>5406</t>
        </is>
      </c>
      <c r="B39" s="10" t="inlineStr">
        <is>
          <t xml:space="preserve">   Iuran tetap &amp; kompensasi lahan</t>
        </is>
      </c>
      <c r="C39" s="80" t="n">
        <v>-1</v>
      </c>
      <c r="D39" s="28">
        <f>INDEX('C5 GEG LR Aktual'!$D$40:$O$40,'C1 GEG Setting'!$C$6)</f>
        <v/>
      </c>
      <c r="E39" s="28">
        <f>INDEX('C4 GEG LR Budget'!$D$40:$O$40,'C1 GEG Setting'!$C$6)</f>
        <v/>
      </c>
      <c r="F39" s="19">
        <f>D39-E39</f>
        <v/>
      </c>
      <c r="G39" s="24">
        <f>IFERROR(F39/ABS(E39),"")</f>
        <v/>
      </c>
      <c r="H39" s="11">
        <f>IF(ROUND(F39,0)=0,"",IF(F39*$C39&gt;0,"F","U"))</f>
        <v/>
      </c>
      <c r="J39" s="28">
        <f>SUMIF('C5 GEG LR Aktual'!$D$5:$O$5,"&lt;="&amp;'C1 GEG Setting'!$C$6,'C5 GEG LR Aktual'!$D$40:$O$40)</f>
        <v/>
      </c>
      <c r="K39" s="28">
        <f>SUMIF('C4 GEG LR Budget'!$D$5:$O$5,"&lt;="&amp;'C1 GEG Setting'!$C$6,'C4 GEG LR Budget'!$D$40:$O$40)</f>
        <v/>
      </c>
      <c r="L39" s="19">
        <f>J39-K39</f>
        <v/>
      </c>
      <c r="M39" s="24">
        <f>IFERROR(L39/ABS(K39),"")</f>
        <v/>
      </c>
      <c r="N39" s="11">
        <f>IF(ROUND(L39,0)=0,"",IF(L39*$C39&gt;0,"F","U"))</f>
        <v/>
      </c>
      <c r="O39" s="28">
        <f>'C4 GEG LR Budget'!$P$40</f>
        <v/>
      </c>
      <c r="P39" s="24">
        <f>IFERROR(J39/O39,0)</f>
        <v/>
      </c>
    </row>
    <row r="40">
      <c r="A40" s="45" t="inlineStr"/>
      <c r="B40" s="46" t="inlineStr">
        <is>
          <t xml:space="preserve">   Subtotal overhead site</t>
        </is>
      </c>
      <c r="C40" s="80" t="n">
        <v>-1</v>
      </c>
      <c r="D40" s="70">
        <f>INDEX('C5 GEG LR Aktual'!$D$41:$O$41,'C1 GEG Setting'!$C$6)</f>
        <v/>
      </c>
      <c r="E40" s="70">
        <f>INDEX('C4 GEG LR Budget'!$D$41:$O$41,'C1 GEG Setting'!$C$6)</f>
        <v/>
      </c>
      <c r="F40" s="71">
        <f>D40-E40</f>
        <v/>
      </c>
      <c r="G40" s="24">
        <f>IFERROR(F40/ABS(E40),"")</f>
        <v/>
      </c>
      <c r="H40" s="11">
        <f>IF(ROUND(F40,0)=0,"",IF(F40*$C40&gt;0,"F","U"))</f>
        <v/>
      </c>
      <c r="J40" s="70">
        <f>SUMIF('C5 GEG LR Aktual'!$D$5:$O$5,"&lt;="&amp;'C1 GEG Setting'!$C$6,'C5 GEG LR Aktual'!$D$41:$O$41)</f>
        <v/>
      </c>
      <c r="K40" s="70">
        <f>SUMIF('C4 GEG LR Budget'!$D$5:$O$5,"&lt;="&amp;'C1 GEG Setting'!$C$6,'C4 GEG LR Budget'!$D$41:$O$41)</f>
        <v/>
      </c>
      <c r="L40" s="71">
        <f>J40-K40</f>
        <v/>
      </c>
      <c r="M40" s="24">
        <f>IFERROR(L40/ABS(K40),"")</f>
        <v/>
      </c>
      <c r="N40" s="11">
        <f>IF(ROUND(L40,0)=0,"",IF(L40*$C40&gt;0,"F","U"))</f>
        <v/>
      </c>
      <c r="O40" s="28">
        <f>'C4 GEG LR Budget'!$P$41</f>
        <v/>
      </c>
      <c r="P40" s="24">
        <f>IFERROR(J40/O40,0)</f>
        <v/>
      </c>
    </row>
    <row r="41">
      <c r="B41" s="35" t="inlineStr">
        <is>
          <t>E. Penyusutan &amp; amortisasi</t>
        </is>
      </c>
    </row>
    <row r="42">
      <c r="A42" s="45" t="inlineStr">
        <is>
          <t>5501</t>
        </is>
      </c>
      <c r="B42" s="10" t="inlineStr">
        <is>
          <t xml:space="preserve">   Penyusutan aset tetap</t>
        </is>
      </c>
      <c r="C42" s="80" t="n">
        <v>-1</v>
      </c>
      <c r="D42" s="28">
        <f>INDEX('C5 GEG LR Aktual'!$D$43:$O$43,'C1 GEG Setting'!$C$6)</f>
        <v/>
      </c>
      <c r="E42" s="28">
        <f>INDEX('C4 GEG LR Budget'!$D$43:$O$43,'C1 GEG Setting'!$C$6)</f>
        <v/>
      </c>
      <c r="F42" s="19">
        <f>D42-E42</f>
        <v/>
      </c>
      <c r="G42" s="24">
        <f>IFERROR(F42/ABS(E42),"")</f>
        <v/>
      </c>
      <c r="H42" s="11">
        <f>IF(ROUND(F42,0)=0,"",IF(F42*$C42&gt;0,"F","U"))</f>
        <v/>
      </c>
      <c r="J42" s="28">
        <f>SUMIF('C5 GEG LR Aktual'!$D$5:$O$5,"&lt;="&amp;'C1 GEG Setting'!$C$6,'C5 GEG LR Aktual'!$D$43:$O$43)</f>
        <v/>
      </c>
      <c r="K42" s="28">
        <f>SUMIF('C4 GEG LR Budget'!$D$5:$O$5,"&lt;="&amp;'C1 GEG Setting'!$C$6,'C4 GEG LR Budget'!$D$43:$O$43)</f>
        <v/>
      </c>
      <c r="L42" s="19">
        <f>J42-K42</f>
        <v/>
      </c>
      <c r="M42" s="24">
        <f>IFERROR(L42/ABS(K42),"")</f>
        <v/>
      </c>
      <c r="N42" s="11">
        <f>IF(ROUND(L42,0)=0,"",IF(L42*$C42&gt;0,"F","U"))</f>
        <v/>
      </c>
      <c r="O42" s="28">
        <f>'C4 GEG LR Budget'!$P$43</f>
        <v/>
      </c>
      <c r="P42" s="24">
        <f>IFERROR(J42/O42,0)</f>
        <v/>
      </c>
    </row>
    <row r="43">
      <c r="A43" s="45" t="inlineStr">
        <is>
          <t>5502</t>
        </is>
      </c>
      <c r="B43" s="10" t="inlineStr">
        <is>
          <t xml:space="preserve">   Amortisasi properti pertambangan</t>
        </is>
      </c>
      <c r="C43" s="80" t="n">
        <v>-1</v>
      </c>
      <c r="D43" s="28">
        <f>INDEX('C5 GEG LR Aktual'!$D$44:$O$44,'C1 GEG Setting'!$C$6)</f>
        <v/>
      </c>
      <c r="E43" s="28">
        <f>INDEX('C4 GEG LR Budget'!$D$44:$O$44,'C1 GEG Setting'!$C$6)</f>
        <v/>
      </c>
      <c r="F43" s="19">
        <f>D43-E43</f>
        <v/>
      </c>
      <c r="G43" s="24">
        <f>IFERROR(F43/ABS(E43),"")</f>
        <v/>
      </c>
      <c r="H43" s="11">
        <f>IF(ROUND(F43,0)=0,"",IF(F43*$C43&gt;0,"F","U"))</f>
        <v/>
      </c>
      <c r="J43" s="28">
        <f>SUMIF('C5 GEG LR Aktual'!$D$5:$O$5,"&lt;="&amp;'C1 GEG Setting'!$C$6,'C5 GEG LR Aktual'!$D$44:$O$44)</f>
        <v/>
      </c>
      <c r="K43" s="28">
        <f>SUMIF('C4 GEG LR Budget'!$D$5:$O$5,"&lt;="&amp;'C1 GEG Setting'!$C$6,'C4 GEG LR Budget'!$D$44:$O$44)</f>
        <v/>
      </c>
      <c r="L43" s="19">
        <f>J43-K43</f>
        <v/>
      </c>
      <c r="M43" s="24">
        <f>IFERROR(L43/ABS(K43),"")</f>
        <v/>
      </c>
      <c r="N43" s="11">
        <f>IF(ROUND(L43,0)=0,"",IF(L43*$C43&gt;0,"F","U"))</f>
        <v/>
      </c>
      <c r="O43" s="28">
        <f>'C4 GEG LR Budget'!$P$44</f>
        <v/>
      </c>
      <c r="P43" s="24">
        <f>IFERROR(J43/O43,0)</f>
        <v/>
      </c>
    </row>
    <row r="44">
      <c r="A44" s="45" t="inlineStr">
        <is>
          <t>5503</t>
        </is>
      </c>
      <c r="B44" s="10" t="inlineStr">
        <is>
          <t xml:space="preserve">   Amortisasi biaya pengupasan tangguhan</t>
        </is>
      </c>
      <c r="C44" s="80" t="n">
        <v>-1</v>
      </c>
      <c r="D44" s="28">
        <f>INDEX('C5 GEG LR Aktual'!$D$45:$O$45,'C1 GEG Setting'!$C$6)</f>
        <v/>
      </c>
      <c r="E44" s="28">
        <f>INDEX('C4 GEG LR Budget'!$D$45:$O$45,'C1 GEG Setting'!$C$6)</f>
        <v/>
      </c>
      <c r="F44" s="19">
        <f>D44-E44</f>
        <v/>
      </c>
      <c r="G44" s="24">
        <f>IFERROR(F44/ABS(E44),"")</f>
        <v/>
      </c>
      <c r="H44" s="11">
        <f>IF(ROUND(F44,0)=0,"",IF(F44*$C44&gt;0,"F","U"))</f>
        <v/>
      </c>
      <c r="J44" s="28">
        <f>SUMIF('C5 GEG LR Aktual'!$D$5:$O$5,"&lt;="&amp;'C1 GEG Setting'!$C$6,'C5 GEG LR Aktual'!$D$45:$O$45)</f>
        <v/>
      </c>
      <c r="K44" s="28">
        <f>SUMIF('C4 GEG LR Budget'!$D$5:$O$5,"&lt;="&amp;'C1 GEG Setting'!$C$6,'C4 GEG LR Budget'!$D$45:$O$45)</f>
        <v/>
      </c>
      <c r="L44" s="19">
        <f>J44-K44</f>
        <v/>
      </c>
      <c r="M44" s="24">
        <f>IFERROR(L44/ABS(K44),"")</f>
        <v/>
      </c>
      <c r="N44" s="11">
        <f>IF(ROUND(L44,0)=0,"",IF(L44*$C44&gt;0,"F","U"))</f>
        <v/>
      </c>
      <c r="O44" s="28">
        <f>'C4 GEG LR Budget'!$P$45</f>
        <v/>
      </c>
      <c r="P44" s="24">
        <f>IFERROR(J44/O44,0)</f>
        <v/>
      </c>
    </row>
    <row r="45">
      <c r="A45" s="45" t="inlineStr"/>
      <c r="B45" s="46" t="inlineStr">
        <is>
          <t xml:space="preserve">   Subtotal penyusutan &amp; amortisasi</t>
        </is>
      </c>
      <c r="C45" s="80" t="n">
        <v>-1</v>
      </c>
      <c r="D45" s="70">
        <f>INDEX('C5 GEG LR Aktual'!$D$46:$O$46,'C1 GEG Setting'!$C$6)</f>
        <v/>
      </c>
      <c r="E45" s="70">
        <f>INDEX('C4 GEG LR Budget'!$D$46:$O$46,'C1 GEG Setting'!$C$6)</f>
        <v/>
      </c>
      <c r="F45" s="71">
        <f>D45-E45</f>
        <v/>
      </c>
      <c r="G45" s="24">
        <f>IFERROR(F45/ABS(E45),"")</f>
        <v/>
      </c>
      <c r="H45" s="11">
        <f>IF(ROUND(F45,0)=0,"",IF(F45*$C45&gt;0,"F","U"))</f>
        <v/>
      </c>
      <c r="J45" s="70">
        <f>SUMIF('C5 GEG LR Aktual'!$D$5:$O$5,"&lt;="&amp;'C1 GEG Setting'!$C$6,'C5 GEG LR Aktual'!$D$46:$O$46)</f>
        <v/>
      </c>
      <c r="K45" s="70">
        <f>SUMIF('C4 GEG LR Budget'!$D$5:$O$5,"&lt;="&amp;'C1 GEG Setting'!$C$6,'C4 GEG LR Budget'!$D$46:$O$46)</f>
        <v/>
      </c>
      <c r="L45" s="71">
        <f>J45-K45</f>
        <v/>
      </c>
      <c r="M45" s="24">
        <f>IFERROR(L45/ABS(K45),"")</f>
        <v/>
      </c>
      <c r="N45" s="11">
        <f>IF(ROUND(L45,0)=0,"",IF(L45*$C45&gt;0,"F","U"))</f>
        <v/>
      </c>
      <c r="O45" s="28">
        <f>'C4 GEG LR Budget'!$P$46</f>
        <v/>
      </c>
      <c r="P45" s="24">
        <f>IFERROR(J45/O45,0)</f>
        <v/>
      </c>
    </row>
    <row r="46">
      <c r="A46" s="45" t="inlineStr"/>
      <c r="B46" s="46" t="inlineStr">
        <is>
          <t xml:space="preserve">   Total biaya produksi</t>
        </is>
      </c>
      <c r="C46" s="80" t="n">
        <v>-1</v>
      </c>
      <c r="D46" s="70">
        <f>INDEX('C5 GEG LR Aktual'!$D$47:$O$47,'C1 GEG Setting'!$C$6)</f>
        <v/>
      </c>
      <c r="E46" s="70">
        <f>INDEX('C4 GEG LR Budget'!$D$47:$O$47,'C1 GEG Setting'!$C$6)</f>
        <v/>
      </c>
      <c r="F46" s="71">
        <f>D46-E46</f>
        <v/>
      </c>
      <c r="G46" s="24">
        <f>IFERROR(F46/ABS(E46),"")</f>
        <v/>
      </c>
      <c r="H46" s="11">
        <f>IF(ROUND(F46,0)=0,"",IF(F46*$C46&gt;0,"F","U"))</f>
        <v/>
      </c>
      <c r="J46" s="70">
        <f>SUMIF('C5 GEG LR Aktual'!$D$5:$O$5,"&lt;="&amp;'C1 GEG Setting'!$C$6,'C5 GEG LR Aktual'!$D$47:$O$47)</f>
        <v/>
      </c>
      <c r="K46" s="70">
        <f>SUMIF('C4 GEG LR Budget'!$D$5:$O$5,"&lt;="&amp;'C1 GEG Setting'!$C$6,'C4 GEG LR Budget'!$D$47:$O$47)</f>
        <v/>
      </c>
      <c r="L46" s="71">
        <f>J46-K46</f>
        <v/>
      </c>
      <c r="M46" s="24">
        <f>IFERROR(L46/ABS(K46),"")</f>
        <v/>
      </c>
      <c r="N46" s="11">
        <f>IF(ROUND(L46,0)=0,"",IF(L46*$C46&gt;0,"F","U"))</f>
        <v/>
      </c>
      <c r="O46" s="28">
        <f>'C4 GEG LR Budget'!$P$47</f>
        <v/>
      </c>
      <c r="P46" s="24">
        <f>IFERROR(J46/O46,0)</f>
        <v/>
      </c>
    </row>
    <row r="47">
      <c r="A47" s="45" t="inlineStr">
        <is>
          <t>5601</t>
        </is>
      </c>
      <c r="B47" s="10" t="inlineStr">
        <is>
          <t xml:space="preserve">   Perubahan persediaan batubara (awal – akhir)</t>
        </is>
      </c>
      <c r="C47" s="80" t="n">
        <v>-1</v>
      </c>
      <c r="D47" s="28">
        <f>INDEX('C5 GEG LR Aktual'!$D$48:$O$48,'C1 GEG Setting'!$C$6)</f>
        <v/>
      </c>
      <c r="E47" s="28">
        <f>INDEX('C4 GEG LR Budget'!$D$48:$O$48,'C1 GEG Setting'!$C$6)</f>
        <v/>
      </c>
      <c r="F47" s="19">
        <f>D47-E47</f>
        <v/>
      </c>
      <c r="G47" s="24">
        <f>IFERROR(F47/ABS(E47),"")</f>
        <v/>
      </c>
      <c r="H47" s="11">
        <f>IF(ROUND(F47,0)=0,"",IF(F47*$C47&gt;0,"F","U"))</f>
        <v/>
      </c>
      <c r="J47" s="28">
        <f>SUMIF('C5 GEG LR Aktual'!$D$5:$O$5,"&lt;="&amp;'C1 GEG Setting'!$C$6,'C5 GEG LR Aktual'!$D$48:$O$48)</f>
        <v/>
      </c>
      <c r="K47" s="28">
        <f>SUMIF('C4 GEG LR Budget'!$D$5:$O$5,"&lt;="&amp;'C1 GEG Setting'!$C$6,'C4 GEG LR Budget'!$D$48:$O$48)</f>
        <v/>
      </c>
      <c r="L47" s="19">
        <f>J47-K47</f>
        <v/>
      </c>
      <c r="M47" s="24">
        <f>IFERROR(L47/ABS(K47),"")</f>
        <v/>
      </c>
      <c r="N47" s="11">
        <f>IF(ROUND(L47,0)=0,"",IF(L47*$C47&gt;0,"F","U"))</f>
        <v/>
      </c>
      <c r="O47" s="28">
        <f>'C4 GEG LR Budget'!$P$48</f>
        <v/>
      </c>
      <c r="P47" s="24">
        <f>IFERROR(J47/O47,0)</f>
        <v/>
      </c>
    </row>
    <row r="48">
      <c r="A48" s="82" t="inlineStr"/>
      <c r="B48" s="31" t="inlineStr">
        <is>
          <t>BEBAN POKOK PENDAPATAN</t>
        </is>
      </c>
      <c r="C48" s="83" t="n">
        <v>-1</v>
      </c>
      <c r="D48" s="84">
        <f>INDEX('C5 GEG LR Aktual'!$D$49:$O$49,'C1 GEG Setting'!$C$6)</f>
        <v/>
      </c>
      <c r="E48" s="84">
        <f>INDEX('C4 GEG LR Budget'!$D$49:$O$49,'C1 GEG Setting'!$C$6)</f>
        <v/>
      </c>
      <c r="F48" s="33">
        <f>D48-E48</f>
        <v/>
      </c>
      <c r="G48" s="85">
        <f>IFERROR(F48/ABS(E48),"")</f>
        <v/>
      </c>
      <c r="H48" s="86">
        <f>IF(ROUND(F48,0)=0,"",IF(F48*$C48&gt;0,"F","U"))</f>
        <v/>
      </c>
      <c r="I48" s="32" t="n"/>
      <c r="J48" s="84">
        <f>SUMIF('C5 GEG LR Aktual'!$D$5:$O$5,"&lt;="&amp;'C1 GEG Setting'!$C$6,'C5 GEG LR Aktual'!$D$49:$O$49)</f>
        <v/>
      </c>
      <c r="K48" s="84">
        <f>SUMIF('C4 GEG LR Budget'!$D$5:$O$5,"&lt;="&amp;'C1 GEG Setting'!$C$6,'C4 GEG LR Budget'!$D$49:$O$49)</f>
        <v/>
      </c>
      <c r="L48" s="33">
        <f>J48-K48</f>
        <v/>
      </c>
      <c r="M48" s="85">
        <f>IFERROR(L48/ABS(K48),"")</f>
        <v/>
      </c>
      <c r="N48" s="86">
        <f>IF(ROUND(L48,0)=0,"",IF(L48*$C48&gt;0,"F","U"))</f>
        <v/>
      </c>
      <c r="O48" s="87">
        <f>'C4 GEG LR Budget'!$P$49</f>
        <v/>
      </c>
      <c r="P48" s="85">
        <f>IFERROR(J48/O48,0)</f>
        <v/>
      </c>
    </row>
    <row r="49">
      <c r="A49" s="82" t="inlineStr"/>
      <c r="B49" s="31" t="inlineStr">
        <is>
          <t>LABA KOTOR</t>
        </is>
      </c>
      <c r="C49" s="83" t="n">
        <v>1</v>
      </c>
      <c r="D49" s="84">
        <f>INDEX('C5 GEG LR Aktual'!$D$50:$O$50,'C1 GEG Setting'!$C$6)</f>
        <v/>
      </c>
      <c r="E49" s="84">
        <f>INDEX('C4 GEG LR Budget'!$D$50:$O$50,'C1 GEG Setting'!$C$6)</f>
        <v/>
      </c>
      <c r="F49" s="33">
        <f>D49-E49</f>
        <v/>
      </c>
      <c r="G49" s="85">
        <f>IFERROR(F49/ABS(E49),"")</f>
        <v/>
      </c>
      <c r="H49" s="86">
        <f>IF(ROUND(F49,0)=0,"",IF(F49*$C49&gt;0,"F","U"))</f>
        <v/>
      </c>
      <c r="I49" s="32" t="n"/>
      <c r="J49" s="84">
        <f>SUMIF('C5 GEG LR Aktual'!$D$5:$O$5,"&lt;="&amp;'C1 GEG Setting'!$C$6,'C5 GEG LR Aktual'!$D$50:$O$50)</f>
        <v/>
      </c>
      <c r="K49" s="84">
        <f>SUMIF('C4 GEG LR Budget'!$D$5:$O$5,"&lt;="&amp;'C1 GEG Setting'!$C$6,'C4 GEG LR Budget'!$D$50:$O$50)</f>
        <v/>
      </c>
      <c r="L49" s="33">
        <f>J49-K49</f>
        <v/>
      </c>
      <c r="M49" s="85">
        <f>IFERROR(L49/ABS(K49),"")</f>
        <v/>
      </c>
      <c r="N49" s="86">
        <f>IF(ROUND(L49,0)=0,"",IF(L49*$C49&gt;0,"F","U"))</f>
        <v/>
      </c>
      <c r="O49" s="87">
        <f>'C4 GEG LR Budget'!$P$50</f>
        <v/>
      </c>
      <c r="P49" s="85">
        <f>IFERROR(J49/O49,0)</f>
        <v/>
      </c>
    </row>
    <row r="50">
      <c r="A50" s="45" t="inlineStr"/>
      <c r="B50" s="37" t="inlineStr">
        <is>
          <t xml:space="preserve">   Marjin laba kotor</t>
        </is>
      </c>
      <c r="D50" s="29">
        <f>IFERROR(D49/D13,0)</f>
        <v/>
      </c>
      <c r="E50" s="29">
        <f>IFERROR(E49/E13,0)</f>
        <v/>
      </c>
      <c r="F50" s="29">
        <f>D50-E50</f>
        <v/>
      </c>
      <c r="J50" s="29">
        <f>IFERROR(J49/J13,0)</f>
        <v/>
      </c>
      <c r="K50" s="29">
        <f>IFERROR(K49/K13,0)</f>
        <v/>
      </c>
      <c r="L50" s="29">
        <f>J50-K50</f>
        <v/>
      </c>
      <c r="O50" s="29">
        <f>IFERROR(O49/O13,0)</f>
        <v/>
      </c>
    </row>
    <row r="51">
      <c r="A51" s="4" t="inlineStr">
        <is>
          <t>BEBAN USAHA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</row>
    <row r="52">
      <c r="B52" s="35" t="inlineStr">
        <is>
          <t>Beban penjualan</t>
        </is>
      </c>
    </row>
    <row r="53">
      <c r="A53" s="45" t="inlineStr">
        <is>
          <t>6101</t>
        </is>
      </c>
      <c r="B53" s="10" t="inlineStr">
        <is>
          <t xml:space="preserve">   Pengapalan laut (penjualan CIF)</t>
        </is>
      </c>
      <c r="C53" s="80" t="n">
        <v>-1</v>
      </c>
      <c r="D53" s="28">
        <f>INDEX('C5 GEG LR Aktual'!$D$54:$O$54,'C1 GEG Setting'!$C$6)</f>
        <v/>
      </c>
      <c r="E53" s="28">
        <f>INDEX('C4 GEG LR Budget'!$D$54:$O$54,'C1 GEG Setting'!$C$6)</f>
        <v/>
      </c>
      <c r="F53" s="19">
        <f>D53-E53</f>
        <v/>
      </c>
      <c r="G53" s="24">
        <f>IFERROR(F53/ABS(E53),"")</f>
        <v/>
      </c>
      <c r="H53" s="11">
        <f>IF(ROUND(F53,0)=0,"",IF(F53*$C53&gt;0,"F","U"))</f>
        <v/>
      </c>
      <c r="J53" s="28">
        <f>SUMIF('C5 GEG LR Aktual'!$D$5:$O$5,"&lt;="&amp;'C1 GEG Setting'!$C$6,'C5 GEG LR Aktual'!$D$54:$O$54)</f>
        <v/>
      </c>
      <c r="K53" s="28">
        <f>SUMIF('C4 GEG LR Budget'!$D$5:$O$5,"&lt;="&amp;'C1 GEG Setting'!$C$6,'C4 GEG LR Budget'!$D$54:$O$54)</f>
        <v/>
      </c>
      <c r="L53" s="19">
        <f>J53-K53</f>
        <v/>
      </c>
      <c r="M53" s="24">
        <f>IFERROR(L53/ABS(K53),"")</f>
        <v/>
      </c>
      <c r="N53" s="11">
        <f>IF(ROUND(L53,0)=0,"",IF(L53*$C53&gt;0,"F","U"))</f>
        <v/>
      </c>
      <c r="O53" s="28">
        <f>'C4 GEG LR Budget'!$P$54</f>
        <v/>
      </c>
      <c r="P53" s="24">
        <f>IFERROR(J53/O53,0)</f>
        <v/>
      </c>
    </row>
    <row r="54">
      <c r="A54" s="45" t="inlineStr">
        <is>
          <t>6102</t>
        </is>
      </c>
      <c r="B54" s="10" t="inlineStr">
        <is>
          <t xml:space="preserve">   Komisi agen penjualan</t>
        </is>
      </c>
      <c r="C54" s="80" t="n">
        <v>-1</v>
      </c>
      <c r="D54" s="28">
        <f>INDEX('C5 GEG LR Aktual'!$D$55:$O$55,'C1 GEG Setting'!$C$6)</f>
        <v/>
      </c>
      <c r="E54" s="28">
        <f>INDEX('C4 GEG LR Budget'!$D$55:$O$55,'C1 GEG Setting'!$C$6)</f>
        <v/>
      </c>
      <c r="F54" s="19">
        <f>D54-E54</f>
        <v/>
      </c>
      <c r="G54" s="24">
        <f>IFERROR(F54/ABS(E54),"")</f>
        <v/>
      </c>
      <c r="H54" s="11">
        <f>IF(ROUND(F54,0)=0,"",IF(F54*$C54&gt;0,"F","U"))</f>
        <v/>
      </c>
      <c r="J54" s="28">
        <f>SUMIF('C5 GEG LR Aktual'!$D$5:$O$5,"&lt;="&amp;'C1 GEG Setting'!$C$6,'C5 GEG LR Aktual'!$D$55:$O$55)</f>
        <v/>
      </c>
      <c r="K54" s="28">
        <f>SUMIF('C4 GEG LR Budget'!$D$5:$O$5,"&lt;="&amp;'C1 GEG Setting'!$C$6,'C4 GEG LR Budget'!$D$55:$O$55)</f>
        <v/>
      </c>
      <c r="L54" s="19">
        <f>J54-K54</f>
        <v/>
      </c>
      <c r="M54" s="24">
        <f>IFERROR(L54/ABS(K54),"")</f>
        <v/>
      </c>
      <c r="N54" s="11">
        <f>IF(ROUND(L54,0)=0,"",IF(L54*$C54&gt;0,"F","U"))</f>
        <v/>
      </c>
      <c r="O54" s="28">
        <f>'C4 GEG LR Budget'!$P$55</f>
        <v/>
      </c>
      <c r="P54" s="24">
        <f>IFERROR(J54/O54,0)</f>
        <v/>
      </c>
    </row>
    <row r="55">
      <c r="A55" s="45" t="inlineStr">
        <is>
          <t>6103</t>
        </is>
      </c>
      <c r="B55" s="10" t="inlineStr">
        <is>
          <t xml:space="preserve">   Surveyor independen &amp; analisa kualitas</t>
        </is>
      </c>
      <c r="C55" s="80" t="n">
        <v>-1</v>
      </c>
      <c r="D55" s="28">
        <f>INDEX('C5 GEG LR Aktual'!$D$56:$O$56,'C1 GEG Setting'!$C$6)</f>
        <v/>
      </c>
      <c r="E55" s="28">
        <f>INDEX('C4 GEG LR Budget'!$D$56:$O$56,'C1 GEG Setting'!$C$6)</f>
        <v/>
      </c>
      <c r="F55" s="19">
        <f>D55-E55</f>
        <v/>
      </c>
      <c r="G55" s="24">
        <f>IFERROR(F55/ABS(E55),"")</f>
        <v/>
      </c>
      <c r="H55" s="11">
        <f>IF(ROUND(F55,0)=0,"",IF(F55*$C55&gt;0,"F","U"))</f>
        <v/>
      </c>
      <c r="J55" s="28">
        <f>SUMIF('C5 GEG LR Aktual'!$D$5:$O$5,"&lt;="&amp;'C1 GEG Setting'!$C$6,'C5 GEG LR Aktual'!$D$56:$O$56)</f>
        <v/>
      </c>
      <c r="K55" s="28">
        <f>SUMIF('C4 GEG LR Budget'!$D$5:$O$5,"&lt;="&amp;'C1 GEG Setting'!$C$6,'C4 GEG LR Budget'!$D$56:$O$56)</f>
        <v/>
      </c>
      <c r="L55" s="19">
        <f>J55-K55</f>
        <v/>
      </c>
      <c r="M55" s="24">
        <f>IFERROR(L55/ABS(K55),"")</f>
        <v/>
      </c>
      <c r="N55" s="11">
        <f>IF(ROUND(L55,0)=0,"",IF(L55*$C55&gt;0,"F","U"))</f>
        <v/>
      </c>
      <c r="O55" s="28">
        <f>'C4 GEG LR Budget'!$P$56</f>
        <v/>
      </c>
      <c r="P55" s="24">
        <f>IFERROR(J55/O55,0)</f>
        <v/>
      </c>
    </row>
    <row r="56">
      <c r="A56" s="45" t="inlineStr">
        <is>
          <t>6104</t>
        </is>
      </c>
      <c r="B56" s="10" t="inlineStr">
        <is>
          <t xml:space="preserve">   Demurrage</t>
        </is>
      </c>
      <c r="C56" s="80" t="n">
        <v>-1</v>
      </c>
      <c r="D56" s="28">
        <f>INDEX('C5 GEG LR Aktual'!$D$57:$O$57,'C1 GEG Setting'!$C$6)</f>
        <v/>
      </c>
      <c r="E56" s="28">
        <f>INDEX('C4 GEG LR Budget'!$D$57:$O$57,'C1 GEG Setting'!$C$6)</f>
        <v/>
      </c>
      <c r="F56" s="19">
        <f>D56-E56</f>
        <v/>
      </c>
      <c r="G56" s="24">
        <f>IFERROR(F56/ABS(E56),"")</f>
        <v/>
      </c>
      <c r="H56" s="11">
        <f>IF(ROUND(F56,0)=0,"",IF(F56*$C56&gt;0,"F","U"))</f>
        <v/>
      </c>
      <c r="J56" s="28">
        <f>SUMIF('C5 GEG LR Aktual'!$D$5:$O$5,"&lt;="&amp;'C1 GEG Setting'!$C$6,'C5 GEG LR Aktual'!$D$57:$O$57)</f>
        <v/>
      </c>
      <c r="K56" s="28">
        <f>SUMIF('C4 GEG LR Budget'!$D$5:$O$5,"&lt;="&amp;'C1 GEG Setting'!$C$6,'C4 GEG LR Budget'!$D$57:$O$57)</f>
        <v/>
      </c>
      <c r="L56" s="19">
        <f>J56-K56</f>
        <v/>
      </c>
      <c r="M56" s="24">
        <f>IFERROR(L56/ABS(K56),"")</f>
        <v/>
      </c>
      <c r="N56" s="11">
        <f>IF(ROUND(L56,0)=0,"",IF(L56*$C56&gt;0,"F","U"))</f>
        <v/>
      </c>
      <c r="O56" s="28">
        <f>'C4 GEG LR Budget'!$P$57</f>
        <v/>
      </c>
      <c r="P56" s="24">
        <f>IFERROR(J56/O56,0)</f>
        <v/>
      </c>
    </row>
    <row r="57">
      <c r="A57" s="45" t="inlineStr">
        <is>
          <t>6105</t>
        </is>
      </c>
      <c r="B57" s="10" t="inlineStr">
        <is>
          <t xml:space="preserve">   Dokumen ekspor &amp; pungutan</t>
        </is>
      </c>
      <c r="C57" s="80" t="n">
        <v>-1</v>
      </c>
      <c r="D57" s="28">
        <f>INDEX('C5 GEG LR Aktual'!$D$58:$O$58,'C1 GEG Setting'!$C$6)</f>
        <v/>
      </c>
      <c r="E57" s="28">
        <f>INDEX('C4 GEG LR Budget'!$D$58:$O$58,'C1 GEG Setting'!$C$6)</f>
        <v/>
      </c>
      <c r="F57" s="19">
        <f>D57-E57</f>
        <v/>
      </c>
      <c r="G57" s="24">
        <f>IFERROR(F57/ABS(E57),"")</f>
        <v/>
      </c>
      <c r="H57" s="11">
        <f>IF(ROUND(F57,0)=0,"",IF(F57*$C57&gt;0,"F","U"))</f>
        <v/>
      </c>
      <c r="J57" s="28">
        <f>SUMIF('C5 GEG LR Aktual'!$D$5:$O$5,"&lt;="&amp;'C1 GEG Setting'!$C$6,'C5 GEG LR Aktual'!$D$58:$O$58)</f>
        <v/>
      </c>
      <c r="K57" s="28">
        <f>SUMIF('C4 GEG LR Budget'!$D$5:$O$5,"&lt;="&amp;'C1 GEG Setting'!$C$6,'C4 GEG LR Budget'!$D$58:$O$58)</f>
        <v/>
      </c>
      <c r="L57" s="19">
        <f>J57-K57</f>
        <v/>
      </c>
      <c r="M57" s="24">
        <f>IFERROR(L57/ABS(K57),"")</f>
        <v/>
      </c>
      <c r="N57" s="11">
        <f>IF(ROUND(L57,0)=0,"",IF(L57*$C57&gt;0,"F","U"))</f>
        <v/>
      </c>
      <c r="O57" s="28">
        <f>'C4 GEG LR Budget'!$P$58</f>
        <v/>
      </c>
      <c r="P57" s="24">
        <f>IFERROR(J57/O57,0)</f>
        <v/>
      </c>
    </row>
    <row r="58">
      <c r="A58" s="45" t="inlineStr">
        <is>
          <t>6106</t>
        </is>
      </c>
      <c r="B58" s="10" t="inlineStr">
        <is>
          <t xml:space="preserve">   Pemasaran &amp; promosi</t>
        </is>
      </c>
      <c r="C58" s="80" t="n">
        <v>-1</v>
      </c>
      <c r="D58" s="28">
        <f>INDEX('C5 GEG LR Aktual'!$D$59:$O$59,'C1 GEG Setting'!$C$6)</f>
        <v/>
      </c>
      <c r="E58" s="28">
        <f>INDEX('C4 GEG LR Budget'!$D$59:$O$59,'C1 GEG Setting'!$C$6)</f>
        <v/>
      </c>
      <c r="F58" s="19">
        <f>D58-E58</f>
        <v/>
      </c>
      <c r="G58" s="24">
        <f>IFERROR(F58/ABS(E58),"")</f>
        <v/>
      </c>
      <c r="H58" s="11">
        <f>IF(ROUND(F58,0)=0,"",IF(F58*$C58&gt;0,"F","U"))</f>
        <v/>
      </c>
      <c r="J58" s="28">
        <f>SUMIF('C5 GEG LR Aktual'!$D$5:$O$5,"&lt;="&amp;'C1 GEG Setting'!$C$6,'C5 GEG LR Aktual'!$D$59:$O$59)</f>
        <v/>
      </c>
      <c r="K58" s="28">
        <f>SUMIF('C4 GEG LR Budget'!$D$5:$O$5,"&lt;="&amp;'C1 GEG Setting'!$C$6,'C4 GEG LR Budget'!$D$59:$O$59)</f>
        <v/>
      </c>
      <c r="L58" s="19">
        <f>J58-K58</f>
        <v/>
      </c>
      <c r="M58" s="24">
        <f>IFERROR(L58/ABS(K58),"")</f>
        <v/>
      </c>
      <c r="N58" s="11">
        <f>IF(ROUND(L58,0)=0,"",IF(L58*$C58&gt;0,"F","U"))</f>
        <v/>
      </c>
      <c r="O58" s="28">
        <f>'C4 GEG LR Budget'!$P$59</f>
        <v/>
      </c>
      <c r="P58" s="24">
        <f>IFERROR(J58/O58,0)</f>
        <v/>
      </c>
    </row>
    <row r="59">
      <c r="A59" s="45" t="inlineStr"/>
      <c r="B59" s="46" t="inlineStr">
        <is>
          <t xml:space="preserve">   Subtotal beban penjualan</t>
        </is>
      </c>
      <c r="C59" s="80" t="n">
        <v>-1</v>
      </c>
      <c r="D59" s="70">
        <f>INDEX('C5 GEG LR Aktual'!$D$60:$O$60,'C1 GEG Setting'!$C$6)</f>
        <v/>
      </c>
      <c r="E59" s="70">
        <f>INDEX('C4 GEG LR Budget'!$D$60:$O$60,'C1 GEG Setting'!$C$6)</f>
        <v/>
      </c>
      <c r="F59" s="71">
        <f>D59-E59</f>
        <v/>
      </c>
      <c r="G59" s="24">
        <f>IFERROR(F59/ABS(E59),"")</f>
        <v/>
      </c>
      <c r="H59" s="11">
        <f>IF(ROUND(F59,0)=0,"",IF(F59*$C59&gt;0,"F","U"))</f>
        <v/>
      </c>
      <c r="J59" s="70">
        <f>SUMIF('C5 GEG LR Aktual'!$D$5:$O$5,"&lt;="&amp;'C1 GEG Setting'!$C$6,'C5 GEG LR Aktual'!$D$60:$O$60)</f>
        <v/>
      </c>
      <c r="K59" s="70">
        <f>SUMIF('C4 GEG LR Budget'!$D$5:$O$5,"&lt;="&amp;'C1 GEG Setting'!$C$6,'C4 GEG LR Budget'!$D$60:$O$60)</f>
        <v/>
      </c>
      <c r="L59" s="71">
        <f>J59-K59</f>
        <v/>
      </c>
      <c r="M59" s="24">
        <f>IFERROR(L59/ABS(K59),"")</f>
        <v/>
      </c>
      <c r="N59" s="11">
        <f>IF(ROUND(L59,0)=0,"",IF(L59*$C59&gt;0,"F","U"))</f>
        <v/>
      </c>
      <c r="O59" s="28">
        <f>'C4 GEG LR Budget'!$P$60</f>
        <v/>
      </c>
      <c r="P59" s="24">
        <f>IFERROR(J59/O59,0)</f>
        <v/>
      </c>
    </row>
    <row r="60">
      <c r="B60" s="35" t="inlineStr">
        <is>
          <t>Beban umum &amp; administrasi</t>
        </is>
      </c>
    </row>
    <row r="61">
      <c r="A61" s="45" t="inlineStr">
        <is>
          <t>6201</t>
        </is>
      </c>
      <c r="B61" s="10" t="inlineStr">
        <is>
          <t xml:space="preserve">   Gaji &amp; tunjangan kantor pusat</t>
        </is>
      </c>
      <c r="C61" s="80" t="n">
        <v>-1</v>
      </c>
      <c r="D61" s="28">
        <f>INDEX('C5 GEG LR Aktual'!$D$62:$O$62,'C1 GEG Setting'!$C$6)</f>
        <v/>
      </c>
      <c r="E61" s="28">
        <f>INDEX('C4 GEG LR Budget'!$D$62:$O$62,'C1 GEG Setting'!$C$6)</f>
        <v/>
      </c>
      <c r="F61" s="19">
        <f>D61-E61</f>
        <v/>
      </c>
      <c r="G61" s="24">
        <f>IFERROR(F61/ABS(E61),"")</f>
        <v/>
      </c>
      <c r="H61" s="11">
        <f>IF(ROUND(F61,0)=0,"",IF(F61*$C61&gt;0,"F","U"))</f>
        <v/>
      </c>
      <c r="J61" s="28">
        <f>SUMIF('C5 GEG LR Aktual'!$D$5:$O$5,"&lt;="&amp;'C1 GEG Setting'!$C$6,'C5 GEG LR Aktual'!$D$62:$O$62)</f>
        <v/>
      </c>
      <c r="K61" s="28">
        <f>SUMIF('C4 GEG LR Budget'!$D$5:$O$5,"&lt;="&amp;'C1 GEG Setting'!$C$6,'C4 GEG LR Budget'!$D$62:$O$62)</f>
        <v/>
      </c>
      <c r="L61" s="19">
        <f>J61-K61</f>
        <v/>
      </c>
      <c r="M61" s="24">
        <f>IFERROR(L61/ABS(K61),"")</f>
        <v/>
      </c>
      <c r="N61" s="11">
        <f>IF(ROUND(L61,0)=0,"",IF(L61*$C61&gt;0,"F","U"))</f>
        <v/>
      </c>
      <c r="O61" s="28">
        <f>'C4 GEG LR Budget'!$P$62</f>
        <v/>
      </c>
      <c r="P61" s="24">
        <f>IFERROR(J61/O61,0)</f>
        <v/>
      </c>
    </row>
    <row r="62">
      <c r="A62" s="45" t="inlineStr">
        <is>
          <t>6202</t>
        </is>
      </c>
      <c r="B62" s="10" t="inlineStr">
        <is>
          <t xml:space="preserve">   Jasa profesional</t>
        </is>
      </c>
      <c r="C62" s="80" t="n">
        <v>-1</v>
      </c>
      <c r="D62" s="28">
        <f>INDEX('C5 GEG LR Aktual'!$D$63:$O$63,'C1 GEG Setting'!$C$6)</f>
        <v/>
      </c>
      <c r="E62" s="28">
        <f>INDEX('C4 GEG LR Budget'!$D$63:$O$63,'C1 GEG Setting'!$C$6)</f>
        <v/>
      </c>
      <c r="F62" s="19">
        <f>D62-E62</f>
        <v/>
      </c>
      <c r="G62" s="24">
        <f>IFERROR(F62/ABS(E62),"")</f>
        <v/>
      </c>
      <c r="H62" s="11">
        <f>IF(ROUND(F62,0)=0,"",IF(F62*$C62&gt;0,"F","U"))</f>
        <v/>
      </c>
      <c r="J62" s="28">
        <f>SUMIF('C5 GEG LR Aktual'!$D$5:$O$5,"&lt;="&amp;'C1 GEG Setting'!$C$6,'C5 GEG LR Aktual'!$D$63:$O$63)</f>
        <v/>
      </c>
      <c r="K62" s="28">
        <f>SUMIF('C4 GEG LR Budget'!$D$5:$O$5,"&lt;="&amp;'C1 GEG Setting'!$C$6,'C4 GEG LR Budget'!$D$63:$O$63)</f>
        <v/>
      </c>
      <c r="L62" s="19">
        <f>J62-K62</f>
        <v/>
      </c>
      <c r="M62" s="24">
        <f>IFERROR(L62/ABS(K62),"")</f>
        <v/>
      </c>
      <c r="N62" s="11">
        <f>IF(ROUND(L62,0)=0,"",IF(L62*$C62&gt;0,"F","U"))</f>
        <v/>
      </c>
      <c r="O62" s="28">
        <f>'C4 GEG LR Budget'!$P$63</f>
        <v/>
      </c>
      <c r="P62" s="24">
        <f>IFERROR(J62/O62,0)</f>
        <v/>
      </c>
    </row>
    <row r="63">
      <c r="A63" s="45" t="inlineStr">
        <is>
          <t>6203</t>
        </is>
      </c>
      <c r="B63" s="10" t="inlineStr">
        <is>
          <t xml:space="preserve">   Sewa kantor</t>
        </is>
      </c>
      <c r="C63" s="80" t="n">
        <v>-1</v>
      </c>
      <c r="D63" s="28">
        <f>INDEX('C5 GEG LR Aktual'!$D$64:$O$64,'C1 GEG Setting'!$C$6)</f>
        <v/>
      </c>
      <c r="E63" s="28">
        <f>INDEX('C4 GEG LR Budget'!$D$64:$O$64,'C1 GEG Setting'!$C$6)</f>
        <v/>
      </c>
      <c r="F63" s="19">
        <f>D63-E63</f>
        <v/>
      </c>
      <c r="G63" s="24">
        <f>IFERROR(F63/ABS(E63),"")</f>
        <v/>
      </c>
      <c r="H63" s="11">
        <f>IF(ROUND(F63,0)=0,"",IF(F63*$C63&gt;0,"F","U"))</f>
        <v/>
      </c>
      <c r="J63" s="28">
        <f>SUMIF('C5 GEG LR Aktual'!$D$5:$O$5,"&lt;="&amp;'C1 GEG Setting'!$C$6,'C5 GEG LR Aktual'!$D$64:$O$64)</f>
        <v/>
      </c>
      <c r="K63" s="28">
        <f>SUMIF('C4 GEG LR Budget'!$D$5:$O$5,"&lt;="&amp;'C1 GEG Setting'!$C$6,'C4 GEG LR Budget'!$D$64:$O$64)</f>
        <v/>
      </c>
      <c r="L63" s="19">
        <f>J63-K63</f>
        <v/>
      </c>
      <c r="M63" s="24">
        <f>IFERROR(L63/ABS(K63),"")</f>
        <v/>
      </c>
      <c r="N63" s="11">
        <f>IF(ROUND(L63,0)=0,"",IF(L63*$C63&gt;0,"F","U"))</f>
        <v/>
      </c>
      <c r="O63" s="28">
        <f>'C4 GEG LR Budget'!$P$64</f>
        <v/>
      </c>
      <c r="P63" s="24">
        <f>IFERROR(J63/O63,0)</f>
        <v/>
      </c>
    </row>
    <row r="64">
      <c r="A64" s="45" t="inlineStr">
        <is>
          <t>6204</t>
        </is>
      </c>
      <c r="B64" s="10" t="inlineStr">
        <is>
          <t xml:space="preserve">   Perjalanan dinas</t>
        </is>
      </c>
      <c r="C64" s="80" t="n">
        <v>-1</v>
      </c>
      <c r="D64" s="28">
        <f>INDEX('C5 GEG LR Aktual'!$D$65:$O$65,'C1 GEG Setting'!$C$6)</f>
        <v/>
      </c>
      <c r="E64" s="28">
        <f>INDEX('C4 GEG LR Budget'!$D$65:$O$65,'C1 GEG Setting'!$C$6)</f>
        <v/>
      </c>
      <c r="F64" s="19">
        <f>D64-E64</f>
        <v/>
      </c>
      <c r="G64" s="24">
        <f>IFERROR(F64/ABS(E64),"")</f>
        <v/>
      </c>
      <c r="H64" s="11">
        <f>IF(ROUND(F64,0)=0,"",IF(F64*$C64&gt;0,"F","U"))</f>
        <v/>
      </c>
      <c r="J64" s="28">
        <f>SUMIF('C5 GEG LR Aktual'!$D$5:$O$5,"&lt;="&amp;'C1 GEG Setting'!$C$6,'C5 GEG LR Aktual'!$D$65:$O$65)</f>
        <v/>
      </c>
      <c r="K64" s="28">
        <f>SUMIF('C4 GEG LR Budget'!$D$5:$O$5,"&lt;="&amp;'C1 GEG Setting'!$C$6,'C4 GEG LR Budget'!$D$65:$O$65)</f>
        <v/>
      </c>
      <c r="L64" s="19">
        <f>J64-K64</f>
        <v/>
      </c>
      <c r="M64" s="24">
        <f>IFERROR(L64/ABS(K64),"")</f>
        <v/>
      </c>
      <c r="N64" s="11">
        <f>IF(ROUND(L64,0)=0,"",IF(L64*$C64&gt;0,"F","U"))</f>
        <v/>
      </c>
      <c r="O64" s="28">
        <f>'C4 GEG LR Budget'!$P$65</f>
        <v/>
      </c>
      <c r="P64" s="24">
        <f>IFERROR(J64/O64,0)</f>
        <v/>
      </c>
    </row>
    <row r="65">
      <c r="A65" s="45" t="inlineStr">
        <is>
          <t>6205</t>
        </is>
      </c>
      <c r="B65" s="10" t="inlineStr">
        <is>
          <t xml:space="preserve">   Asuransi</t>
        </is>
      </c>
      <c r="C65" s="80" t="n">
        <v>-1</v>
      </c>
      <c r="D65" s="28">
        <f>INDEX('C5 GEG LR Aktual'!$D$66:$O$66,'C1 GEG Setting'!$C$6)</f>
        <v/>
      </c>
      <c r="E65" s="28">
        <f>INDEX('C4 GEG LR Budget'!$D$66:$O$66,'C1 GEG Setting'!$C$6)</f>
        <v/>
      </c>
      <c r="F65" s="19">
        <f>D65-E65</f>
        <v/>
      </c>
      <c r="G65" s="24">
        <f>IFERROR(F65/ABS(E65),"")</f>
        <v/>
      </c>
      <c r="H65" s="11">
        <f>IF(ROUND(F65,0)=0,"",IF(F65*$C65&gt;0,"F","U"))</f>
        <v/>
      </c>
      <c r="J65" s="28">
        <f>SUMIF('C5 GEG LR Aktual'!$D$5:$O$5,"&lt;="&amp;'C1 GEG Setting'!$C$6,'C5 GEG LR Aktual'!$D$66:$O$66)</f>
        <v/>
      </c>
      <c r="K65" s="28">
        <f>SUMIF('C4 GEG LR Budget'!$D$5:$O$5,"&lt;="&amp;'C1 GEG Setting'!$C$6,'C4 GEG LR Budget'!$D$66:$O$66)</f>
        <v/>
      </c>
      <c r="L65" s="19">
        <f>J65-K65</f>
        <v/>
      </c>
      <c r="M65" s="24">
        <f>IFERROR(L65/ABS(K65),"")</f>
        <v/>
      </c>
      <c r="N65" s="11">
        <f>IF(ROUND(L65,0)=0,"",IF(L65*$C65&gt;0,"F","U"))</f>
        <v/>
      </c>
      <c r="O65" s="28">
        <f>'C4 GEG LR Budget'!$P$66</f>
        <v/>
      </c>
      <c r="P65" s="24">
        <f>IFERROR(J65/O65,0)</f>
        <v/>
      </c>
    </row>
    <row r="66">
      <c r="A66" s="45" t="inlineStr">
        <is>
          <t>6206</t>
        </is>
      </c>
      <c r="B66" s="10" t="inlineStr">
        <is>
          <t xml:space="preserve">   Pajak, perizinan &amp; iuran</t>
        </is>
      </c>
      <c r="C66" s="80" t="n">
        <v>-1</v>
      </c>
      <c r="D66" s="28">
        <f>INDEX('C5 GEG LR Aktual'!$D$67:$O$67,'C1 GEG Setting'!$C$6)</f>
        <v/>
      </c>
      <c r="E66" s="28">
        <f>INDEX('C4 GEG LR Budget'!$D$67:$O$67,'C1 GEG Setting'!$C$6)</f>
        <v/>
      </c>
      <c r="F66" s="19">
        <f>D66-E66</f>
        <v/>
      </c>
      <c r="G66" s="24">
        <f>IFERROR(F66/ABS(E66),"")</f>
        <v/>
      </c>
      <c r="H66" s="11">
        <f>IF(ROUND(F66,0)=0,"",IF(F66*$C66&gt;0,"F","U"))</f>
        <v/>
      </c>
      <c r="J66" s="28">
        <f>SUMIF('C5 GEG LR Aktual'!$D$5:$O$5,"&lt;="&amp;'C1 GEG Setting'!$C$6,'C5 GEG LR Aktual'!$D$67:$O$67)</f>
        <v/>
      </c>
      <c r="K66" s="28">
        <f>SUMIF('C4 GEG LR Budget'!$D$5:$O$5,"&lt;="&amp;'C1 GEG Setting'!$C$6,'C4 GEG LR Budget'!$D$67:$O$67)</f>
        <v/>
      </c>
      <c r="L66" s="19">
        <f>J66-K66</f>
        <v/>
      </c>
      <c r="M66" s="24">
        <f>IFERROR(L66/ABS(K66),"")</f>
        <v/>
      </c>
      <c r="N66" s="11">
        <f>IF(ROUND(L66,0)=0,"",IF(L66*$C66&gt;0,"F","U"))</f>
        <v/>
      </c>
      <c r="O66" s="28">
        <f>'C4 GEG LR Budget'!$P$67</f>
        <v/>
      </c>
      <c r="P66" s="24">
        <f>IFERROR(J66/O66,0)</f>
        <v/>
      </c>
    </row>
    <row r="67">
      <c r="A67" s="45" t="inlineStr">
        <is>
          <t>6207</t>
        </is>
      </c>
      <c r="B67" s="10" t="inlineStr">
        <is>
          <t xml:space="preserve">   Teknologi informasi &amp; komunikasi</t>
        </is>
      </c>
      <c r="C67" s="80" t="n">
        <v>-1</v>
      </c>
      <c r="D67" s="28">
        <f>INDEX('C5 GEG LR Aktual'!$D$68:$O$68,'C1 GEG Setting'!$C$6)</f>
        <v/>
      </c>
      <c r="E67" s="28">
        <f>INDEX('C4 GEG LR Budget'!$D$68:$O$68,'C1 GEG Setting'!$C$6)</f>
        <v/>
      </c>
      <c r="F67" s="19">
        <f>D67-E67</f>
        <v/>
      </c>
      <c r="G67" s="24">
        <f>IFERROR(F67/ABS(E67),"")</f>
        <v/>
      </c>
      <c r="H67" s="11">
        <f>IF(ROUND(F67,0)=0,"",IF(F67*$C67&gt;0,"F","U"))</f>
        <v/>
      </c>
      <c r="J67" s="28">
        <f>SUMIF('C5 GEG LR Aktual'!$D$5:$O$5,"&lt;="&amp;'C1 GEG Setting'!$C$6,'C5 GEG LR Aktual'!$D$68:$O$68)</f>
        <v/>
      </c>
      <c r="K67" s="28">
        <f>SUMIF('C4 GEG LR Budget'!$D$5:$O$5,"&lt;="&amp;'C1 GEG Setting'!$C$6,'C4 GEG LR Budget'!$D$68:$O$68)</f>
        <v/>
      </c>
      <c r="L67" s="19">
        <f>J67-K67</f>
        <v/>
      </c>
      <c r="M67" s="24">
        <f>IFERROR(L67/ABS(K67),"")</f>
        <v/>
      </c>
      <c r="N67" s="11">
        <f>IF(ROUND(L67,0)=0,"",IF(L67*$C67&gt;0,"F","U"))</f>
        <v/>
      </c>
      <c r="O67" s="28">
        <f>'C4 GEG LR Budget'!$P$68</f>
        <v/>
      </c>
      <c r="P67" s="24">
        <f>IFERROR(J67/O67,0)</f>
        <v/>
      </c>
    </row>
    <row r="68">
      <c r="A68" s="45" t="inlineStr">
        <is>
          <t>6208</t>
        </is>
      </c>
      <c r="B68" s="10" t="inlineStr">
        <is>
          <t xml:space="preserve">   Penyusutan aset kantor</t>
        </is>
      </c>
      <c r="C68" s="80" t="n">
        <v>-1</v>
      </c>
      <c r="D68" s="28">
        <f>INDEX('C5 GEG LR Aktual'!$D$69:$O$69,'C1 GEG Setting'!$C$6)</f>
        <v/>
      </c>
      <c r="E68" s="28">
        <f>INDEX('C4 GEG LR Budget'!$D$69:$O$69,'C1 GEG Setting'!$C$6)</f>
        <v/>
      </c>
      <c r="F68" s="19">
        <f>D68-E68</f>
        <v/>
      </c>
      <c r="G68" s="24">
        <f>IFERROR(F68/ABS(E68),"")</f>
        <v/>
      </c>
      <c r="H68" s="11">
        <f>IF(ROUND(F68,0)=0,"",IF(F68*$C68&gt;0,"F","U"))</f>
        <v/>
      </c>
      <c r="J68" s="28">
        <f>SUMIF('C5 GEG LR Aktual'!$D$5:$O$5,"&lt;="&amp;'C1 GEG Setting'!$C$6,'C5 GEG LR Aktual'!$D$69:$O$69)</f>
        <v/>
      </c>
      <c r="K68" s="28">
        <f>SUMIF('C4 GEG LR Budget'!$D$5:$O$5,"&lt;="&amp;'C1 GEG Setting'!$C$6,'C4 GEG LR Budget'!$D$69:$O$69)</f>
        <v/>
      </c>
      <c r="L68" s="19">
        <f>J68-K68</f>
        <v/>
      </c>
      <c r="M68" s="24">
        <f>IFERROR(L68/ABS(K68),"")</f>
        <v/>
      </c>
      <c r="N68" s="11">
        <f>IF(ROUND(L68,0)=0,"",IF(L68*$C68&gt;0,"F","U"))</f>
        <v/>
      </c>
      <c r="O68" s="28">
        <f>'C4 GEG LR Budget'!$P$69</f>
        <v/>
      </c>
      <c r="P68" s="24">
        <f>IFERROR(J68/O68,0)</f>
        <v/>
      </c>
    </row>
    <row r="69">
      <c r="A69" s="45" t="inlineStr">
        <is>
          <t>6209</t>
        </is>
      </c>
      <c r="B69" s="10" t="inlineStr">
        <is>
          <t xml:space="preserve">   Beban umum lainnya</t>
        </is>
      </c>
      <c r="C69" s="80" t="n">
        <v>-1</v>
      </c>
      <c r="D69" s="28">
        <f>INDEX('C5 GEG LR Aktual'!$D$70:$O$70,'C1 GEG Setting'!$C$6)</f>
        <v/>
      </c>
      <c r="E69" s="28">
        <f>INDEX('C4 GEG LR Budget'!$D$70:$O$70,'C1 GEG Setting'!$C$6)</f>
        <v/>
      </c>
      <c r="F69" s="19">
        <f>D69-E69</f>
        <v/>
      </c>
      <c r="G69" s="24">
        <f>IFERROR(F69/ABS(E69),"")</f>
        <v/>
      </c>
      <c r="H69" s="11">
        <f>IF(ROUND(F69,0)=0,"",IF(F69*$C69&gt;0,"F","U"))</f>
        <v/>
      </c>
      <c r="J69" s="28">
        <f>SUMIF('C5 GEG LR Aktual'!$D$5:$O$5,"&lt;="&amp;'C1 GEG Setting'!$C$6,'C5 GEG LR Aktual'!$D$70:$O$70)</f>
        <v/>
      </c>
      <c r="K69" s="28">
        <f>SUMIF('C4 GEG LR Budget'!$D$5:$O$5,"&lt;="&amp;'C1 GEG Setting'!$C$6,'C4 GEG LR Budget'!$D$70:$O$70)</f>
        <v/>
      </c>
      <c r="L69" s="19">
        <f>J69-K69</f>
        <v/>
      </c>
      <c r="M69" s="24">
        <f>IFERROR(L69/ABS(K69),"")</f>
        <v/>
      </c>
      <c r="N69" s="11">
        <f>IF(ROUND(L69,0)=0,"",IF(L69*$C69&gt;0,"F","U"))</f>
        <v/>
      </c>
      <c r="O69" s="28">
        <f>'C4 GEG LR Budget'!$P$70</f>
        <v/>
      </c>
      <c r="P69" s="24">
        <f>IFERROR(J69/O69,0)</f>
        <v/>
      </c>
    </row>
    <row r="70">
      <c r="A70" s="45" t="inlineStr"/>
      <c r="B70" s="46" t="inlineStr">
        <is>
          <t xml:space="preserve">   Subtotal beban umum &amp; administrasi</t>
        </is>
      </c>
      <c r="C70" s="80" t="n">
        <v>-1</v>
      </c>
      <c r="D70" s="70">
        <f>INDEX('C5 GEG LR Aktual'!$D$71:$O$71,'C1 GEG Setting'!$C$6)</f>
        <v/>
      </c>
      <c r="E70" s="70">
        <f>INDEX('C4 GEG LR Budget'!$D$71:$O$71,'C1 GEG Setting'!$C$6)</f>
        <v/>
      </c>
      <c r="F70" s="71">
        <f>D70-E70</f>
        <v/>
      </c>
      <c r="G70" s="24">
        <f>IFERROR(F70/ABS(E70),"")</f>
        <v/>
      </c>
      <c r="H70" s="11">
        <f>IF(ROUND(F70,0)=0,"",IF(F70*$C70&gt;0,"F","U"))</f>
        <v/>
      </c>
      <c r="J70" s="70">
        <f>SUMIF('C5 GEG LR Aktual'!$D$5:$O$5,"&lt;="&amp;'C1 GEG Setting'!$C$6,'C5 GEG LR Aktual'!$D$71:$O$71)</f>
        <v/>
      </c>
      <c r="K70" s="70">
        <f>SUMIF('C4 GEG LR Budget'!$D$5:$O$5,"&lt;="&amp;'C1 GEG Setting'!$C$6,'C4 GEG LR Budget'!$D$71:$O$71)</f>
        <v/>
      </c>
      <c r="L70" s="71">
        <f>J70-K70</f>
        <v/>
      </c>
      <c r="M70" s="24">
        <f>IFERROR(L70/ABS(K70),"")</f>
        <v/>
      </c>
      <c r="N70" s="11">
        <f>IF(ROUND(L70,0)=0,"",IF(L70*$C70&gt;0,"F","U"))</f>
        <v/>
      </c>
      <c r="O70" s="28">
        <f>'C4 GEG LR Budget'!$P$71</f>
        <v/>
      </c>
      <c r="P70" s="24">
        <f>IFERROR(J70/O70,0)</f>
        <v/>
      </c>
    </row>
    <row r="71">
      <c r="A71" s="82" t="inlineStr"/>
      <c r="B71" s="31" t="inlineStr">
        <is>
          <t>TOTAL BEBAN USAHA</t>
        </is>
      </c>
      <c r="C71" s="83" t="n">
        <v>-1</v>
      </c>
      <c r="D71" s="84">
        <f>INDEX('C5 GEG LR Aktual'!$D$72:$O$72,'C1 GEG Setting'!$C$6)</f>
        <v/>
      </c>
      <c r="E71" s="84">
        <f>INDEX('C4 GEG LR Budget'!$D$72:$O$72,'C1 GEG Setting'!$C$6)</f>
        <v/>
      </c>
      <c r="F71" s="33">
        <f>D71-E71</f>
        <v/>
      </c>
      <c r="G71" s="85">
        <f>IFERROR(F71/ABS(E71),"")</f>
        <v/>
      </c>
      <c r="H71" s="86">
        <f>IF(ROUND(F71,0)=0,"",IF(F71*$C71&gt;0,"F","U"))</f>
        <v/>
      </c>
      <c r="I71" s="32" t="n"/>
      <c r="J71" s="84">
        <f>SUMIF('C5 GEG LR Aktual'!$D$5:$O$5,"&lt;="&amp;'C1 GEG Setting'!$C$6,'C5 GEG LR Aktual'!$D$72:$O$72)</f>
        <v/>
      </c>
      <c r="K71" s="84">
        <f>SUMIF('C4 GEG LR Budget'!$D$5:$O$5,"&lt;="&amp;'C1 GEG Setting'!$C$6,'C4 GEG LR Budget'!$D$72:$O$72)</f>
        <v/>
      </c>
      <c r="L71" s="33">
        <f>J71-K71</f>
        <v/>
      </c>
      <c r="M71" s="85">
        <f>IFERROR(L71/ABS(K71),"")</f>
        <v/>
      </c>
      <c r="N71" s="86">
        <f>IF(ROUND(L71,0)=0,"",IF(L71*$C71&gt;0,"F","U"))</f>
        <v/>
      </c>
      <c r="O71" s="87">
        <f>'C4 GEG LR Budget'!$P$72</f>
        <v/>
      </c>
      <c r="P71" s="85">
        <f>IFERROR(J71/O71,0)</f>
        <v/>
      </c>
    </row>
    <row r="72">
      <c r="A72" s="82" t="inlineStr"/>
      <c r="B72" s="31" t="inlineStr">
        <is>
          <t>LABA USAHA</t>
        </is>
      </c>
      <c r="C72" s="83" t="n">
        <v>1</v>
      </c>
      <c r="D72" s="84">
        <f>INDEX('C5 GEG LR Aktual'!$D$73:$O$73,'C1 GEG Setting'!$C$6)</f>
        <v/>
      </c>
      <c r="E72" s="84">
        <f>INDEX('C4 GEG LR Budget'!$D$73:$O$73,'C1 GEG Setting'!$C$6)</f>
        <v/>
      </c>
      <c r="F72" s="33">
        <f>D72-E72</f>
        <v/>
      </c>
      <c r="G72" s="85">
        <f>IFERROR(F72/ABS(E72),"")</f>
        <v/>
      </c>
      <c r="H72" s="86">
        <f>IF(ROUND(F72,0)=0,"",IF(F72*$C72&gt;0,"F","U"))</f>
        <v/>
      </c>
      <c r="I72" s="32" t="n"/>
      <c r="J72" s="84">
        <f>SUMIF('C5 GEG LR Aktual'!$D$5:$O$5,"&lt;="&amp;'C1 GEG Setting'!$C$6,'C5 GEG LR Aktual'!$D$73:$O$73)</f>
        <v/>
      </c>
      <c r="K72" s="84">
        <f>SUMIF('C4 GEG LR Budget'!$D$5:$O$5,"&lt;="&amp;'C1 GEG Setting'!$C$6,'C4 GEG LR Budget'!$D$73:$O$73)</f>
        <v/>
      </c>
      <c r="L72" s="33">
        <f>J72-K72</f>
        <v/>
      </c>
      <c r="M72" s="85">
        <f>IFERROR(L72/ABS(K72),"")</f>
        <v/>
      </c>
      <c r="N72" s="86">
        <f>IF(ROUND(L72,0)=0,"",IF(L72*$C72&gt;0,"F","U"))</f>
        <v/>
      </c>
      <c r="O72" s="87">
        <f>'C4 GEG LR Budget'!$P$73</f>
        <v/>
      </c>
      <c r="P72" s="85">
        <f>IFERROR(J72/O72,0)</f>
        <v/>
      </c>
    </row>
    <row r="73">
      <c r="A73" s="45" t="inlineStr"/>
      <c r="B73" s="37" t="inlineStr">
        <is>
          <t xml:space="preserve">   Marjin laba usaha</t>
        </is>
      </c>
      <c r="D73" s="29">
        <f>IFERROR(D72/D13,0)</f>
        <v/>
      </c>
      <c r="E73" s="29">
        <f>IFERROR(E72/E13,0)</f>
        <v/>
      </c>
      <c r="F73" s="29">
        <f>D73-E73</f>
        <v/>
      </c>
      <c r="J73" s="29">
        <f>IFERROR(J72/J13,0)</f>
        <v/>
      </c>
      <c r="K73" s="29">
        <f>IFERROR(K72/K13,0)</f>
        <v/>
      </c>
      <c r="L73" s="29">
        <f>J73-K73</f>
        <v/>
      </c>
      <c r="O73" s="29">
        <f>IFERROR(O72/O13,0)</f>
        <v/>
      </c>
    </row>
    <row r="74">
      <c r="A74" s="4" t="inlineStr">
        <is>
          <t>PENDAPATAN (BEBAN) LAIN-LAIN</t>
        </is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</row>
    <row r="75">
      <c r="A75" s="45" t="inlineStr">
        <is>
          <t>7101</t>
        </is>
      </c>
      <c r="B75" s="10" t="inlineStr">
        <is>
          <t xml:space="preserve">   Pendapatan bunga</t>
        </is>
      </c>
      <c r="C75" s="80" t="n">
        <v>1</v>
      </c>
      <c r="D75" s="28">
        <f>INDEX('C5 GEG LR Aktual'!$D$76:$O$76,'C1 GEG Setting'!$C$6)</f>
        <v/>
      </c>
      <c r="E75" s="28">
        <f>INDEX('C4 GEG LR Budget'!$D$76:$O$76,'C1 GEG Setting'!$C$6)</f>
        <v/>
      </c>
      <c r="F75" s="19">
        <f>D75-E75</f>
        <v/>
      </c>
      <c r="G75" s="24">
        <f>IFERROR(F75/ABS(E75),"")</f>
        <v/>
      </c>
      <c r="H75" s="11">
        <f>IF(ROUND(F75,0)=0,"",IF(F75*$C75&gt;0,"F","U"))</f>
        <v/>
      </c>
      <c r="J75" s="28">
        <f>SUMIF('C5 GEG LR Aktual'!$D$5:$O$5,"&lt;="&amp;'C1 GEG Setting'!$C$6,'C5 GEG LR Aktual'!$D$76:$O$76)</f>
        <v/>
      </c>
      <c r="K75" s="28">
        <f>SUMIF('C4 GEG LR Budget'!$D$5:$O$5,"&lt;="&amp;'C1 GEG Setting'!$C$6,'C4 GEG LR Budget'!$D$76:$O$76)</f>
        <v/>
      </c>
      <c r="L75" s="19">
        <f>J75-K75</f>
        <v/>
      </c>
      <c r="M75" s="24">
        <f>IFERROR(L75/ABS(K75),"")</f>
        <v/>
      </c>
      <c r="N75" s="11">
        <f>IF(ROUND(L75,0)=0,"",IF(L75*$C75&gt;0,"F","U"))</f>
        <v/>
      </c>
      <c r="O75" s="28">
        <f>'C4 GEG LR Budget'!$P$76</f>
        <v/>
      </c>
      <c r="P75" s="24">
        <f>IFERROR(J75/O75,0)</f>
        <v/>
      </c>
    </row>
    <row r="76">
      <c r="A76" s="45" t="inlineStr">
        <is>
          <t>7201</t>
        </is>
      </c>
      <c r="B76" s="10" t="inlineStr">
        <is>
          <t xml:space="preserve">   Beban keuangan (isi negatif)</t>
        </is>
      </c>
      <c r="C76" s="80" t="n">
        <v>1</v>
      </c>
      <c r="D76" s="28">
        <f>INDEX('C5 GEG LR Aktual'!$D$77:$O$77,'C1 GEG Setting'!$C$6)</f>
        <v/>
      </c>
      <c r="E76" s="28">
        <f>INDEX('C4 GEG LR Budget'!$D$77:$O$77,'C1 GEG Setting'!$C$6)</f>
        <v/>
      </c>
      <c r="F76" s="19">
        <f>D76-E76</f>
        <v/>
      </c>
      <c r="G76" s="24">
        <f>IFERROR(F76/ABS(E76),"")</f>
        <v/>
      </c>
      <c r="H76" s="11">
        <f>IF(ROUND(F76,0)=0,"",IF(F76*$C76&gt;0,"F","U"))</f>
        <v/>
      </c>
      <c r="J76" s="28">
        <f>SUMIF('C5 GEG LR Aktual'!$D$5:$O$5,"&lt;="&amp;'C1 GEG Setting'!$C$6,'C5 GEG LR Aktual'!$D$77:$O$77)</f>
        <v/>
      </c>
      <c r="K76" s="28">
        <f>SUMIF('C4 GEG LR Budget'!$D$5:$O$5,"&lt;="&amp;'C1 GEG Setting'!$C$6,'C4 GEG LR Budget'!$D$77:$O$77)</f>
        <v/>
      </c>
      <c r="L76" s="19">
        <f>J76-K76</f>
        <v/>
      </c>
      <c r="M76" s="24">
        <f>IFERROR(L76/ABS(K76),"")</f>
        <v/>
      </c>
      <c r="N76" s="11">
        <f>IF(ROUND(L76,0)=0,"",IF(L76*$C76&gt;0,"F","U"))</f>
        <v/>
      </c>
      <c r="O76" s="28">
        <f>'C4 GEG LR Budget'!$P$77</f>
        <v/>
      </c>
      <c r="P76" s="24">
        <f>IFERROR(J76/O76,0)</f>
        <v/>
      </c>
    </row>
    <row r="77">
      <c r="A77" s="45" t="inlineStr">
        <is>
          <t>7301</t>
        </is>
      </c>
      <c r="B77" s="10" t="inlineStr">
        <is>
          <t xml:space="preserve">   Laba (rugi) selisih kurs</t>
        </is>
      </c>
      <c r="C77" s="80" t="n">
        <v>1</v>
      </c>
      <c r="D77" s="28">
        <f>INDEX('C5 GEG LR Aktual'!$D$78:$O$78,'C1 GEG Setting'!$C$6)</f>
        <v/>
      </c>
      <c r="E77" s="28">
        <f>INDEX('C4 GEG LR Budget'!$D$78:$O$78,'C1 GEG Setting'!$C$6)</f>
        <v/>
      </c>
      <c r="F77" s="19">
        <f>D77-E77</f>
        <v/>
      </c>
      <c r="G77" s="24">
        <f>IFERROR(F77/ABS(E77),"")</f>
        <v/>
      </c>
      <c r="H77" s="11">
        <f>IF(ROUND(F77,0)=0,"",IF(F77*$C77&gt;0,"F","U"))</f>
        <v/>
      </c>
      <c r="J77" s="28">
        <f>SUMIF('C5 GEG LR Aktual'!$D$5:$O$5,"&lt;="&amp;'C1 GEG Setting'!$C$6,'C5 GEG LR Aktual'!$D$78:$O$78)</f>
        <v/>
      </c>
      <c r="K77" s="28">
        <f>SUMIF('C4 GEG LR Budget'!$D$5:$O$5,"&lt;="&amp;'C1 GEG Setting'!$C$6,'C4 GEG LR Budget'!$D$78:$O$78)</f>
        <v/>
      </c>
      <c r="L77" s="19">
        <f>J77-K77</f>
        <v/>
      </c>
      <c r="M77" s="24">
        <f>IFERROR(L77/ABS(K77),"")</f>
        <v/>
      </c>
      <c r="N77" s="11">
        <f>IF(ROUND(L77,0)=0,"",IF(L77*$C77&gt;0,"F","U"))</f>
        <v/>
      </c>
      <c r="O77" s="28">
        <f>'C4 GEG LR Budget'!$P$78</f>
        <v/>
      </c>
      <c r="P77" s="24">
        <f>IFERROR(J77/O77,0)</f>
        <v/>
      </c>
    </row>
    <row r="78">
      <c r="A78" s="45" t="inlineStr">
        <is>
          <t>7401</t>
        </is>
      </c>
      <c r="B78" s="10" t="inlineStr">
        <is>
          <t xml:space="preserve">   Lain-lain – neto</t>
        </is>
      </c>
      <c r="C78" s="80" t="n">
        <v>1</v>
      </c>
      <c r="D78" s="28">
        <f>INDEX('C5 GEG LR Aktual'!$D$79:$O$79,'C1 GEG Setting'!$C$6)</f>
        <v/>
      </c>
      <c r="E78" s="28">
        <f>INDEX('C4 GEG LR Budget'!$D$79:$O$79,'C1 GEG Setting'!$C$6)</f>
        <v/>
      </c>
      <c r="F78" s="19">
        <f>D78-E78</f>
        <v/>
      </c>
      <c r="G78" s="24">
        <f>IFERROR(F78/ABS(E78),"")</f>
        <v/>
      </c>
      <c r="H78" s="11">
        <f>IF(ROUND(F78,0)=0,"",IF(F78*$C78&gt;0,"F","U"))</f>
        <v/>
      </c>
      <c r="J78" s="28">
        <f>SUMIF('C5 GEG LR Aktual'!$D$5:$O$5,"&lt;="&amp;'C1 GEG Setting'!$C$6,'C5 GEG LR Aktual'!$D$79:$O$79)</f>
        <v/>
      </c>
      <c r="K78" s="28">
        <f>SUMIF('C4 GEG LR Budget'!$D$5:$O$5,"&lt;="&amp;'C1 GEG Setting'!$C$6,'C4 GEG LR Budget'!$D$79:$O$79)</f>
        <v/>
      </c>
      <c r="L78" s="19">
        <f>J78-K78</f>
        <v/>
      </c>
      <c r="M78" s="24">
        <f>IFERROR(L78/ABS(K78),"")</f>
        <v/>
      </c>
      <c r="N78" s="11">
        <f>IF(ROUND(L78,0)=0,"",IF(L78*$C78&gt;0,"F","U"))</f>
        <v/>
      </c>
      <c r="O78" s="28">
        <f>'C4 GEG LR Budget'!$P$79</f>
        <v/>
      </c>
      <c r="P78" s="24">
        <f>IFERROR(J78/O78,0)</f>
        <v/>
      </c>
    </row>
    <row r="79">
      <c r="A79" s="45" t="inlineStr"/>
      <c r="B79" s="46" t="inlineStr">
        <is>
          <t xml:space="preserve">   Jumlah pendapatan (beban) lain-lain</t>
        </is>
      </c>
      <c r="C79" s="80" t="n">
        <v>1</v>
      </c>
      <c r="D79" s="70">
        <f>INDEX('C5 GEG LR Aktual'!$D$80:$O$80,'C1 GEG Setting'!$C$6)</f>
        <v/>
      </c>
      <c r="E79" s="70">
        <f>INDEX('C4 GEG LR Budget'!$D$80:$O$80,'C1 GEG Setting'!$C$6)</f>
        <v/>
      </c>
      <c r="F79" s="71">
        <f>D79-E79</f>
        <v/>
      </c>
      <c r="G79" s="24">
        <f>IFERROR(F79/ABS(E79),"")</f>
        <v/>
      </c>
      <c r="H79" s="11">
        <f>IF(ROUND(F79,0)=0,"",IF(F79*$C79&gt;0,"F","U"))</f>
        <v/>
      </c>
      <c r="J79" s="70">
        <f>SUMIF('C5 GEG LR Aktual'!$D$5:$O$5,"&lt;="&amp;'C1 GEG Setting'!$C$6,'C5 GEG LR Aktual'!$D$80:$O$80)</f>
        <v/>
      </c>
      <c r="K79" s="70">
        <f>SUMIF('C4 GEG LR Budget'!$D$5:$O$5,"&lt;="&amp;'C1 GEG Setting'!$C$6,'C4 GEG LR Budget'!$D$80:$O$80)</f>
        <v/>
      </c>
      <c r="L79" s="71">
        <f>J79-K79</f>
        <v/>
      </c>
      <c r="M79" s="24">
        <f>IFERROR(L79/ABS(K79),"")</f>
        <v/>
      </c>
      <c r="N79" s="11">
        <f>IF(ROUND(L79,0)=0,"",IF(L79*$C79&gt;0,"F","U"))</f>
        <v/>
      </c>
      <c r="O79" s="28">
        <f>'C4 GEG LR Budget'!$P$80</f>
        <v/>
      </c>
      <c r="P79" s="24">
        <f>IFERROR(J79/O79,0)</f>
        <v/>
      </c>
    </row>
    <row r="80">
      <c r="A80" s="82" t="inlineStr"/>
      <c r="B80" s="31" t="inlineStr">
        <is>
          <t>LABA SEBELUM PAJAK</t>
        </is>
      </c>
      <c r="C80" s="83" t="n">
        <v>1</v>
      </c>
      <c r="D80" s="84">
        <f>INDEX('C5 GEG LR Aktual'!$D$81:$O$81,'C1 GEG Setting'!$C$6)</f>
        <v/>
      </c>
      <c r="E80" s="84">
        <f>INDEX('C4 GEG LR Budget'!$D$81:$O$81,'C1 GEG Setting'!$C$6)</f>
        <v/>
      </c>
      <c r="F80" s="33">
        <f>D80-E80</f>
        <v/>
      </c>
      <c r="G80" s="85">
        <f>IFERROR(F80/ABS(E80),"")</f>
        <v/>
      </c>
      <c r="H80" s="86">
        <f>IF(ROUND(F80,0)=0,"",IF(F80*$C80&gt;0,"F","U"))</f>
        <v/>
      </c>
      <c r="I80" s="32" t="n"/>
      <c r="J80" s="84">
        <f>SUMIF('C5 GEG LR Aktual'!$D$5:$O$5,"&lt;="&amp;'C1 GEG Setting'!$C$6,'C5 GEG LR Aktual'!$D$81:$O$81)</f>
        <v/>
      </c>
      <c r="K80" s="84">
        <f>SUMIF('C4 GEG LR Budget'!$D$5:$O$5,"&lt;="&amp;'C1 GEG Setting'!$C$6,'C4 GEG LR Budget'!$D$81:$O$81)</f>
        <v/>
      </c>
      <c r="L80" s="33">
        <f>J80-K80</f>
        <v/>
      </c>
      <c r="M80" s="85">
        <f>IFERROR(L80/ABS(K80),"")</f>
        <v/>
      </c>
      <c r="N80" s="86">
        <f>IF(ROUND(L80,0)=0,"",IF(L80*$C80&gt;0,"F","U"))</f>
        <v/>
      </c>
      <c r="O80" s="87">
        <f>'C4 GEG LR Budget'!$P$81</f>
        <v/>
      </c>
      <c r="P80" s="85">
        <f>IFERROR(J80/O80,0)</f>
        <v/>
      </c>
    </row>
    <row r="81">
      <c r="A81" s="45" t="inlineStr">
        <is>
          <t>8101</t>
        </is>
      </c>
      <c r="B81" s="10" t="inlineStr">
        <is>
          <t xml:space="preserve">   Beban pajak penghasilan</t>
        </is>
      </c>
      <c r="C81" s="80" t="n">
        <v>-1</v>
      </c>
      <c r="D81" s="28">
        <f>INDEX('C5 GEG LR Aktual'!$D$82:$O$82,'C1 GEG Setting'!$C$6)</f>
        <v/>
      </c>
      <c r="E81" s="28">
        <f>INDEX('C4 GEG LR Budget'!$D$82:$O$82,'C1 GEG Setting'!$C$6)</f>
        <v/>
      </c>
      <c r="F81" s="19">
        <f>D81-E81</f>
        <v/>
      </c>
      <c r="G81" s="24">
        <f>IFERROR(F81/ABS(E81),"")</f>
        <v/>
      </c>
      <c r="H81" s="11">
        <f>IF(ROUND(F81,0)=0,"",IF(F81*$C81&gt;0,"F","U"))</f>
        <v/>
      </c>
      <c r="J81" s="28">
        <f>SUMIF('C5 GEG LR Aktual'!$D$5:$O$5,"&lt;="&amp;'C1 GEG Setting'!$C$6,'C5 GEG LR Aktual'!$D$82:$O$82)</f>
        <v/>
      </c>
      <c r="K81" s="28">
        <f>SUMIF('C4 GEG LR Budget'!$D$5:$O$5,"&lt;="&amp;'C1 GEG Setting'!$C$6,'C4 GEG LR Budget'!$D$82:$O$82)</f>
        <v/>
      </c>
      <c r="L81" s="19">
        <f>J81-K81</f>
        <v/>
      </c>
      <c r="M81" s="24">
        <f>IFERROR(L81/ABS(K81),"")</f>
        <v/>
      </c>
      <c r="N81" s="11">
        <f>IF(ROUND(L81,0)=0,"",IF(L81*$C81&gt;0,"F","U"))</f>
        <v/>
      </c>
      <c r="O81" s="28">
        <f>'C4 GEG LR Budget'!$P$82</f>
        <v/>
      </c>
      <c r="P81" s="24">
        <f>IFERROR(J81/O81,0)</f>
        <v/>
      </c>
    </row>
    <row r="82">
      <c r="A82" s="82" t="inlineStr"/>
      <c r="B82" s="31" t="inlineStr">
        <is>
          <t>LABA BERSIH</t>
        </is>
      </c>
      <c r="C82" s="83" t="n">
        <v>1</v>
      </c>
      <c r="D82" s="84">
        <f>INDEX('C5 GEG LR Aktual'!$D$83:$O$83,'C1 GEG Setting'!$C$6)</f>
        <v/>
      </c>
      <c r="E82" s="84">
        <f>INDEX('C4 GEG LR Budget'!$D$83:$O$83,'C1 GEG Setting'!$C$6)</f>
        <v/>
      </c>
      <c r="F82" s="33">
        <f>D82-E82</f>
        <v/>
      </c>
      <c r="G82" s="85">
        <f>IFERROR(F82/ABS(E82),"")</f>
        <v/>
      </c>
      <c r="H82" s="86">
        <f>IF(ROUND(F82,0)=0,"",IF(F82*$C82&gt;0,"F","U"))</f>
        <v/>
      </c>
      <c r="I82" s="32" t="n"/>
      <c r="J82" s="84">
        <f>SUMIF('C5 GEG LR Aktual'!$D$5:$O$5,"&lt;="&amp;'C1 GEG Setting'!$C$6,'C5 GEG LR Aktual'!$D$83:$O$83)</f>
        <v/>
      </c>
      <c r="K82" s="84">
        <f>SUMIF('C4 GEG LR Budget'!$D$5:$O$5,"&lt;="&amp;'C1 GEG Setting'!$C$6,'C4 GEG LR Budget'!$D$83:$O$83)</f>
        <v/>
      </c>
      <c r="L82" s="33">
        <f>J82-K82</f>
        <v/>
      </c>
      <c r="M82" s="85">
        <f>IFERROR(L82/ABS(K82),"")</f>
        <v/>
      </c>
      <c r="N82" s="86">
        <f>IF(ROUND(L82,0)=0,"",IF(L82*$C82&gt;0,"F","U"))</f>
        <v/>
      </c>
      <c r="O82" s="87">
        <f>'C4 GEG LR Budget'!$P$83</f>
        <v/>
      </c>
      <c r="P82" s="85">
        <f>IFERROR(J82/O82,0)</f>
        <v/>
      </c>
    </row>
    <row r="83">
      <c r="A83" s="45" t="inlineStr"/>
      <c r="B83" s="37" t="inlineStr">
        <is>
          <t xml:space="preserve">   Marjin laba bersih</t>
        </is>
      </c>
      <c r="D83" s="29">
        <f>IFERROR(D82/D13,0)</f>
        <v/>
      </c>
      <c r="E83" s="29">
        <f>IFERROR(E82/E13,0)</f>
        <v/>
      </c>
      <c r="F83" s="29">
        <f>D83-E83</f>
        <v/>
      </c>
      <c r="J83" s="29">
        <f>IFERROR(J82/J13,0)</f>
        <v/>
      </c>
      <c r="K83" s="29">
        <f>IFERROR(K82/K13,0)</f>
        <v/>
      </c>
      <c r="L83" s="29">
        <f>J83-K83</f>
        <v/>
      </c>
      <c r="O83" s="29">
        <f>IFERROR(O82/O13,0)</f>
        <v/>
      </c>
    </row>
    <row r="84">
      <c r="A84" s="4" t="inlineStr">
        <is>
          <t>MEMO</t>
        </is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</row>
    <row r="85">
      <c r="A85" s="45" t="inlineStr"/>
      <c r="B85" s="46" t="inlineStr">
        <is>
          <t xml:space="preserve">   EBITDA (laba usaha + penyusutan &amp; amortisasi)</t>
        </is>
      </c>
      <c r="C85" s="80" t="n">
        <v>1</v>
      </c>
      <c r="D85" s="70">
        <f>INDEX('C5 GEG LR Aktual'!$D$86:$O$86,'C1 GEG Setting'!$C$6)</f>
        <v/>
      </c>
      <c r="E85" s="70">
        <f>INDEX('C4 GEG LR Budget'!$D$86:$O$86,'C1 GEG Setting'!$C$6)</f>
        <v/>
      </c>
      <c r="F85" s="71">
        <f>D85-E85</f>
        <v/>
      </c>
      <c r="G85" s="24">
        <f>IFERROR(F85/ABS(E85),"")</f>
        <v/>
      </c>
      <c r="H85" s="11">
        <f>IF(ROUND(F85,0)=0,"",IF(F85*$C85&gt;0,"F","U"))</f>
        <v/>
      </c>
      <c r="J85" s="70">
        <f>SUMIF('C5 GEG LR Aktual'!$D$5:$O$5,"&lt;="&amp;'C1 GEG Setting'!$C$6,'C5 GEG LR Aktual'!$D$86:$O$86)</f>
        <v/>
      </c>
      <c r="K85" s="70">
        <f>SUMIF('C4 GEG LR Budget'!$D$5:$O$5,"&lt;="&amp;'C1 GEG Setting'!$C$6,'C4 GEG LR Budget'!$D$86:$O$86)</f>
        <v/>
      </c>
      <c r="L85" s="71">
        <f>J85-K85</f>
        <v/>
      </c>
      <c r="M85" s="24">
        <f>IFERROR(L85/ABS(K85),"")</f>
        <v/>
      </c>
      <c r="N85" s="11">
        <f>IF(ROUND(L85,0)=0,"",IF(L85*$C85&gt;0,"F","U"))</f>
        <v/>
      </c>
      <c r="O85" s="28">
        <f>'C4 GEG LR Budget'!$P$86</f>
        <v/>
      </c>
      <c r="P85" s="24">
        <f>IFERROR(J85/O85,0)</f>
        <v/>
      </c>
    </row>
    <row r="86">
      <c r="A86" s="45" t="inlineStr"/>
      <c r="B86" s="37" t="inlineStr">
        <is>
          <t xml:space="preserve">   Marjin EBITDA</t>
        </is>
      </c>
      <c r="D86" s="29">
        <f>IFERROR(D85/D13,0)</f>
        <v/>
      </c>
      <c r="E86" s="29">
        <f>IFERROR(E85/E13,0)</f>
        <v/>
      </c>
      <c r="F86" s="29">
        <f>D86-E86</f>
        <v/>
      </c>
      <c r="J86" s="29">
        <f>IFERROR(J85/J13,0)</f>
        <v/>
      </c>
      <c r="K86" s="29">
        <f>IFERROR(K85/K13,0)</f>
        <v/>
      </c>
      <c r="L86" s="29">
        <f>J86-K86</f>
        <v/>
      </c>
      <c r="O86" s="29">
        <f>IFERROR(O85/O13,0)</f>
        <v/>
      </c>
    </row>
  </sheetData>
  <conditionalFormatting sqref="H6:H87">
    <cfRule type="cellIs" priority="1" operator="equal" dxfId="0">
      <formula>"F"</formula>
    </cfRule>
    <cfRule type="cellIs" priority="2" operator="equal" dxfId="1">
      <formula>"U"</formula>
    </cfRule>
  </conditionalFormatting>
  <conditionalFormatting sqref="N6:N87">
    <cfRule type="cellIs" priority="3" operator="equal" dxfId="0">
      <formula>"F"</formula>
    </cfRule>
    <cfRule type="cellIs" priority="4" operator="equal" dxfId="1">
      <formula>"U"</formula>
    </cfRule>
  </conditionalFormatting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N3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5" customWidth="1" min="3" max="3"/>
    <col width="14" customWidth="1" min="4" max="4"/>
    <col width="14" customWidth="1" min="5" max="5"/>
    <col width="13" customWidth="1" min="6" max="6"/>
    <col width="10" customWidth="1" min="7" max="7"/>
    <col width="14" customWidth="1" min="8" max="8"/>
    <col width="2" customWidth="1" min="9" max="9"/>
    <col width="14" customWidth="1" min="10" max="10"/>
    <col width="14" customWidth="1" min="11" max="11"/>
    <col width="13" customWidth="1" min="12" max="12"/>
    <col width="10" customWidth="1" min="13" max="13"/>
    <col width="14" customWidth="1" min="14" max="14"/>
  </cols>
  <sheetData>
    <row r="1">
      <c r="A1" s="1" t="inlineStr">
        <is>
          <t>GEG – Laporan Operasional Bulanan: Aktual vs 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>
        <f>"Bulan laporan: "&amp;'C1 GEG Setting'!$C$7&amp;" "&amp;'C1 GEG Setting'!$C$5&amp;" | Polaritas H = makin tinggi makin baik, L = makin rendah makin baik"</f>
        <v/>
      </c>
    </row>
    <row r="5" ht="30" customHeight="1">
      <c r="A5" s="16" t="inlineStr">
        <is>
          <t>Parameter</t>
        </is>
      </c>
      <c r="B5" s="16" t="inlineStr">
        <is>
          <t>Satuan</t>
        </is>
      </c>
      <c r="C5" s="16" t="inlineStr">
        <is>
          <t>Pol.</t>
        </is>
      </c>
      <c r="D5" s="16" t="inlineStr">
        <is>
          <t>Bulan ini – Aktual</t>
        </is>
      </c>
      <c r="E5" s="16" t="inlineStr">
        <is>
          <t>Bulan ini – Budget</t>
        </is>
      </c>
      <c r="F5" s="16" t="inlineStr">
        <is>
          <t>Varians</t>
        </is>
      </c>
      <c r="G5" s="16" t="inlineStr">
        <is>
          <t>Varians %</t>
        </is>
      </c>
      <c r="H5" s="16" t="inlineStr">
        <is>
          <t>Status</t>
        </is>
      </c>
      <c r="I5" s="16" t="inlineStr"/>
      <c r="J5" s="16" t="inlineStr">
        <is>
          <t>YTD – Aktual</t>
        </is>
      </c>
      <c r="K5" s="16" t="inlineStr">
        <is>
          <t>YTD – Budget</t>
        </is>
      </c>
      <c r="L5" s="16" t="inlineStr">
        <is>
          <t>Varians</t>
        </is>
      </c>
      <c r="M5" s="16" t="inlineStr">
        <is>
          <t>Varians %</t>
        </is>
      </c>
      <c r="N5" s="16" t="inlineStr">
        <is>
          <t>Status</t>
        </is>
      </c>
    </row>
    <row r="6">
      <c r="A6" s="4" t="inlineStr">
        <is>
          <t>PRODUKSI &amp; OPERASI TAMBANG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10" t="inlineStr">
        <is>
          <t>OB removal</t>
        </is>
      </c>
      <c r="B7" s="3" t="inlineStr">
        <is>
          <t>bcm</t>
        </is>
      </c>
      <c r="C7" s="62" t="inlineStr">
        <is>
          <t>H</t>
        </is>
      </c>
      <c r="D7" s="28">
        <f>INDEX('C3 GEG Ops Aktual'!$D$8:$O$8,'C1 GEG Setting'!$C$6)</f>
        <v/>
      </c>
      <c r="E7" s="28">
        <f>INDEX('C2 GEG Ops Budget'!$D$8:$O$8,'C1 GEG Setting'!$C$6)</f>
        <v/>
      </c>
      <c r="F7" s="19">
        <f>D7-E7</f>
        <v/>
      </c>
      <c r="G7" s="24">
        <f>IFERROR(F7/ABS(E7),"")</f>
        <v/>
      </c>
      <c r="H7" s="11">
        <f>IF($C7="","",IF(OR(AND($C7="H",D7&gt;=E7),AND($C7="L",D7&lt;=E7)),"Tercapai","Tidak tercapai"))</f>
        <v/>
      </c>
      <c r="J7" s="28">
        <f>SUMIF('C3 GEG Ops Aktual'!$D$5:$O$5,"&lt;="&amp;'C1 GEG Setting'!$C$6,'C3 GEG Ops Aktual'!$D$8:$O$8)</f>
        <v/>
      </c>
      <c r="K7" s="28">
        <f>SUMIF('C2 GEG Ops Budget'!$D$5:$O$5,"&lt;="&amp;'C1 GEG Setting'!$C$6,'C2 GEG Ops Budget'!$D$8:$O$8)</f>
        <v/>
      </c>
      <c r="L7" s="19">
        <f>J7-K7</f>
        <v/>
      </c>
      <c r="M7" s="24">
        <f>IFERROR(L7/ABS(K7),"")</f>
        <v/>
      </c>
      <c r="N7" s="11">
        <f>IF($C7="","",IF(OR(AND($C7="H",J7&gt;=K7),AND($C7="L",J7&lt;=K7)),"Tercapai","Tidak tercapai"))</f>
        <v/>
      </c>
    </row>
    <row r="8">
      <c r="A8" s="10" t="inlineStr">
        <is>
          <t>Produksi batubara (coal getting / ROM)</t>
        </is>
      </c>
      <c r="B8" s="3" t="inlineStr">
        <is>
          <t>ton</t>
        </is>
      </c>
      <c r="C8" s="62" t="inlineStr">
        <is>
          <t>H</t>
        </is>
      </c>
      <c r="D8" s="28">
        <f>INDEX('C3 GEG Ops Aktual'!$D$9:$O$9,'C1 GEG Setting'!$C$6)</f>
        <v/>
      </c>
      <c r="E8" s="28">
        <f>INDEX('C2 GEG Ops Budget'!$D$9:$O$9,'C1 GEG Setting'!$C$6)</f>
        <v/>
      </c>
      <c r="F8" s="19">
        <f>D8-E8</f>
        <v/>
      </c>
      <c r="G8" s="24">
        <f>IFERROR(F8/ABS(E8),"")</f>
        <v/>
      </c>
      <c r="H8" s="11">
        <f>IF($C8="","",IF(OR(AND($C8="H",D8&gt;=E8),AND($C8="L",D8&lt;=E8)),"Tercapai","Tidak tercapai"))</f>
        <v/>
      </c>
      <c r="J8" s="28">
        <f>SUMIF('C3 GEG Ops Aktual'!$D$5:$O$5,"&lt;="&amp;'C1 GEG Setting'!$C$6,'C3 GEG Ops Aktual'!$D$9:$O$9)</f>
        <v/>
      </c>
      <c r="K8" s="28">
        <f>SUMIF('C2 GEG Ops Budget'!$D$5:$O$5,"&lt;="&amp;'C1 GEG Setting'!$C$6,'C2 GEG Ops Budget'!$D$9:$O$9)</f>
        <v/>
      </c>
      <c r="L8" s="19">
        <f>J8-K8</f>
        <v/>
      </c>
      <c r="M8" s="24">
        <f>IFERROR(L8/ABS(K8),"")</f>
        <v/>
      </c>
      <c r="N8" s="11">
        <f>IF($C8="","",IF(OR(AND($C8="H",J8&gt;=K8),AND($C8="L",J8&lt;=K8)),"Tercapai","Tidak tercapai"))</f>
        <v/>
      </c>
    </row>
    <row r="9">
      <c r="A9" s="10" t="inlineStr">
        <is>
          <t>Stripping ratio</t>
        </is>
      </c>
      <c r="B9" s="3" t="inlineStr">
        <is>
          <t>bcm/t</t>
        </is>
      </c>
      <c r="C9" s="62" t="inlineStr">
        <is>
          <t>L</t>
        </is>
      </c>
      <c r="D9" s="47">
        <f>IFERROR(D7/D8,0)</f>
        <v/>
      </c>
      <c r="E9" s="47">
        <f>IFERROR(E7/E8,0)</f>
        <v/>
      </c>
      <c r="F9" s="47">
        <f>D9-E9</f>
        <v/>
      </c>
      <c r="G9" s="24">
        <f>IFERROR(F9/ABS(E9),"")</f>
        <v/>
      </c>
      <c r="H9" s="11">
        <f>IF($C9="","",IF(OR(AND($C9="H",D9&gt;=E9),AND($C9="L",D9&lt;=E9)),"Tercapai","Tidak tercapai"))</f>
        <v/>
      </c>
      <c r="J9" s="47">
        <f>IFERROR(J7/J8,0)</f>
        <v/>
      </c>
      <c r="K9" s="47">
        <f>IFERROR(K7/K8,0)</f>
        <v/>
      </c>
      <c r="L9" s="47">
        <f>J9-K9</f>
        <v/>
      </c>
      <c r="M9" s="24">
        <f>IFERROR(L9/ABS(K9),"")</f>
        <v/>
      </c>
      <c r="N9" s="11">
        <f>IF($C9="","",IF(OR(AND($C9="H",J9&gt;=K9),AND($C9="L",J9&lt;=K9)),"Tercapai","Tidak tercapai"))</f>
        <v/>
      </c>
    </row>
    <row r="10">
      <c r="A10" s="10" t="inlineStr">
        <is>
          <t>Hauling batubara ke pelabuhan</t>
        </is>
      </c>
      <c r="B10" s="3" t="inlineStr">
        <is>
          <t>ton</t>
        </is>
      </c>
      <c r="C10" s="62" t="inlineStr">
        <is>
          <t>H</t>
        </is>
      </c>
      <c r="D10" s="28">
        <f>INDEX('C3 GEG Ops Aktual'!$D$11:$O$11,'C1 GEG Setting'!$C$6)</f>
        <v/>
      </c>
      <c r="E10" s="28">
        <f>INDEX('C2 GEG Ops Budget'!$D$11:$O$11,'C1 GEG Setting'!$C$6)</f>
        <v/>
      </c>
      <c r="F10" s="19">
        <f>D10-E10</f>
        <v/>
      </c>
      <c r="G10" s="24">
        <f>IFERROR(F10/ABS(E10),"")</f>
        <v/>
      </c>
      <c r="H10" s="11">
        <f>IF($C10="","",IF(OR(AND($C10="H",D10&gt;=E10),AND($C10="L",D10&lt;=E10)),"Tercapai","Tidak tercapai"))</f>
        <v/>
      </c>
      <c r="J10" s="28">
        <f>SUMIF('C3 GEG Ops Aktual'!$D$5:$O$5,"&lt;="&amp;'C1 GEG Setting'!$C$6,'C3 GEG Ops Aktual'!$D$11:$O$11)</f>
        <v/>
      </c>
      <c r="K10" s="28">
        <f>SUMIF('C2 GEG Ops Budget'!$D$5:$O$5,"&lt;="&amp;'C1 GEG Setting'!$C$6,'C2 GEG Ops Budget'!$D$11:$O$11)</f>
        <v/>
      </c>
      <c r="L10" s="19">
        <f>J10-K10</f>
        <v/>
      </c>
      <c r="M10" s="24">
        <f>IFERROR(L10/ABS(K10),"")</f>
        <v/>
      </c>
      <c r="N10" s="11">
        <f>IF($C10="","",IF(OR(AND($C10="H",J10&gt;=K10),AND($C10="L",J10&lt;=K10)),"Tercapai","Tidak tercapai"))</f>
        <v/>
      </c>
    </row>
    <row r="11">
      <c r="A11" s="10" t="inlineStr">
        <is>
          <t>Jarak hauling rata-rata</t>
        </is>
      </c>
      <c r="B11" s="3" t="inlineStr">
        <is>
          <t>km</t>
        </is>
      </c>
      <c r="C11" s="62" t="inlineStr">
        <is>
          <t>L</t>
        </is>
      </c>
      <c r="D11" s="88">
        <f>INDEX('C3 GEG Ops Aktual'!$D$12:$O$12,'C1 GEG Setting'!$C$6)</f>
        <v/>
      </c>
      <c r="E11" s="88">
        <f>INDEX('C2 GEG Ops Budget'!$D$12:$O$12,'C1 GEG Setting'!$C$6)</f>
        <v/>
      </c>
      <c r="F11" s="89">
        <f>D11-E11</f>
        <v/>
      </c>
      <c r="G11" s="24">
        <f>IFERROR(F11/ABS(E11),"")</f>
        <v/>
      </c>
      <c r="H11" s="11">
        <f>IF($C11="","",IF(OR(AND($C11="H",D11&gt;=E11),AND($C11="L",D11&lt;=E11)),"Tercapai","Tidak tercapai"))</f>
        <v/>
      </c>
      <c r="J11" s="88">
        <f>IFERROR(SUMPRODUCT(('C3 GEG Ops Aktual'!$D$5:$O$5&lt;='C1 GEG Setting'!$C$6)*'C3 GEG Ops Aktual'!$D$12:$O$12*'C3 GEG Ops Aktual'!$D$11:$O$11)/SUMIF('C3 GEG Ops Aktual'!$D$5:$O$5,"&lt;="&amp;'C1 GEG Setting'!$C$6,'C3 GEG Ops Aktual'!$D$11:$O$11),0)</f>
        <v/>
      </c>
      <c r="K11" s="88">
        <f>IFERROR(SUMPRODUCT(('C2 GEG Ops Budget'!$D$5:$O$5&lt;='C1 GEG Setting'!$C$6)*'C2 GEG Ops Budget'!$D$12:$O$12*'C2 GEG Ops Budget'!$D$11:$O$11)/SUMIF('C2 GEG Ops Budget'!$D$5:$O$5,"&lt;="&amp;'C1 GEG Setting'!$C$6,'C2 GEG Ops Budget'!$D$11:$O$11),0)</f>
        <v/>
      </c>
      <c r="L11" s="89">
        <f>J11-K11</f>
        <v/>
      </c>
      <c r="M11" s="24">
        <f>IFERROR(L11/ABS(K11),"")</f>
        <v/>
      </c>
      <c r="N11" s="11">
        <f>IF($C11="","",IF(OR(AND($C11="H",J11&gt;=K11),AND($C11="L",J11&lt;=K11)),"Tercapai","Tidak tercapai"))</f>
        <v/>
      </c>
    </row>
    <row r="12">
      <c r="A12" s="10" t="inlineStr">
        <is>
          <t>Barging / pemuatan tongkang</t>
        </is>
      </c>
      <c r="B12" s="3" t="inlineStr">
        <is>
          <t>ton</t>
        </is>
      </c>
      <c r="C12" s="62" t="inlineStr">
        <is>
          <t>H</t>
        </is>
      </c>
      <c r="D12" s="28">
        <f>INDEX('C3 GEG Ops Aktual'!$D$13:$O$13,'C1 GEG Setting'!$C$6)</f>
        <v/>
      </c>
      <c r="E12" s="28">
        <f>INDEX('C2 GEG Ops Budget'!$D$13:$O$13,'C1 GEG Setting'!$C$6)</f>
        <v/>
      </c>
      <c r="F12" s="19">
        <f>D12-E12</f>
        <v/>
      </c>
      <c r="G12" s="24">
        <f>IFERROR(F12/ABS(E12),"")</f>
        <v/>
      </c>
      <c r="H12" s="11">
        <f>IF($C12="","",IF(OR(AND($C12="H",D12&gt;=E12),AND($C12="L",D12&lt;=E12)),"Tercapai","Tidak tercapai"))</f>
        <v/>
      </c>
      <c r="J12" s="28">
        <f>SUMIF('C3 GEG Ops Aktual'!$D$5:$O$5,"&lt;="&amp;'C1 GEG Setting'!$C$6,'C3 GEG Ops Aktual'!$D$13:$O$13)</f>
        <v/>
      </c>
      <c r="K12" s="28">
        <f>SUMIF('C2 GEG Ops Budget'!$D$5:$O$5,"&lt;="&amp;'C1 GEG Setting'!$C$6,'C2 GEG Ops Budget'!$D$13:$O$13)</f>
        <v/>
      </c>
      <c r="L12" s="19">
        <f>J12-K12</f>
        <v/>
      </c>
      <c r="M12" s="24">
        <f>IFERROR(L12/ABS(K12),"")</f>
        <v/>
      </c>
      <c r="N12" s="11">
        <f>IF($C12="","",IF(OR(AND($C12="H",J12&gt;=K12),AND($C12="L",J12&lt;=K12)),"Tercapai","Tidak tercapai"))</f>
        <v/>
      </c>
    </row>
    <row r="13">
      <c r="A13" s="10" t="inlineStr">
        <is>
          <t>Stok batubara akhir bulan (ROM + pelabuhan)</t>
        </is>
      </c>
      <c r="B13" s="3" t="inlineStr">
        <is>
          <t>ton</t>
        </is>
      </c>
      <c r="C13" s="62" t="inlineStr"/>
      <c r="D13" s="28">
        <f>INDEX('C3 GEG Ops Aktual'!$D$14:$O$14,'C1 GEG Setting'!$C$6)</f>
        <v/>
      </c>
      <c r="E13" s="28">
        <f>INDEX('C2 GEG Ops Budget'!$D$14:$O$14,'C1 GEG Setting'!$C$6)</f>
        <v/>
      </c>
      <c r="F13" s="19">
        <f>D13-E13</f>
        <v/>
      </c>
      <c r="G13" s="24">
        <f>IFERROR(F13/ABS(E13),"")</f>
        <v/>
      </c>
      <c r="H13" s="11">
        <f>IF($C13="","",IF(OR(AND($C13="H",D13&gt;=E13),AND($C13="L",D13&lt;=E13)),"Tercapai","Tidak tercapai"))</f>
        <v/>
      </c>
      <c r="J13" s="28">
        <f>INDEX('C3 GEG Ops Aktual'!$D$14:$O$14,'C1 GEG Setting'!$C$6)</f>
        <v/>
      </c>
      <c r="K13" s="28">
        <f>INDEX('C2 GEG Ops Budget'!$D$14:$O$14,'C1 GEG Setting'!$C$6)</f>
        <v/>
      </c>
      <c r="L13" s="19">
        <f>J13-K13</f>
        <v/>
      </c>
      <c r="M13" s="24">
        <f>IFERROR(L13/ABS(K13),"")</f>
        <v/>
      </c>
      <c r="N13" s="11">
        <f>IF($C13="","",IF(OR(AND($C13="H",J13&gt;=K13),AND($C13="L",J13&lt;=K13)),"Tercapai","Tidak tercapai"))</f>
        <v/>
      </c>
    </row>
    <row r="14">
      <c r="A14" s="4" t="inlineStr">
        <is>
          <t>PENJUALAN &amp; HARGA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</row>
    <row r="15">
      <c r="A15" s="10" t="inlineStr">
        <is>
          <t>Penjualan – Ekspor</t>
        </is>
      </c>
      <c r="B15" s="3" t="inlineStr">
        <is>
          <t>ton</t>
        </is>
      </c>
      <c r="C15" s="62" t="inlineStr">
        <is>
          <t>H</t>
        </is>
      </c>
      <c r="D15" s="28">
        <f>INDEX('C3 GEG Ops Aktual'!$D$16:$O$16,'C1 GEG Setting'!$C$6)</f>
        <v/>
      </c>
      <c r="E15" s="28">
        <f>INDEX('C2 GEG Ops Budget'!$D$16:$O$16,'C1 GEG Setting'!$C$6)</f>
        <v/>
      </c>
      <c r="F15" s="19">
        <f>D15-E15</f>
        <v/>
      </c>
      <c r="G15" s="24">
        <f>IFERROR(F15/ABS(E15),"")</f>
        <v/>
      </c>
      <c r="H15" s="11">
        <f>IF($C15="","",IF(OR(AND($C15="H",D15&gt;=E15),AND($C15="L",D15&lt;=E15)),"Tercapai","Tidak tercapai"))</f>
        <v/>
      </c>
      <c r="J15" s="28">
        <f>SUMIF('C3 GEG Ops Aktual'!$D$5:$O$5,"&lt;="&amp;'C1 GEG Setting'!$C$6,'C3 GEG Ops Aktual'!$D$16:$O$16)</f>
        <v/>
      </c>
      <c r="K15" s="28">
        <f>SUMIF('C2 GEG Ops Budget'!$D$5:$O$5,"&lt;="&amp;'C1 GEG Setting'!$C$6,'C2 GEG Ops Budget'!$D$16:$O$16)</f>
        <v/>
      </c>
      <c r="L15" s="19">
        <f>J15-K15</f>
        <v/>
      </c>
      <c r="M15" s="24">
        <f>IFERROR(L15/ABS(K15),"")</f>
        <v/>
      </c>
      <c r="N15" s="11">
        <f>IF($C15="","",IF(OR(AND($C15="H",J15&gt;=K15),AND($C15="L",J15&lt;=K15)),"Tercapai","Tidak tercapai"))</f>
        <v/>
      </c>
    </row>
    <row r="16">
      <c r="A16" s="10" t="inlineStr">
        <is>
          <t>Penjualan – Domestik DMO</t>
        </is>
      </c>
      <c r="B16" s="3" t="inlineStr">
        <is>
          <t>ton</t>
        </is>
      </c>
      <c r="C16" s="62" t="inlineStr">
        <is>
          <t>H</t>
        </is>
      </c>
      <c r="D16" s="28">
        <f>INDEX('C3 GEG Ops Aktual'!$D$17:$O$17,'C1 GEG Setting'!$C$6)</f>
        <v/>
      </c>
      <c r="E16" s="28">
        <f>INDEX('C2 GEG Ops Budget'!$D$17:$O$17,'C1 GEG Setting'!$C$6)</f>
        <v/>
      </c>
      <c r="F16" s="19">
        <f>D16-E16</f>
        <v/>
      </c>
      <c r="G16" s="24">
        <f>IFERROR(F16/ABS(E16),"")</f>
        <v/>
      </c>
      <c r="H16" s="11">
        <f>IF($C16="","",IF(OR(AND($C16="H",D16&gt;=E16),AND($C16="L",D16&lt;=E16)),"Tercapai","Tidak tercapai"))</f>
        <v/>
      </c>
      <c r="J16" s="28">
        <f>SUMIF('C3 GEG Ops Aktual'!$D$5:$O$5,"&lt;="&amp;'C1 GEG Setting'!$C$6,'C3 GEG Ops Aktual'!$D$17:$O$17)</f>
        <v/>
      </c>
      <c r="K16" s="28">
        <f>SUMIF('C2 GEG Ops Budget'!$D$5:$O$5,"&lt;="&amp;'C1 GEG Setting'!$C$6,'C2 GEG Ops Budget'!$D$17:$O$17)</f>
        <v/>
      </c>
      <c r="L16" s="19">
        <f>J16-K16</f>
        <v/>
      </c>
      <c r="M16" s="24">
        <f>IFERROR(L16/ABS(K16),"")</f>
        <v/>
      </c>
      <c r="N16" s="11">
        <f>IF($C16="","",IF(OR(AND($C16="H",J16&gt;=K16),AND($C16="L",J16&lt;=K16)),"Tercapai","Tidak tercapai"))</f>
        <v/>
      </c>
    </row>
    <row r="17">
      <c r="A17" s="10" t="inlineStr">
        <is>
          <t>Penjualan – Domestik non-DMO</t>
        </is>
      </c>
      <c r="B17" s="3" t="inlineStr">
        <is>
          <t>ton</t>
        </is>
      </c>
      <c r="C17" s="62" t="inlineStr">
        <is>
          <t>H</t>
        </is>
      </c>
      <c r="D17" s="28">
        <f>INDEX('C3 GEG Ops Aktual'!$D$18:$O$18,'C1 GEG Setting'!$C$6)</f>
        <v/>
      </c>
      <c r="E17" s="28">
        <f>INDEX('C2 GEG Ops Budget'!$D$18:$O$18,'C1 GEG Setting'!$C$6)</f>
        <v/>
      </c>
      <c r="F17" s="19">
        <f>D17-E17</f>
        <v/>
      </c>
      <c r="G17" s="24">
        <f>IFERROR(F17/ABS(E17),"")</f>
        <v/>
      </c>
      <c r="H17" s="11">
        <f>IF($C17="","",IF(OR(AND($C17="H",D17&gt;=E17),AND($C17="L",D17&lt;=E17)),"Tercapai","Tidak tercapai"))</f>
        <v/>
      </c>
      <c r="J17" s="28">
        <f>SUMIF('C3 GEG Ops Aktual'!$D$5:$O$5,"&lt;="&amp;'C1 GEG Setting'!$C$6,'C3 GEG Ops Aktual'!$D$18:$O$18)</f>
        <v/>
      </c>
      <c r="K17" s="28">
        <f>SUMIF('C2 GEG Ops Budget'!$D$5:$O$5,"&lt;="&amp;'C1 GEG Setting'!$C$6,'C2 GEG Ops Budget'!$D$18:$O$18)</f>
        <v/>
      </c>
      <c r="L17" s="19">
        <f>J17-K17</f>
        <v/>
      </c>
      <c r="M17" s="24">
        <f>IFERROR(L17/ABS(K17),"")</f>
        <v/>
      </c>
      <c r="N17" s="11">
        <f>IF($C17="","",IF(OR(AND($C17="H",J17&gt;=K17),AND($C17="L",J17&lt;=K17)),"Tercapai","Tidak tercapai"))</f>
        <v/>
      </c>
    </row>
    <row r="18">
      <c r="A18" s="10" t="inlineStr">
        <is>
          <t>Total penjualan</t>
        </is>
      </c>
      <c r="B18" s="3" t="inlineStr">
        <is>
          <t>ton</t>
        </is>
      </c>
      <c r="C18" s="62" t="inlineStr">
        <is>
          <t>H</t>
        </is>
      </c>
      <c r="D18" s="19">
        <f>D15+D16+D17</f>
        <v/>
      </c>
      <c r="E18" s="19">
        <f>E15+E16+E17</f>
        <v/>
      </c>
      <c r="F18" s="19">
        <f>D18-E18</f>
        <v/>
      </c>
      <c r="G18" s="24">
        <f>IFERROR(F18/ABS(E18),"")</f>
        <v/>
      </c>
      <c r="H18" s="11">
        <f>IF($C18="","",IF(OR(AND($C18="H",D18&gt;=E18),AND($C18="L",D18&lt;=E18)),"Tercapai","Tidak tercapai"))</f>
        <v/>
      </c>
      <c r="J18" s="19">
        <f>J15+J16+J17</f>
        <v/>
      </c>
      <c r="K18" s="19">
        <f>K15+K16+K17</f>
        <v/>
      </c>
      <c r="L18" s="19">
        <f>J18-K18</f>
        <v/>
      </c>
      <c r="M18" s="24">
        <f>IFERROR(L18/ABS(K18),"")</f>
        <v/>
      </c>
      <c r="N18" s="11">
        <f>IF($C18="","",IF(OR(AND($C18="H",J18&gt;=K18),AND($C18="L",J18&lt;=K18)),"Tercapai","Tidak tercapai"))</f>
        <v/>
      </c>
    </row>
    <row r="19">
      <c r="A19" s="10" t="inlineStr">
        <is>
          <t>ASP – Ekspor</t>
        </is>
      </c>
      <c r="B19" s="3" t="inlineStr">
        <is>
          <t>USD/t</t>
        </is>
      </c>
      <c r="C19" s="62" t="inlineStr">
        <is>
          <t>H</t>
        </is>
      </c>
      <c r="D19" s="39">
        <f>INDEX('C3 GEG Ops Aktual'!$D$20:$O$20,'C1 GEG Setting'!$C$6)</f>
        <v/>
      </c>
      <c r="E19" s="39">
        <f>INDEX('C2 GEG Ops Budget'!$D$20:$O$20,'C1 GEG Setting'!$C$6)</f>
        <v/>
      </c>
      <c r="F19" s="47">
        <f>D19-E19</f>
        <v/>
      </c>
      <c r="G19" s="24">
        <f>IFERROR(F19/ABS(E19),"")</f>
        <v/>
      </c>
      <c r="H19" s="11">
        <f>IF($C19="","",IF(OR(AND($C19="H",D19&gt;=E19),AND($C19="L",D19&lt;=E19)),"Tercapai","Tidak tercapai"))</f>
        <v/>
      </c>
      <c r="J19" s="39">
        <f>IFERROR(SUMPRODUCT(('C3 GEG Ops Aktual'!$D$5:$O$5&lt;='C1 GEG Setting'!$C$6)*'C3 GEG Ops Aktual'!$D$20:$O$20*'C3 GEG Ops Aktual'!$D$16:$O$16)/SUMIF('C3 GEG Ops Aktual'!$D$5:$O$5,"&lt;="&amp;'C1 GEG Setting'!$C$6,'C3 GEG Ops Aktual'!$D$16:$O$16),0)</f>
        <v/>
      </c>
      <c r="K19" s="39">
        <f>IFERROR(SUMPRODUCT(('C2 GEG Ops Budget'!$D$5:$O$5&lt;='C1 GEG Setting'!$C$6)*'C2 GEG Ops Budget'!$D$20:$O$20*'C2 GEG Ops Budget'!$D$16:$O$16)/SUMIF('C2 GEG Ops Budget'!$D$5:$O$5,"&lt;="&amp;'C1 GEG Setting'!$C$6,'C2 GEG Ops Budget'!$D$16:$O$16),0)</f>
        <v/>
      </c>
      <c r="L19" s="47">
        <f>J19-K19</f>
        <v/>
      </c>
      <c r="M19" s="24">
        <f>IFERROR(L19/ABS(K19),"")</f>
        <v/>
      </c>
      <c r="N19" s="11">
        <f>IF($C19="","",IF(OR(AND($C19="H",J19&gt;=K19),AND($C19="L",J19&lt;=K19)),"Tercapai","Tidak tercapai"))</f>
        <v/>
      </c>
    </row>
    <row r="20">
      <c r="A20" s="10" t="inlineStr">
        <is>
          <t>ASP – Domestik DMO</t>
        </is>
      </c>
      <c r="B20" s="3" t="inlineStr">
        <is>
          <t>USD/t</t>
        </is>
      </c>
      <c r="C20" s="62" t="inlineStr">
        <is>
          <t>H</t>
        </is>
      </c>
      <c r="D20" s="39">
        <f>INDEX('C3 GEG Ops Aktual'!$D$21:$O$21,'C1 GEG Setting'!$C$6)</f>
        <v/>
      </c>
      <c r="E20" s="39">
        <f>INDEX('C2 GEG Ops Budget'!$D$21:$O$21,'C1 GEG Setting'!$C$6)</f>
        <v/>
      </c>
      <c r="F20" s="47">
        <f>D20-E20</f>
        <v/>
      </c>
      <c r="G20" s="24">
        <f>IFERROR(F20/ABS(E20),"")</f>
        <v/>
      </c>
      <c r="H20" s="11">
        <f>IF($C20="","",IF(OR(AND($C20="H",D20&gt;=E20),AND($C20="L",D20&lt;=E20)),"Tercapai","Tidak tercapai"))</f>
        <v/>
      </c>
      <c r="J20" s="39">
        <f>IFERROR(SUMPRODUCT(('C3 GEG Ops Aktual'!$D$5:$O$5&lt;='C1 GEG Setting'!$C$6)*'C3 GEG Ops Aktual'!$D$21:$O$21*'C3 GEG Ops Aktual'!$D$17:$O$17)/SUMIF('C3 GEG Ops Aktual'!$D$5:$O$5,"&lt;="&amp;'C1 GEG Setting'!$C$6,'C3 GEG Ops Aktual'!$D$17:$O$17),0)</f>
        <v/>
      </c>
      <c r="K20" s="39">
        <f>IFERROR(SUMPRODUCT(('C2 GEG Ops Budget'!$D$5:$O$5&lt;='C1 GEG Setting'!$C$6)*'C2 GEG Ops Budget'!$D$21:$O$21*'C2 GEG Ops Budget'!$D$17:$O$17)/SUMIF('C2 GEG Ops Budget'!$D$5:$O$5,"&lt;="&amp;'C1 GEG Setting'!$C$6,'C2 GEG Ops Budget'!$D$17:$O$17),0)</f>
        <v/>
      </c>
      <c r="L20" s="47">
        <f>J20-K20</f>
        <v/>
      </c>
      <c r="M20" s="24">
        <f>IFERROR(L20/ABS(K20),"")</f>
        <v/>
      </c>
      <c r="N20" s="11">
        <f>IF($C20="","",IF(OR(AND($C20="H",J20&gt;=K20),AND($C20="L",J20&lt;=K20)),"Tercapai","Tidak tercapai"))</f>
        <v/>
      </c>
    </row>
    <row r="21">
      <c r="A21" s="10" t="inlineStr">
        <is>
          <t>ASP – Domestik non-DMO</t>
        </is>
      </c>
      <c r="B21" s="3" t="inlineStr">
        <is>
          <t>USD/t</t>
        </is>
      </c>
      <c r="C21" s="62" t="inlineStr">
        <is>
          <t>H</t>
        </is>
      </c>
      <c r="D21" s="39">
        <f>INDEX('C3 GEG Ops Aktual'!$D$22:$O$22,'C1 GEG Setting'!$C$6)</f>
        <v/>
      </c>
      <c r="E21" s="39">
        <f>INDEX('C2 GEG Ops Budget'!$D$22:$O$22,'C1 GEG Setting'!$C$6)</f>
        <v/>
      </c>
      <c r="F21" s="47">
        <f>D21-E21</f>
        <v/>
      </c>
      <c r="G21" s="24">
        <f>IFERROR(F21/ABS(E21),"")</f>
        <v/>
      </c>
      <c r="H21" s="11">
        <f>IF($C21="","",IF(OR(AND($C21="H",D21&gt;=E21),AND($C21="L",D21&lt;=E21)),"Tercapai","Tidak tercapai"))</f>
        <v/>
      </c>
      <c r="J21" s="39">
        <f>IFERROR(SUMPRODUCT(('C3 GEG Ops Aktual'!$D$5:$O$5&lt;='C1 GEG Setting'!$C$6)*'C3 GEG Ops Aktual'!$D$22:$O$22*'C3 GEG Ops Aktual'!$D$18:$O$18)/SUMIF('C3 GEG Ops Aktual'!$D$5:$O$5,"&lt;="&amp;'C1 GEG Setting'!$C$6,'C3 GEG Ops Aktual'!$D$18:$O$18),0)</f>
        <v/>
      </c>
      <c r="K21" s="39">
        <f>IFERROR(SUMPRODUCT(('C2 GEG Ops Budget'!$D$5:$O$5&lt;='C1 GEG Setting'!$C$6)*'C2 GEG Ops Budget'!$D$22:$O$22*'C2 GEG Ops Budget'!$D$18:$O$18)/SUMIF('C2 GEG Ops Budget'!$D$5:$O$5,"&lt;="&amp;'C1 GEG Setting'!$C$6,'C2 GEG Ops Budget'!$D$18:$O$18),0)</f>
        <v/>
      </c>
      <c r="L21" s="47">
        <f>J21-K21</f>
        <v/>
      </c>
      <c r="M21" s="24">
        <f>IFERROR(L21/ABS(K21),"")</f>
        <v/>
      </c>
      <c r="N21" s="11">
        <f>IF($C21="","",IF(OR(AND($C21="H",J21&gt;=K21),AND($C21="L",J21&lt;=K21)),"Tercapai","Tidak tercapai"))</f>
        <v/>
      </c>
    </row>
    <row r="22">
      <c r="A22" s="10" t="inlineStr">
        <is>
          <t>Harga indeks acuan (HBA/ICI setara CV)</t>
        </is>
      </c>
      <c r="B22" s="3" t="inlineStr">
        <is>
          <t>USD/t</t>
        </is>
      </c>
      <c r="C22" s="62" t="inlineStr"/>
      <c r="D22" s="39">
        <f>INDEX('C3 GEG Ops Aktual'!$D$23:$O$23,'C1 GEG Setting'!$C$6)</f>
        <v/>
      </c>
      <c r="E22" s="39">
        <f>INDEX('C2 GEG Ops Budget'!$D$23:$O$23,'C1 GEG Setting'!$C$6)</f>
        <v/>
      </c>
      <c r="F22" s="47">
        <f>D22-E22</f>
        <v/>
      </c>
      <c r="G22" s="24">
        <f>IFERROR(F22/ABS(E22),"")</f>
        <v/>
      </c>
      <c r="H22" s="11">
        <f>IF($C22="","",IF(OR(AND($C22="H",D22&gt;=E22),AND($C22="L",D22&lt;=E22)),"Tercapai","Tidak tercapai"))</f>
        <v/>
      </c>
      <c r="J22" s="39">
        <f>IFERROR(AVERAGEIFS('C3 GEG Ops Aktual'!$D$23:$O$23,'C3 GEG Ops Aktual'!$D$5:$O$5,"&lt;="&amp;'C1 GEG Setting'!$C$6),0)</f>
        <v/>
      </c>
      <c r="K22" s="39">
        <f>IFERROR(AVERAGEIFS('C2 GEG Ops Budget'!$D$23:$O$23,'C2 GEG Ops Budget'!$D$5:$O$5,"&lt;="&amp;'C1 GEG Setting'!$C$6),0)</f>
        <v/>
      </c>
      <c r="L22" s="47">
        <f>J22-K22</f>
        <v/>
      </c>
      <c r="M22" s="24">
        <f>IFERROR(L22/ABS(K22),"")</f>
        <v/>
      </c>
      <c r="N22" s="11">
        <f>IF($C22="","",IF(OR(AND($C22="H",J22&gt;=K22),AND($C22="L",J22&lt;=K22)),"Tercapai","Tidak tercapai"))</f>
        <v/>
      </c>
    </row>
    <row r="23">
      <c r="A23" s="10" t="inlineStr">
        <is>
          <t>Nilai kalori realisasi</t>
        </is>
      </c>
      <c r="B23" s="3" t="inlineStr">
        <is>
          <t>kcal/kg GAR</t>
        </is>
      </c>
      <c r="C23" s="62" t="inlineStr">
        <is>
          <t>H</t>
        </is>
      </c>
      <c r="D23" s="28">
        <f>INDEX('C3 GEG Ops Aktual'!$D$24:$O$24,'C1 GEG Setting'!$C$6)</f>
        <v/>
      </c>
      <c r="E23" s="28">
        <f>INDEX('C2 GEG Ops Budget'!$D$24:$O$24,'C1 GEG Setting'!$C$6)</f>
        <v/>
      </c>
      <c r="F23" s="19">
        <f>D23-E23</f>
        <v/>
      </c>
      <c r="G23" s="24">
        <f>IFERROR(F23/ABS(E23),"")</f>
        <v/>
      </c>
      <c r="H23" s="11">
        <f>IF($C23="","",IF(OR(AND($C23="H",D23&gt;=E23),AND($C23="L",D23&lt;=E23)),"Tercapai","Tidak tercapai"))</f>
        <v/>
      </c>
      <c r="J23" s="28">
        <f>IFERROR(SUMPRODUCT(('C3 GEG Ops Aktual'!$D$5:$O$5&lt;='C1 GEG Setting'!$C$6)*'C3 GEG Ops Aktual'!$D$24:$O$24*'C3 GEG Ops Aktual'!$D$19:$O$19)/SUMIF('C3 GEG Ops Aktual'!$D$5:$O$5,"&lt;="&amp;'C1 GEG Setting'!$C$6,'C3 GEG Ops Aktual'!$D$19:$O$19),0)</f>
        <v/>
      </c>
      <c r="K23" s="28">
        <f>IFERROR(SUMPRODUCT(('C2 GEG Ops Budget'!$D$5:$O$5&lt;='C1 GEG Setting'!$C$6)*'C2 GEG Ops Budget'!$D$24:$O$24*'C2 GEG Ops Budget'!$D$19:$O$19)/SUMIF('C2 GEG Ops Budget'!$D$5:$O$5,"&lt;="&amp;'C1 GEG Setting'!$C$6,'C2 GEG Ops Budget'!$D$19:$O$19),0)</f>
        <v/>
      </c>
      <c r="L23" s="19">
        <f>J23-K23</f>
        <v/>
      </c>
      <c r="M23" s="24">
        <f>IFERROR(L23/ABS(K23),"")</f>
        <v/>
      </c>
      <c r="N23" s="11">
        <f>IF($C23="","",IF(OR(AND($C23="H",J23&gt;=K23),AND($C23="L",J23&lt;=K23)),"Tercapai","Tidak tercapai"))</f>
        <v/>
      </c>
    </row>
    <row r="24">
      <c r="A24" s="10" t="inlineStr">
        <is>
          <t>Kurs rata-rata</t>
        </is>
      </c>
      <c r="B24" s="3" t="inlineStr">
        <is>
          <t>Rp/USD</t>
        </is>
      </c>
      <c r="C24" s="62" t="inlineStr"/>
      <c r="D24" s="28">
        <f>INDEX('C3 GEG Ops Aktual'!$D$25:$O$25,'C1 GEG Setting'!$C$6)</f>
        <v/>
      </c>
      <c r="E24" s="28">
        <f>INDEX('C2 GEG Ops Budget'!$D$25:$O$25,'C1 GEG Setting'!$C$6)</f>
        <v/>
      </c>
      <c r="F24" s="19">
        <f>D24-E24</f>
        <v/>
      </c>
      <c r="G24" s="24">
        <f>IFERROR(F24/ABS(E24),"")</f>
        <v/>
      </c>
      <c r="H24" s="11">
        <f>IF($C24="","",IF(OR(AND($C24="H",D24&gt;=E24),AND($C24="L",D24&lt;=E24)),"Tercapai","Tidak tercapai"))</f>
        <v/>
      </c>
      <c r="J24" s="28">
        <f>IFERROR(AVERAGEIFS('C3 GEG Ops Aktual'!$D$25:$O$25,'C3 GEG Ops Aktual'!$D$5:$O$5,"&lt;="&amp;'C1 GEG Setting'!$C$6),0)</f>
        <v/>
      </c>
      <c r="K24" s="28">
        <f>IFERROR(AVERAGEIFS('C2 GEG Ops Budget'!$D$25:$O$25,'C2 GEG Ops Budget'!$D$5:$O$5,"&lt;="&amp;'C1 GEG Setting'!$C$6),0)</f>
        <v/>
      </c>
      <c r="L24" s="19">
        <f>J24-K24</f>
        <v/>
      </c>
      <c r="M24" s="24">
        <f>IFERROR(L24/ABS(K24),"")</f>
        <v/>
      </c>
      <c r="N24" s="11">
        <f>IF($C24="","",IF(OR(AND($C24="H",J24&gt;=K24),AND($C24="L",J24&lt;=K24)),"Tercapai","Tidak tercapai"))</f>
        <v/>
      </c>
    </row>
    <row r="25">
      <c r="A25" s="4" t="inlineStr">
        <is>
          <t>SARANA, BBM &amp; CUACA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</row>
    <row r="26">
      <c r="A26" s="10" t="inlineStr">
        <is>
          <t>Konsumsi BBM</t>
        </is>
      </c>
      <c r="B26" s="3" t="inlineStr">
        <is>
          <t>liter</t>
        </is>
      </c>
      <c r="C26" s="62" t="inlineStr">
        <is>
          <t>L</t>
        </is>
      </c>
      <c r="D26" s="28">
        <f>INDEX('C3 GEG Ops Aktual'!$D$27:$O$27,'C1 GEG Setting'!$C$6)</f>
        <v/>
      </c>
      <c r="E26" s="28">
        <f>INDEX('C2 GEG Ops Budget'!$D$27:$O$27,'C1 GEG Setting'!$C$6)</f>
        <v/>
      </c>
      <c r="F26" s="19">
        <f>D26-E26</f>
        <v/>
      </c>
      <c r="G26" s="24">
        <f>IFERROR(F26/ABS(E26),"")</f>
        <v/>
      </c>
      <c r="H26" s="11">
        <f>IF($C26="","",IF(OR(AND($C26="H",D26&gt;=E26),AND($C26="L",D26&lt;=E26)),"Tercapai","Tidak tercapai"))</f>
        <v/>
      </c>
      <c r="J26" s="28">
        <f>SUMIF('C3 GEG Ops Aktual'!$D$5:$O$5,"&lt;="&amp;'C1 GEG Setting'!$C$6,'C3 GEG Ops Aktual'!$D$27:$O$27)</f>
        <v/>
      </c>
      <c r="K26" s="28">
        <f>SUMIF('C2 GEG Ops Budget'!$D$5:$O$5,"&lt;="&amp;'C1 GEG Setting'!$C$6,'C2 GEG Ops Budget'!$D$27:$O$27)</f>
        <v/>
      </c>
      <c r="L26" s="19">
        <f>J26-K26</f>
        <v/>
      </c>
      <c r="M26" s="24">
        <f>IFERROR(L26/ABS(K26),"")</f>
        <v/>
      </c>
      <c r="N26" s="11">
        <f>IF($C26="","",IF(OR(AND($C26="H",J26&gt;=K26),AND($C26="L",J26&lt;=K26)),"Tercapai","Tidak tercapai"))</f>
        <v/>
      </c>
    </row>
    <row r="27">
      <c r="A27" s="10" t="inlineStr">
        <is>
          <t>Fuel ratio</t>
        </is>
      </c>
      <c r="B27" s="3" t="inlineStr">
        <is>
          <t>L/bcm</t>
        </is>
      </c>
      <c r="C27" s="62" t="inlineStr">
        <is>
          <t>L</t>
        </is>
      </c>
      <c r="D27" s="47">
        <f>IFERROR(D26/D7,0)</f>
        <v/>
      </c>
      <c r="E27" s="47">
        <f>IFERROR(E26/E7,0)</f>
        <v/>
      </c>
      <c r="F27" s="47">
        <f>D27-E27</f>
        <v/>
      </c>
      <c r="G27" s="24">
        <f>IFERROR(F27/ABS(E27),"")</f>
        <v/>
      </c>
      <c r="H27" s="11">
        <f>IF($C27="","",IF(OR(AND($C27="H",D27&gt;=E27),AND($C27="L",D27&lt;=E27)),"Tercapai","Tidak tercapai"))</f>
        <v/>
      </c>
      <c r="J27" s="47">
        <f>IFERROR(J26/J7,0)</f>
        <v/>
      </c>
      <c r="K27" s="47">
        <f>IFERROR(K26/K7,0)</f>
        <v/>
      </c>
      <c r="L27" s="47">
        <f>J27-K27</f>
        <v/>
      </c>
      <c r="M27" s="24">
        <f>IFERROR(L27/ABS(K27),"")</f>
        <v/>
      </c>
      <c r="N27" s="11">
        <f>IF($C27="","",IF(OR(AND($C27="H",J27&gt;=K27),AND($C27="L",J27&lt;=K27)),"Tercapai","Tidak tercapai"))</f>
        <v/>
      </c>
    </row>
    <row r="28">
      <c r="A28" s="10" t="inlineStr">
        <is>
          <t>Jam hujan + slippery</t>
        </is>
      </c>
      <c r="B28" s="3" t="inlineStr">
        <is>
          <t>jam</t>
        </is>
      </c>
      <c r="C28" s="62" t="inlineStr"/>
      <c r="D28" s="28">
        <f>INDEX('C3 GEG Ops Aktual'!$D$29:$O$29,'C1 GEG Setting'!$C$6)</f>
        <v/>
      </c>
      <c r="E28" s="28">
        <f>INDEX('C2 GEG Ops Budget'!$D$29:$O$29,'C1 GEG Setting'!$C$6)</f>
        <v/>
      </c>
      <c r="F28" s="19">
        <f>D28-E28</f>
        <v/>
      </c>
      <c r="G28" s="24">
        <f>IFERROR(F28/ABS(E28),"")</f>
        <v/>
      </c>
      <c r="H28" s="11">
        <f>IF($C28="","",IF(OR(AND($C28="H",D28&gt;=E28),AND($C28="L",D28&lt;=E28)),"Tercapai","Tidak tercapai"))</f>
        <v/>
      </c>
      <c r="J28" s="28">
        <f>SUMIF('C3 GEG Ops Aktual'!$D$5:$O$5,"&lt;="&amp;'C1 GEG Setting'!$C$6,'C3 GEG Ops Aktual'!$D$29:$O$29)</f>
        <v/>
      </c>
      <c r="K28" s="28">
        <f>SUMIF('C2 GEG Ops Budget'!$D$5:$O$5,"&lt;="&amp;'C1 GEG Setting'!$C$6,'C2 GEG Ops Budget'!$D$29:$O$29)</f>
        <v/>
      </c>
      <c r="L28" s="19">
        <f>J28-K28</f>
        <v/>
      </c>
      <c r="M28" s="24">
        <f>IFERROR(L28/ABS(K28),"")</f>
        <v/>
      </c>
      <c r="N28" s="11">
        <f>IF($C28="","",IF(OR(AND($C28="H",J28&gt;=K28),AND($C28="L",J28&lt;=K28)),"Tercapai","Tidak tercapai"))</f>
        <v/>
      </c>
    </row>
    <row r="29">
      <c r="A29" s="10" t="inlineStr">
        <is>
          <t>Physical availability (PA) armada utama</t>
        </is>
      </c>
      <c r="B29" s="3" t="inlineStr">
        <is>
          <t>%</t>
        </is>
      </c>
      <c r="C29" s="62" t="inlineStr">
        <is>
          <t>H</t>
        </is>
      </c>
      <c r="D29" s="42">
        <f>INDEX('C3 GEG Ops Aktual'!$D$30:$O$30,'C1 GEG Setting'!$C$6)</f>
        <v/>
      </c>
      <c r="E29" s="42">
        <f>INDEX('C2 GEG Ops Budget'!$D$30:$O$30,'C1 GEG Setting'!$C$6)</f>
        <v/>
      </c>
      <c r="F29" s="24">
        <f>D29-E29</f>
        <v/>
      </c>
      <c r="G29" s="24">
        <f>IFERROR(F29/ABS(E29),"")</f>
        <v/>
      </c>
      <c r="H29" s="11">
        <f>IF($C29="","",IF(OR(AND($C29="H",D29&gt;=E29),AND($C29="L",D29&lt;=E29)),"Tercapai","Tidak tercapai"))</f>
        <v/>
      </c>
      <c r="J29" s="42">
        <f>IFERROR(AVERAGEIFS('C3 GEG Ops Aktual'!$D$30:$O$30,'C3 GEG Ops Aktual'!$D$5:$O$5,"&lt;="&amp;'C1 GEG Setting'!$C$6),0)</f>
        <v/>
      </c>
      <c r="K29" s="42">
        <f>IFERROR(AVERAGEIFS('C2 GEG Ops Budget'!$D$30:$O$30,'C2 GEG Ops Budget'!$D$5:$O$5,"&lt;="&amp;'C1 GEG Setting'!$C$6),0)</f>
        <v/>
      </c>
      <c r="L29" s="24">
        <f>J29-K29</f>
        <v/>
      </c>
      <c r="M29" s="24">
        <f>IFERROR(L29/ABS(K29),"")</f>
        <v/>
      </c>
      <c r="N29" s="11">
        <f>IF($C29="","",IF(OR(AND($C29="H",J29&gt;=K29),AND($C29="L",J29&lt;=K29)),"Tercapai","Tidak tercapai"))</f>
        <v/>
      </c>
    </row>
    <row r="30">
      <c r="A30" s="10" t="inlineStr">
        <is>
          <t>Use of availability (UA) armada utama</t>
        </is>
      </c>
      <c r="B30" s="3" t="inlineStr">
        <is>
          <t>%</t>
        </is>
      </c>
      <c r="C30" s="62" t="inlineStr">
        <is>
          <t>H</t>
        </is>
      </c>
      <c r="D30" s="42">
        <f>INDEX('C3 GEG Ops Aktual'!$D$31:$O$31,'C1 GEG Setting'!$C$6)</f>
        <v/>
      </c>
      <c r="E30" s="42">
        <f>INDEX('C2 GEG Ops Budget'!$D$31:$O$31,'C1 GEG Setting'!$C$6)</f>
        <v/>
      </c>
      <c r="F30" s="24">
        <f>D30-E30</f>
        <v/>
      </c>
      <c r="G30" s="24">
        <f>IFERROR(F30/ABS(E30),"")</f>
        <v/>
      </c>
      <c r="H30" s="11">
        <f>IF($C30="","",IF(OR(AND($C30="H",D30&gt;=E30),AND($C30="L",D30&lt;=E30)),"Tercapai","Tidak tercapai"))</f>
        <v/>
      </c>
      <c r="J30" s="42">
        <f>IFERROR(AVERAGEIFS('C3 GEG Ops Aktual'!$D$31:$O$31,'C3 GEG Ops Aktual'!$D$5:$O$5,"&lt;="&amp;'C1 GEG Setting'!$C$6),0)</f>
        <v/>
      </c>
      <c r="K30" s="42">
        <f>IFERROR(AVERAGEIFS('C2 GEG Ops Budget'!$D$31:$O$31,'C2 GEG Ops Budget'!$D$5:$O$5,"&lt;="&amp;'C1 GEG Setting'!$C$6),0)</f>
        <v/>
      </c>
      <c r="L30" s="24">
        <f>J30-K30</f>
        <v/>
      </c>
      <c r="M30" s="24">
        <f>IFERROR(L30/ABS(K30),"")</f>
        <v/>
      </c>
      <c r="N30" s="11">
        <f>IF($C30="","",IF(OR(AND($C30="H",J30&gt;=K30),AND($C30="L",J30&lt;=K30)),"Tercapai","Tidak tercapai"))</f>
        <v/>
      </c>
    </row>
    <row r="31">
      <c r="A31" s="4" t="inlineStr">
        <is>
          <t>SDM, K3 &amp; LINGKUNGAN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10" t="inlineStr">
        <is>
          <t>Jumlah tenaga kerja (organik + kontraktor)</t>
        </is>
      </c>
      <c r="B32" s="3" t="inlineStr">
        <is>
          <t>orang</t>
        </is>
      </c>
      <c r="C32" s="62" t="inlineStr"/>
      <c r="D32" s="28">
        <f>INDEX('C3 GEG Ops Aktual'!$D$33:$O$33,'C1 GEG Setting'!$C$6)</f>
        <v/>
      </c>
      <c r="E32" s="28">
        <f>INDEX('C2 GEG Ops Budget'!$D$33:$O$33,'C1 GEG Setting'!$C$6)</f>
        <v/>
      </c>
      <c r="F32" s="19">
        <f>D32-E32</f>
        <v/>
      </c>
      <c r="G32" s="24">
        <f>IFERROR(F32/ABS(E32),"")</f>
        <v/>
      </c>
      <c r="H32" s="11">
        <f>IF($C32="","",IF(OR(AND($C32="H",D32&gt;=E32),AND($C32="L",D32&lt;=E32)),"Tercapai","Tidak tercapai"))</f>
        <v/>
      </c>
      <c r="J32" s="28">
        <f>INDEX('C3 GEG Ops Aktual'!$D$33:$O$33,'C1 GEG Setting'!$C$6)</f>
        <v/>
      </c>
      <c r="K32" s="28">
        <f>INDEX('C2 GEG Ops Budget'!$D$33:$O$33,'C1 GEG Setting'!$C$6)</f>
        <v/>
      </c>
      <c r="L32" s="19">
        <f>J32-K32</f>
        <v/>
      </c>
      <c r="M32" s="24">
        <f>IFERROR(L32/ABS(K32),"")</f>
        <v/>
      </c>
      <c r="N32" s="11">
        <f>IF($C32="","",IF(OR(AND($C32="H",J32&gt;=K32),AND($C32="L",J32&lt;=K32)),"Tercapai","Tidak tercapai"))</f>
        <v/>
      </c>
    </row>
    <row r="33">
      <c r="A33" s="10" t="inlineStr">
        <is>
          <t>Jam kerja orang (man-hours)</t>
        </is>
      </c>
      <c r="B33" s="3" t="inlineStr">
        <is>
          <t>jam</t>
        </is>
      </c>
      <c r="C33" s="62" t="inlineStr"/>
      <c r="D33" s="28">
        <f>INDEX('C3 GEG Ops Aktual'!$D$34:$O$34,'C1 GEG Setting'!$C$6)</f>
        <v/>
      </c>
      <c r="E33" s="28">
        <f>INDEX('C2 GEG Ops Budget'!$D$34:$O$34,'C1 GEG Setting'!$C$6)</f>
        <v/>
      </c>
      <c r="F33" s="19">
        <f>D33-E33</f>
        <v/>
      </c>
      <c r="G33" s="24">
        <f>IFERROR(F33/ABS(E33),"")</f>
        <v/>
      </c>
      <c r="H33" s="11">
        <f>IF($C33="","",IF(OR(AND($C33="H",D33&gt;=E33),AND($C33="L",D33&lt;=E33)),"Tercapai","Tidak tercapai"))</f>
        <v/>
      </c>
      <c r="J33" s="28">
        <f>SUMIF('C3 GEG Ops Aktual'!$D$5:$O$5,"&lt;="&amp;'C1 GEG Setting'!$C$6,'C3 GEG Ops Aktual'!$D$34:$O$34)</f>
        <v/>
      </c>
      <c r="K33" s="28">
        <f>SUMIF('C2 GEG Ops Budget'!$D$5:$O$5,"&lt;="&amp;'C1 GEG Setting'!$C$6,'C2 GEG Ops Budget'!$D$34:$O$34)</f>
        <v/>
      </c>
      <c r="L33" s="19">
        <f>J33-K33</f>
        <v/>
      </c>
      <c r="M33" s="24">
        <f>IFERROR(L33/ABS(K33),"")</f>
        <v/>
      </c>
      <c r="N33" s="11">
        <f>IF($C33="","",IF(OR(AND($C33="H",J33&gt;=K33),AND($C33="L",J33&lt;=K33)),"Tercapai","Tidak tercapai"))</f>
        <v/>
      </c>
    </row>
    <row r="34">
      <c r="A34" s="10" t="inlineStr">
        <is>
          <t>Kecelakaan hilang waktu kerja (LTI)</t>
        </is>
      </c>
      <c r="B34" s="3" t="inlineStr">
        <is>
          <t>kasus</t>
        </is>
      </c>
      <c r="C34" s="62" t="inlineStr">
        <is>
          <t>L</t>
        </is>
      </c>
      <c r="D34" s="28">
        <f>INDEX('C3 GEG Ops Aktual'!$D$35:$O$35,'C1 GEG Setting'!$C$6)</f>
        <v/>
      </c>
      <c r="E34" s="28">
        <f>INDEX('C2 GEG Ops Budget'!$D$35:$O$35,'C1 GEG Setting'!$C$6)</f>
        <v/>
      </c>
      <c r="F34" s="19">
        <f>D34-E34</f>
        <v/>
      </c>
      <c r="G34" s="24">
        <f>IFERROR(F34/ABS(E34),"")</f>
        <v/>
      </c>
      <c r="H34" s="11">
        <f>IF($C34="","",IF(OR(AND($C34="H",D34&gt;=E34),AND($C34="L",D34&lt;=E34)),"Tercapai","Tidak tercapai"))</f>
        <v/>
      </c>
      <c r="J34" s="28">
        <f>SUMIF('C3 GEG Ops Aktual'!$D$5:$O$5,"&lt;="&amp;'C1 GEG Setting'!$C$6,'C3 GEG Ops Aktual'!$D$35:$O$35)</f>
        <v/>
      </c>
      <c r="K34" s="28">
        <f>SUMIF('C2 GEG Ops Budget'!$D$5:$O$5,"&lt;="&amp;'C1 GEG Setting'!$C$6,'C2 GEG Ops Budget'!$D$35:$O$35)</f>
        <v/>
      </c>
      <c r="L34" s="19">
        <f>J34-K34</f>
        <v/>
      </c>
      <c r="M34" s="24">
        <f>IFERROR(L34/ABS(K34),"")</f>
        <v/>
      </c>
      <c r="N34" s="11">
        <f>IF($C34="","",IF(OR(AND($C34="H",J34&gt;=K34),AND($C34="L",J34&lt;=K34)),"Tercapai","Tidak tercapai"))</f>
        <v/>
      </c>
    </row>
    <row r="35">
      <c r="A35" s="10" t="inlineStr">
        <is>
          <t>LTIFR</t>
        </is>
      </c>
      <c r="B35" s="3" t="inlineStr">
        <is>
          <t>per 1 juta jam</t>
        </is>
      </c>
      <c r="C35" s="62" t="inlineStr">
        <is>
          <t>L</t>
        </is>
      </c>
      <c r="D35" s="47">
        <f>IFERROR(D34*1000000/D33,0)</f>
        <v/>
      </c>
      <c r="E35" s="47">
        <f>IFERROR(E34*1000000/E33,0)</f>
        <v/>
      </c>
      <c r="F35" s="47">
        <f>D35-E35</f>
        <v/>
      </c>
      <c r="G35" s="24">
        <f>IFERROR(F35/ABS(E35),"")</f>
        <v/>
      </c>
      <c r="H35" s="11">
        <f>IF($C35="","",IF(OR(AND($C35="H",D35&gt;=E35),AND($C35="L",D35&lt;=E35)),"Tercapai","Tidak tercapai"))</f>
        <v/>
      </c>
      <c r="J35" s="47">
        <f>IFERROR(J34*1000000/J33,0)</f>
        <v/>
      </c>
      <c r="K35" s="47">
        <f>IFERROR(K34*1000000/K33,0)</f>
        <v/>
      </c>
      <c r="L35" s="47">
        <f>J35-K35</f>
        <v/>
      </c>
      <c r="M35" s="24">
        <f>IFERROR(L35/ABS(K35),"")</f>
        <v/>
      </c>
      <c r="N35" s="11">
        <f>IF($C35="","",IF(OR(AND($C35="H",J35&gt;=K35),AND($C35="L",J35&lt;=K35)),"Tercapai","Tidak tercapai"))</f>
        <v/>
      </c>
    </row>
    <row r="36">
      <c r="A36" s="10" t="inlineStr">
        <is>
          <t>Bukaan lahan</t>
        </is>
      </c>
      <c r="B36" s="3" t="inlineStr">
        <is>
          <t>ha</t>
        </is>
      </c>
      <c r="C36" s="62" t="inlineStr"/>
      <c r="D36" s="88">
        <f>INDEX('C3 GEG Ops Aktual'!$D$37:$O$37,'C1 GEG Setting'!$C$6)</f>
        <v/>
      </c>
      <c r="E36" s="88">
        <f>INDEX('C2 GEG Ops Budget'!$D$37:$O$37,'C1 GEG Setting'!$C$6)</f>
        <v/>
      </c>
      <c r="F36" s="89">
        <f>D36-E36</f>
        <v/>
      </c>
      <c r="G36" s="24">
        <f>IFERROR(F36/ABS(E36),"")</f>
        <v/>
      </c>
      <c r="H36" s="11">
        <f>IF($C36="","",IF(OR(AND($C36="H",D36&gt;=E36),AND($C36="L",D36&lt;=E36)),"Tercapai","Tidak tercapai"))</f>
        <v/>
      </c>
      <c r="J36" s="88">
        <f>SUMIF('C3 GEG Ops Aktual'!$D$5:$O$5,"&lt;="&amp;'C1 GEG Setting'!$C$6,'C3 GEG Ops Aktual'!$D$37:$O$37)</f>
        <v/>
      </c>
      <c r="K36" s="88">
        <f>SUMIF('C2 GEG Ops Budget'!$D$5:$O$5,"&lt;="&amp;'C1 GEG Setting'!$C$6,'C2 GEG Ops Budget'!$D$37:$O$37)</f>
        <v/>
      </c>
      <c r="L36" s="89">
        <f>J36-K36</f>
        <v/>
      </c>
      <c r="M36" s="24">
        <f>IFERROR(L36/ABS(K36),"")</f>
        <v/>
      </c>
      <c r="N36" s="11">
        <f>IF($C36="","",IF(OR(AND($C36="H",J36&gt;=K36),AND($C36="L",J36&lt;=K36)),"Tercapai","Tidak tercapai"))</f>
        <v/>
      </c>
    </row>
    <row r="37">
      <c r="A37" s="10" t="inlineStr">
        <is>
          <t>Reklamasi &amp; revegetasi</t>
        </is>
      </c>
      <c r="B37" s="3" t="inlineStr">
        <is>
          <t>ha</t>
        </is>
      </c>
      <c r="C37" s="62" t="inlineStr">
        <is>
          <t>H</t>
        </is>
      </c>
      <c r="D37" s="88">
        <f>INDEX('C3 GEG Ops Aktual'!$D$38:$O$38,'C1 GEG Setting'!$C$6)</f>
        <v/>
      </c>
      <c r="E37" s="88">
        <f>INDEX('C2 GEG Ops Budget'!$D$38:$O$38,'C1 GEG Setting'!$C$6)</f>
        <v/>
      </c>
      <c r="F37" s="89">
        <f>D37-E37</f>
        <v/>
      </c>
      <c r="G37" s="24">
        <f>IFERROR(F37/ABS(E37),"")</f>
        <v/>
      </c>
      <c r="H37" s="11">
        <f>IF($C37="","",IF(OR(AND($C37="H",D37&gt;=E37),AND($C37="L",D37&lt;=E37)),"Tercapai","Tidak tercapai"))</f>
        <v/>
      </c>
      <c r="J37" s="88">
        <f>SUMIF('C3 GEG Ops Aktual'!$D$5:$O$5,"&lt;="&amp;'C1 GEG Setting'!$C$6,'C3 GEG Ops Aktual'!$D$38:$O$38)</f>
        <v/>
      </c>
      <c r="K37" s="88">
        <f>SUMIF('C2 GEG Ops Budget'!$D$5:$O$5,"&lt;="&amp;'C1 GEG Setting'!$C$6,'C2 GEG Ops Budget'!$D$38:$O$38)</f>
        <v/>
      </c>
      <c r="L37" s="89">
        <f>J37-K37</f>
        <v/>
      </c>
      <c r="M37" s="24">
        <f>IFERROR(L37/ABS(K37),"")</f>
        <v/>
      </c>
      <c r="N37" s="11">
        <f>IF($C37="","",IF(OR(AND($C37="H",J37&gt;=K37),AND($C37="L",J37&lt;=K37)),"Tercapai","Tidak tercapai"))</f>
        <v/>
      </c>
    </row>
  </sheetData>
  <conditionalFormatting sqref="H6:H38">
    <cfRule type="cellIs" priority="1" operator="equal" dxfId="0">
      <formula>"Tercapai"</formula>
    </cfRule>
    <cfRule type="cellIs" priority="2" operator="equal" dxfId="1">
      <formula>"Tidak tercapai"</formula>
    </cfRule>
  </conditionalFormatting>
  <conditionalFormatting sqref="N6:N38">
    <cfRule type="cellIs" priority="3" operator="equal" dxfId="0">
      <formula>"Tercapai"</formula>
    </cfRule>
    <cfRule type="cellIs" priority="4" operator="equal" dxfId="1">
      <formula>"Tidak tercapai"</formula>
    </cfRule>
  </conditionalFormatting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2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3" customWidth="1" min="3" max="3"/>
    <col width="13" customWidth="1" min="4" max="4"/>
    <col width="12" customWidth="1" min="5" max="5"/>
    <col width="12" customWidth="1" min="6" max="6"/>
    <col width="11" customWidth="1" min="7" max="7"/>
    <col width="14" customWidth="1" min="8" max="8"/>
    <col width="2" customWidth="1" min="9" max="9"/>
    <col width="13" customWidth="1" min="10" max="10"/>
    <col width="13" customWidth="1" min="11" max="11"/>
    <col width="12" customWidth="1" min="12" max="12"/>
    <col width="12" customWidth="1" min="13" max="13"/>
    <col width="11" customWidth="1" min="14" max="14"/>
    <col width="14" customWidth="1" min="15" max="15"/>
  </cols>
  <sheetData>
    <row r="1">
      <c r="A1" s="1" t="inlineStr">
        <is>
          <t>GEG – Cost of Production (COP) per Unit: Aktual vs 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>
        <f>"Bulan laporan: "&amp;'C1 GEG Setting'!$C$7&amp;" "&amp;'C1 GEG Setting'!$C$5&amp;" | USD/unit = Rp juta × 1.000.000 ÷ volume ÷ kurs rata-rata periode"</f>
        <v/>
      </c>
    </row>
    <row r="5" ht="42" customHeight="1">
      <c r="A5" s="16" t="inlineStr">
        <is>
          <t>Komponen</t>
        </is>
      </c>
      <c r="B5" s="16" t="inlineStr">
        <is>
          <t>Basis</t>
        </is>
      </c>
      <c r="C5" s="16" t="inlineStr">
        <is>
          <t>Bln ini Aktual (Rp juta)</t>
        </is>
      </c>
      <c r="D5" s="16" t="inlineStr">
        <is>
          <t>Bln ini Budget (Rp juta)</t>
        </is>
      </c>
      <c r="E5" s="16" t="inlineStr">
        <is>
          <t>Bln ini Aktual USD/unit</t>
        </is>
      </c>
      <c r="F5" s="16" t="inlineStr">
        <is>
          <t>Bln ini Budget USD/unit</t>
        </is>
      </c>
      <c r="G5" s="16" t="inlineStr">
        <is>
          <t>Varians USD/unit</t>
        </is>
      </c>
      <c r="H5" s="16" t="inlineStr">
        <is>
          <t>Status</t>
        </is>
      </c>
      <c r="I5" s="16" t="inlineStr"/>
      <c r="J5" s="16" t="inlineStr">
        <is>
          <t>YTD Aktual (Rp juta)</t>
        </is>
      </c>
      <c r="K5" s="16" t="inlineStr">
        <is>
          <t>YTD Budget (Rp juta)</t>
        </is>
      </c>
      <c r="L5" s="16" t="inlineStr">
        <is>
          <t>YTD Aktual USD/unit</t>
        </is>
      </c>
      <c r="M5" s="16" t="inlineStr">
        <is>
          <t>YTD Budget USD/unit</t>
        </is>
      </c>
      <c r="N5" s="16" t="inlineStr">
        <is>
          <t>Varians USD/unit</t>
        </is>
      </c>
      <c r="O5" s="16" t="inlineStr">
        <is>
          <t>Status</t>
        </is>
      </c>
    </row>
    <row r="6">
      <c r="A6" s="10" t="inlineStr">
        <is>
          <t xml:space="preserve">   Jasa kontraktor OB</t>
        </is>
      </c>
      <c r="B6" s="3" t="inlineStr">
        <is>
          <t>per bcm OB</t>
        </is>
      </c>
      <c r="C6" s="28">
        <f>'C8 GEG Lap LR'!D16</f>
        <v/>
      </c>
      <c r="D6" s="28">
        <f>'C8 GEG Lap LR'!E16</f>
        <v/>
      </c>
      <c r="E6" s="39">
        <f>IFERROR(C6*1000000/('C9 GEG Lap Ops'!D7)/'C9 GEG Lap Ops'!D24,0)</f>
        <v/>
      </c>
      <c r="F6" s="39">
        <f>IFERROR(D6*1000000/('C9 GEG Lap Ops'!E7)/'C9 GEG Lap Ops'!E24,0)</f>
        <v/>
      </c>
      <c r="G6" s="47">
        <f>E6-F6</f>
        <v/>
      </c>
      <c r="H6" s="11">
        <f>IF(E6&lt;=F6,"Efisien","Di atas budget")</f>
        <v/>
      </c>
      <c r="J6" s="28">
        <f>'C8 GEG Lap LR'!J16</f>
        <v/>
      </c>
      <c r="K6" s="28">
        <f>'C8 GEG Lap LR'!K16</f>
        <v/>
      </c>
      <c r="L6" s="39">
        <f>IFERROR(J6*1000000/('C9 GEG Lap Ops'!J7)/'C9 GEG Lap Ops'!J24,0)</f>
        <v/>
      </c>
      <c r="M6" s="39">
        <f>IFERROR(K6*1000000/('C9 GEG Lap Ops'!K7)/'C9 GEG Lap Ops'!K24,0)</f>
        <v/>
      </c>
      <c r="N6" s="47">
        <f>L6-M6</f>
        <v/>
      </c>
      <c r="O6" s="11">
        <f>IF(L6&lt;=M6,"Efisien","Di atas budget")</f>
        <v/>
      </c>
    </row>
    <row r="7">
      <c r="A7" s="10" t="inlineStr">
        <is>
          <t xml:space="preserve">   BBM</t>
        </is>
      </c>
      <c r="B7" s="3" t="inlineStr">
        <is>
          <t>per bcm OB</t>
        </is>
      </c>
      <c r="C7" s="28">
        <f>'C8 GEG Lap LR'!D17</f>
        <v/>
      </c>
      <c r="D7" s="28">
        <f>'C8 GEG Lap LR'!E17</f>
        <v/>
      </c>
      <c r="E7" s="39">
        <f>IFERROR(C7*1000000/('C9 GEG Lap Ops'!D7)/'C9 GEG Lap Ops'!D24,0)</f>
        <v/>
      </c>
      <c r="F7" s="39">
        <f>IFERROR(D7*1000000/('C9 GEG Lap Ops'!E7)/'C9 GEG Lap Ops'!E24,0)</f>
        <v/>
      </c>
      <c r="G7" s="47">
        <f>E7-F7</f>
        <v/>
      </c>
      <c r="H7" s="11">
        <f>IF(E7&lt;=F7,"Efisien","Di atas budget")</f>
        <v/>
      </c>
      <c r="J7" s="28">
        <f>'C8 GEG Lap LR'!J17</f>
        <v/>
      </c>
      <c r="K7" s="28">
        <f>'C8 GEG Lap LR'!K17</f>
        <v/>
      </c>
      <c r="L7" s="39">
        <f>IFERROR(J7*1000000/('C9 GEG Lap Ops'!J7)/'C9 GEG Lap Ops'!J24,0)</f>
        <v/>
      </c>
      <c r="M7" s="39">
        <f>IFERROR(K7*1000000/('C9 GEG Lap Ops'!K7)/'C9 GEG Lap Ops'!K24,0)</f>
        <v/>
      </c>
      <c r="N7" s="47">
        <f>L7-M7</f>
        <v/>
      </c>
      <c r="O7" s="11">
        <f>IF(L7&lt;=M7,"Efisien","Di atas budget")</f>
        <v/>
      </c>
    </row>
    <row r="8">
      <c r="A8" s="10" t="inlineStr">
        <is>
          <t xml:space="preserve">   Peledakan</t>
        </is>
      </c>
      <c r="B8" s="3" t="inlineStr">
        <is>
          <t>per bcm OB</t>
        </is>
      </c>
      <c r="C8" s="28">
        <f>'C8 GEG Lap LR'!D18</f>
        <v/>
      </c>
      <c r="D8" s="28">
        <f>'C8 GEG Lap LR'!E18</f>
        <v/>
      </c>
      <c r="E8" s="39">
        <f>IFERROR(C8*1000000/('C9 GEG Lap Ops'!D7)/'C9 GEG Lap Ops'!D24,0)</f>
        <v/>
      </c>
      <c r="F8" s="39">
        <f>IFERROR(D8*1000000/('C9 GEG Lap Ops'!E7)/'C9 GEG Lap Ops'!E24,0)</f>
        <v/>
      </c>
      <c r="G8" s="47">
        <f>E8-F8</f>
        <v/>
      </c>
      <c r="H8" s="11">
        <f>IF(E8&lt;=F8,"Efisien","Di atas budget")</f>
        <v/>
      </c>
      <c r="J8" s="28">
        <f>'C8 GEG Lap LR'!J18</f>
        <v/>
      </c>
      <c r="K8" s="28">
        <f>'C8 GEG Lap LR'!K18</f>
        <v/>
      </c>
      <c r="L8" s="39">
        <f>IFERROR(J8*1000000/('C9 GEG Lap Ops'!J7)/'C9 GEG Lap Ops'!J24,0)</f>
        <v/>
      </c>
      <c r="M8" s="39">
        <f>IFERROR(K8*1000000/('C9 GEG Lap Ops'!K7)/'C9 GEG Lap Ops'!K24,0)</f>
        <v/>
      </c>
      <c r="N8" s="47">
        <f>L8-M8</f>
        <v/>
      </c>
      <c r="O8" s="11">
        <f>IF(L8&lt;=M8,"Efisien","Di atas budget")</f>
        <v/>
      </c>
    </row>
    <row r="9">
      <c r="A9" s="48" t="inlineStr">
        <is>
          <t>Total biaya pengupasan OB per bcm</t>
        </is>
      </c>
      <c r="B9" s="49" t="inlineStr">
        <is>
          <t>per bcm OB</t>
        </is>
      </c>
      <c r="C9" s="50">
        <f>'C8 GEG Lap LR'!D16+'C8 GEG Lap LR'!D17+'C8 GEG Lap LR'!D18</f>
        <v/>
      </c>
      <c r="D9" s="50">
        <f>'C8 GEG Lap LR'!E16+'C8 GEG Lap LR'!E17+'C8 GEG Lap LR'!E18</f>
        <v/>
      </c>
      <c r="E9" s="52">
        <f>IFERROR(C9*1000000/('C9 GEG Lap Ops'!D7)/'C9 GEG Lap Ops'!D24,0)</f>
        <v/>
      </c>
      <c r="F9" s="52">
        <f>IFERROR(D9*1000000/('C9 GEG Lap Ops'!E7)/'C9 GEG Lap Ops'!E24,0)</f>
        <v/>
      </c>
      <c r="G9" s="53">
        <f>E9-F9</f>
        <v/>
      </c>
      <c r="H9" s="55">
        <f>IF(E9&lt;=F9,"Efisien","Di atas budget")</f>
        <v/>
      </c>
      <c r="I9" s="72" t="n"/>
      <c r="J9" s="50">
        <f>'C8 GEG Lap LR'!J16+'C8 GEG Lap LR'!J17+'C8 GEG Lap LR'!J18</f>
        <v/>
      </c>
      <c r="K9" s="50">
        <f>'C8 GEG Lap LR'!K16+'C8 GEG Lap LR'!K17+'C8 GEG Lap LR'!K18</f>
        <v/>
      </c>
      <c r="L9" s="52">
        <f>IFERROR(J9*1000000/('C9 GEG Lap Ops'!J7)/'C9 GEG Lap Ops'!J24,0)</f>
        <v/>
      </c>
      <c r="M9" s="52">
        <f>IFERROR(K9*1000000/('C9 GEG Lap Ops'!K7)/'C9 GEG Lap Ops'!K24,0)</f>
        <v/>
      </c>
      <c r="N9" s="53">
        <f>L9-M9</f>
        <v/>
      </c>
      <c r="O9" s="55">
        <f>IF(L9&lt;=M9,"Efisien","Di atas budget")</f>
        <v/>
      </c>
    </row>
    <row r="10">
      <c r="A10" s="10" t="inlineStr">
        <is>
          <t xml:space="preserve">   Coal getting</t>
        </is>
      </c>
      <c r="B10" s="3" t="inlineStr">
        <is>
          <t>per ton produksi</t>
        </is>
      </c>
      <c r="C10" s="28">
        <f>'C8 GEG Lap LR'!D19</f>
        <v/>
      </c>
      <c r="D10" s="28">
        <f>'C8 GEG Lap LR'!E19</f>
        <v/>
      </c>
      <c r="E10" s="39">
        <f>IFERROR(C10*1000000/('C9 GEG Lap Ops'!D8)/'C9 GEG Lap Ops'!D24,0)</f>
        <v/>
      </c>
      <c r="F10" s="39">
        <f>IFERROR(D10*1000000/('C9 GEG Lap Ops'!E8)/'C9 GEG Lap Ops'!E24,0)</f>
        <v/>
      </c>
      <c r="G10" s="47">
        <f>E10-F10</f>
        <v/>
      </c>
      <c r="H10" s="11">
        <f>IF(E10&lt;=F10,"Efisien","Di atas budget")</f>
        <v/>
      </c>
      <c r="J10" s="28">
        <f>'C8 GEG Lap LR'!J19</f>
        <v/>
      </c>
      <c r="K10" s="28">
        <f>'C8 GEG Lap LR'!K19</f>
        <v/>
      </c>
      <c r="L10" s="39">
        <f>IFERROR(J10*1000000/('C9 GEG Lap Ops'!J8)/'C9 GEG Lap Ops'!J24,0)</f>
        <v/>
      </c>
      <c r="M10" s="39">
        <f>IFERROR(K10*1000000/('C9 GEG Lap Ops'!K8)/'C9 GEG Lap Ops'!K24,0)</f>
        <v/>
      </c>
      <c r="N10" s="47">
        <f>L10-M10</f>
        <v/>
      </c>
      <c r="O10" s="11">
        <f>IF(L10&lt;=M10,"Efisien","Di atas budget")</f>
        <v/>
      </c>
    </row>
    <row r="11">
      <c r="A11" s="10" t="inlineStr">
        <is>
          <t xml:space="preserve">   Biaya tambang tetap (sewa, pemeliharaan, dewatering, survei)</t>
        </is>
      </c>
      <c r="B11" s="3" t="inlineStr">
        <is>
          <t>per ton produksi</t>
        </is>
      </c>
      <c r="C11" s="28">
        <f>'C8 GEG Lap LR'!D20+'C8 GEG Lap LR'!D21+'C8 GEG Lap LR'!D22+'C8 GEG Lap LR'!D23</f>
        <v/>
      </c>
      <c r="D11" s="28">
        <f>'C8 GEG Lap LR'!E20+'C8 GEG Lap LR'!E21+'C8 GEG Lap LR'!E22+'C8 GEG Lap LR'!E23</f>
        <v/>
      </c>
      <c r="E11" s="39">
        <f>IFERROR(C11*1000000/('C9 GEG Lap Ops'!D8)/'C9 GEG Lap Ops'!D24,0)</f>
        <v/>
      </c>
      <c r="F11" s="39">
        <f>IFERROR(D11*1000000/('C9 GEG Lap Ops'!E8)/'C9 GEG Lap Ops'!E24,0)</f>
        <v/>
      </c>
      <c r="G11" s="47">
        <f>E11-F11</f>
        <v/>
      </c>
      <c r="H11" s="11">
        <f>IF(E11&lt;=F11,"Efisien","Di atas budget")</f>
        <v/>
      </c>
      <c r="J11" s="28">
        <f>'C8 GEG Lap LR'!J20+'C8 GEG Lap LR'!J21+'C8 GEG Lap LR'!J22+'C8 GEG Lap LR'!J23</f>
        <v/>
      </c>
      <c r="K11" s="28">
        <f>'C8 GEG Lap LR'!K20+'C8 GEG Lap LR'!K21+'C8 GEG Lap LR'!K22+'C8 GEG Lap LR'!K23</f>
        <v/>
      </c>
      <c r="L11" s="39">
        <f>IFERROR(J11*1000000/('C9 GEG Lap Ops'!J8)/'C9 GEG Lap Ops'!J24,0)</f>
        <v/>
      </c>
      <c r="M11" s="39">
        <f>IFERROR(K11*1000000/('C9 GEG Lap Ops'!K8)/'C9 GEG Lap Ops'!K24,0)</f>
        <v/>
      </c>
      <c r="N11" s="47">
        <f>L11-M11</f>
        <v/>
      </c>
      <c r="O11" s="11">
        <f>IF(L11&lt;=M11,"Efisien","Di atas budget")</f>
        <v/>
      </c>
    </row>
    <row r="12">
      <c r="A12" s="48" t="inlineStr">
        <is>
          <t>TOTAL MINING COST per ton produksi</t>
        </is>
      </c>
      <c r="B12" s="49" t="inlineStr">
        <is>
          <t>per ton produksi</t>
        </is>
      </c>
      <c r="C12" s="50">
        <f>'C8 GEG Lap LR'!D24</f>
        <v/>
      </c>
      <c r="D12" s="50">
        <f>'C8 GEG Lap LR'!E24</f>
        <v/>
      </c>
      <c r="E12" s="52">
        <f>IFERROR(C12*1000000/('C9 GEG Lap Ops'!D8)/'C9 GEG Lap Ops'!D24,0)</f>
        <v/>
      </c>
      <c r="F12" s="52">
        <f>IFERROR(D12*1000000/('C9 GEG Lap Ops'!E8)/'C9 GEG Lap Ops'!E24,0)</f>
        <v/>
      </c>
      <c r="G12" s="53">
        <f>E12-F12</f>
        <v/>
      </c>
      <c r="H12" s="55">
        <f>IF(E12&lt;=F12,"Efisien","Di atas budget")</f>
        <v/>
      </c>
      <c r="I12" s="72" t="n"/>
      <c r="J12" s="50">
        <f>'C8 GEG Lap LR'!J24</f>
        <v/>
      </c>
      <c r="K12" s="50">
        <f>'C8 GEG Lap LR'!K24</f>
        <v/>
      </c>
      <c r="L12" s="52">
        <f>IFERROR(J12*1000000/('C9 GEG Lap Ops'!J8)/'C9 GEG Lap Ops'!J24,0)</f>
        <v/>
      </c>
      <c r="M12" s="52">
        <f>IFERROR(K12*1000000/('C9 GEG Lap Ops'!K8)/'C9 GEG Lap Ops'!K24,0)</f>
        <v/>
      </c>
      <c r="N12" s="53">
        <f>L12-M12</f>
        <v/>
      </c>
      <c r="O12" s="55">
        <f>IF(L12&lt;=M12,"Efisien","Di atas budget")</f>
        <v/>
      </c>
    </row>
    <row r="13">
      <c r="A13" s="10" t="inlineStr">
        <is>
          <t xml:space="preserve">   Crushing &amp; pengolahan</t>
        </is>
      </c>
      <c r="B13" s="3" t="inlineStr">
        <is>
          <t>per ton produksi</t>
        </is>
      </c>
      <c r="C13" s="28">
        <f>'C8 GEG Lap LR'!D26</f>
        <v/>
      </c>
      <c r="D13" s="28">
        <f>'C8 GEG Lap LR'!E26</f>
        <v/>
      </c>
      <c r="E13" s="39">
        <f>IFERROR(C13*1000000/('C9 GEG Lap Ops'!D8)/'C9 GEG Lap Ops'!D24,0)</f>
        <v/>
      </c>
      <c r="F13" s="39">
        <f>IFERROR(D13*1000000/('C9 GEG Lap Ops'!E8)/'C9 GEG Lap Ops'!E24,0)</f>
        <v/>
      </c>
      <c r="G13" s="47">
        <f>E13-F13</f>
        <v/>
      </c>
      <c r="H13" s="11">
        <f>IF(E13&lt;=F13,"Efisien","Di atas budget")</f>
        <v/>
      </c>
      <c r="J13" s="28">
        <f>'C8 GEG Lap LR'!J26</f>
        <v/>
      </c>
      <c r="K13" s="28">
        <f>'C8 GEG Lap LR'!K26</f>
        <v/>
      </c>
      <c r="L13" s="39">
        <f>IFERROR(J13*1000000/('C9 GEG Lap Ops'!J8)/'C9 GEG Lap Ops'!J24,0)</f>
        <v/>
      </c>
      <c r="M13" s="39">
        <f>IFERROR(K13*1000000/('C9 GEG Lap Ops'!K8)/'C9 GEG Lap Ops'!K24,0)</f>
        <v/>
      </c>
      <c r="N13" s="47">
        <f>L13-M13</f>
        <v/>
      </c>
      <c r="O13" s="11">
        <f>IF(L13&lt;=M13,"Efisien","Di atas budget")</f>
        <v/>
      </c>
    </row>
    <row r="14">
      <c r="A14" s="10" t="inlineStr">
        <is>
          <t xml:space="preserve">   Hauling per ton</t>
        </is>
      </c>
      <c r="B14" s="3" t="inlineStr">
        <is>
          <t>per ton hauling</t>
        </is>
      </c>
      <c r="C14" s="28">
        <f>'C8 GEG Lap LR'!D27</f>
        <v/>
      </c>
      <c r="D14" s="28">
        <f>'C8 GEG Lap LR'!E27</f>
        <v/>
      </c>
      <c r="E14" s="39">
        <f>IFERROR(C14*1000000/('C9 GEG Lap Ops'!D10)/'C9 GEG Lap Ops'!D24,0)</f>
        <v/>
      </c>
      <c r="F14" s="39">
        <f>IFERROR(D14*1000000/('C9 GEG Lap Ops'!E10)/'C9 GEG Lap Ops'!E24,0)</f>
        <v/>
      </c>
      <c r="G14" s="47">
        <f>E14-F14</f>
        <v/>
      </c>
      <c r="H14" s="11">
        <f>IF(E14&lt;=F14,"Efisien","Di atas budget")</f>
        <v/>
      </c>
      <c r="J14" s="28">
        <f>'C8 GEG Lap LR'!J27</f>
        <v/>
      </c>
      <c r="K14" s="28">
        <f>'C8 GEG Lap LR'!K27</f>
        <v/>
      </c>
      <c r="L14" s="39">
        <f>IFERROR(J14*1000000/('C9 GEG Lap Ops'!J10)/'C9 GEG Lap Ops'!J24,0)</f>
        <v/>
      </c>
      <c r="M14" s="39">
        <f>IFERROR(K14*1000000/('C9 GEG Lap Ops'!K10)/'C9 GEG Lap Ops'!K24,0)</f>
        <v/>
      </c>
      <c r="N14" s="47">
        <f>L14-M14</f>
        <v/>
      </c>
      <c r="O14" s="11">
        <f>IF(L14&lt;=M14,"Efisien","Di atas budget")</f>
        <v/>
      </c>
    </row>
    <row r="15">
      <c r="A15" s="10" t="inlineStr">
        <is>
          <t xml:space="preserve">   Hauling per ton-km</t>
        </is>
      </c>
      <c r="B15" s="3" t="inlineStr">
        <is>
          <t>per ton-km</t>
        </is>
      </c>
      <c r="C15" s="28">
        <f>'C8 GEG Lap LR'!D27</f>
        <v/>
      </c>
      <c r="D15" s="28">
        <f>'C8 GEG Lap LR'!E27</f>
        <v/>
      </c>
      <c r="E15" s="56">
        <f>IFERROR(C15*1000000/('C9 GEG Lap Ops'!D10*'C9 GEG Lap Ops'!D11)/'C9 GEG Lap Ops'!D24,0)</f>
        <v/>
      </c>
      <c r="F15" s="56">
        <f>IFERROR(D15*1000000/('C9 GEG Lap Ops'!E10*'C9 GEG Lap Ops'!E11)/'C9 GEG Lap Ops'!E24,0)</f>
        <v/>
      </c>
      <c r="G15" s="57">
        <f>E15-F15</f>
        <v/>
      </c>
      <c r="H15" s="11">
        <f>IF(E15&lt;=F15,"Efisien","Di atas budget")</f>
        <v/>
      </c>
      <c r="J15" s="28">
        <f>'C8 GEG Lap LR'!J27</f>
        <v/>
      </c>
      <c r="K15" s="28">
        <f>'C8 GEG Lap LR'!K27</f>
        <v/>
      </c>
      <c r="L15" s="56">
        <f>IFERROR(J15*1000000/('C9 GEG Lap Ops'!J10*'C9 GEG Lap Ops'!J11)/'C9 GEG Lap Ops'!J24,0)</f>
        <v/>
      </c>
      <c r="M15" s="56">
        <f>IFERROR(K15*1000000/('C9 GEG Lap Ops'!K10*'C9 GEG Lap Ops'!K11)/'C9 GEG Lap Ops'!K24,0)</f>
        <v/>
      </c>
      <c r="N15" s="57">
        <f>L15-M15</f>
        <v/>
      </c>
      <c r="O15" s="11">
        <f>IF(L15&lt;=M15,"Efisien","Di atas budget")</f>
        <v/>
      </c>
    </row>
    <row r="16">
      <c r="A16" s="10" t="inlineStr">
        <is>
          <t xml:space="preserve">   Pelabuhan &amp; stockpile</t>
        </is>
      </c>
      <c r="B16" s="3" t="inlineStr">
        <is>
          <t>per ton jual</t>
        </is>
      </c>
      <c r="C16" s="28">
        <f>'C8 GEG Lap LR'!D28</f>
        <v/>
      </c>
      <c r="D16" s="28">
        <f>'C8 GEG Lap LR'!E28</f>
        <v/>
      </c>
      <c r="E16" s="39">
        <f>IFERROR(C16*1000000/('C9 GEG Lap Ops'!D18)/'C9 GEG Lap Ops'!D24,0)</f>
        <v/>
      </c>
      <c r="F16" s="39">
        <f>IFERROR(D16*1000000/('C9 GEG Lap Ops'!E18)/'C9 GEG Lap Ops'!E24,0)</f>
        <v/>
      </c>
      <c r="G16" s="47">
        <f>E16-F16</f>
        <v/>
      </c>
      <c r="H16" s="11">
        <f>IF(E16&lt;=F16,"Efisien","Di atas budget")</f>
        <v/>
      </c>
      <c r="J16" s="28">
        <f>'C8 GEG Lap LR'!J28</f>
        <v/>
      </c>
      <c r="K16" s="28">
        <f>'C8 GEG Lap LR'!K28</f>
        <v/>
      </c>
      <c r="L16" s="39">
        <f>IFERROR(J16*1000000/('C9 GEG Lap Ops'!J18)/'C9 GEG Lap Ops'!J24,0)</f>
        <v/>
      </c>
      <c r="M16" s="39">
        <f>IFERROR(K16*1000000/('C9 GEG Lap Ops'!K18)/'C9 GEG Lap Ops'!K24,0)</f>
        <v/>
      </c>
      <c r="N16" s="47">
        <f>L16-M16</f>
        <v/>
      </c>
      <c r="O16" s="11">
        <f>IF(L16&lt;=M16,"Efisien","Di atas budget")</f>
        <v/>
      </c>
    </row>
    <row r="17">
      <c r="A17" s="10" t="inlineStr">
        <is>
          <t xml:space="preserve">   Tongkang &amp; transshipment</t>
        </is>
      </c>
      <c r="B17" s="3" t="inlineStr">
        <is>
          <t>per ton barging</t>
        </is>
      </c>
      <c r="C17" s="28">
        <f>'C8 GEG Lap LR'!D29</f>
        <v/>
      </c>
      <c r="D17" s="28">
        <f>'C8 GEG Lap LR'!E29</f>
        <v/>
      </c>
      <c r="E17" s="39">
        <f>IFERROR(C17*1000000/('C9 GEG Lap Ops'!D12)/'C9 GEG Lap Ops'!D24,0)</f>
        <v/>
      </c>
      <c r="F17" s="39">
        <f>IFERROR(D17*1000000/('C9 GEG Lap Ops'!E12)/'C9 GEG Lap Ops'!E24,0)</f>
        <v/>
      </c>
      <c r="G17" s="47">
        <f>E17-F17</f>
        <v/>
      </c>
      <c r="H17" s="11">
        <f>IF(E17&lt;=F17,"Efisien","Di atas budget")</f>
        <v/>
      </c>
      <c r="J17" s="28">
        <f>'C8 GEG Lap LR'!J29</f>
        <v/>
      </c>
      <c r="K17" s="28">
        <f>'C8 GEG Lap LR'!K29</f>
        <v/>
      </c>
      <c r="L17" s="39">
        <f>IFERROR(J17*1000000/('C9 GEG Lap Ops'!J12)/'C9 GEG Lap Ops'!J24,0)</f>
        <v/>
      </c>
      <c r="M17" s="39">
        <f>IFERROR(K17*1000000/('C9 GEG Lap Ops'!K12)/'C9 GEG Lap Ops'!K24,0)</f>
        <v/>
      </c>
      <c r="N17" s="47">
        <f>L17-M17</f>
        <v/>
      </c>
      <c r="O17" s="11">
        <f>IF(L17&lt;=M17,"Efisien","Di atas budget")</f>
        <v/>
      </c>
    </row>
    <row r="18">
      <c r="A18" s="10" t="inlineStr">
        <is>
          <t xml:space="preserve">   Overhead site</t>
        </is>
      </c>
      <c r="B18" s="3" t="inlineStr">
        <is>
          <t>per ton produksi</t>
        </is>
      </c>
      <c r="C18" s="28">
        <f>'C8 GEG Lap LR'!D40</f>
        <v/>
      </c>
      <c r="D18" s="28">
        <f>'C8 GEG Lap LR'!E40</f>
        <v/>
      </c>
      <c r="E18" s="39">
        <f>IFERROR(C18*1000000/('C9 GEG Lap Ops'!D8)/'C9 GEG Lap Ops'!D24,0)</f>
        <v/>
      </c>
      <c r="F18" s="39">
        <f>IFERROR(D18*1000000/('C9 GEG Lap Ops'!E8)/'C9 GEG Lap Ops'!E24,0)</f>
        <v/>
      </c>
      <c r="G18" s="47">
        <f>E18-F18</f>
        <v/>
      </c>
      <c r="H18" s="11">
        <f>IF(E18&lt;=F18,"Efisien","Di atas budget")</f>
        <v/>
      </c>
      <c r="J18" s="28">
        <f>'C8 GEG Lap LR'!J40</f>
        <v/>
      </c>
      <c r="K18" s="28">
        <f>'C8 GEG Lap LR'!K40</f>
        <v/>
      </c>
      <c r="L18" s="39">
        <f>IFERROR(J18*1000000/('C9 GEG Lap Ops'!J8)/'C9 GEG Lap Ops'!J24,0)</f>
        <v/>
      </c>
      <c r="M18" s="39">
        <f>IFERROR(K18*1000000/('C9 GEG Lap Ops'!K8)/'C9 GEG Lap Ops'!K24,0)</f>
        <v/>
      </c>
      <c r="N18" s="47">
        <f>L18-M18</f>
        <v/>
      </c>
      <c r="O18" s="11">
        <f>IF(L18&lt;=M18,"Efisien","Di atas budget")</f>
        <v/>
      </c>
    </row>
    <row r="19">
      <c r="A19" s="48" t="inlineStr">
        <is>
          <t>CASH COST FOB excl. royalti (per ton jual)</t>
        </is>
      </c>
      <c r="B19" s="49" t="inlineStr">
        <is>
          <t>per ton jual</t>
        </is>
      </c>
      <c r="C19" s="50">
        <f>'C8 GEG Lap LR'!D24+'C8 GEG Lap LR'!D30+'C8 GEG Lap LR'!D40</f>
        <v/>
      </c>
      <c r="D19" s="50">
        <f>'C8 GEG Lap LR'!E24+'C8 GEG Lap LR'!E30+'C8 GEG Lap LR'!E40</f>
        <v/>
      </c>
      <c r="E19" s="52">
        <f>IFERROR(C19*1000000/('C9 GEG Lap Ops'!D18)/'C9 GEG Lap Ops'!D24,0)</f>
        <v/>
      </c>
      <c r="F19" s="52">
        <f>IFERROR(D19*1000000/('C9 GEG Lap Ops'!E18)/'C9 GEG Lap Ops'!E24,0)</f>
        <v/>
      </c>
      <c r="G19" s="53">
        <f>E19-F19</f>
        <v/>
      </c>
      <c r="H19" s="55">
        <f>IF(E19&lt;=F19,"Efisien","Di atas budget")</f>
        <v/>
      </c>
      <c r="I19" s="72" t="n"/>
      <c r="J19" s="50">
        <f>'C8 GEG Lap LR'!J24+'C8 GEG Lap LR'!J30+'C8 GEG Lap LR'!J40</f>
        <v/>
      </c>
      <c r="K19" s="50">
        <f>'C8 GEG Lap LR'!K24+'C8 GEG Lap LR'!K30+'C8 GEG Lap LR'!K40</f>
        <v/>
      </c>
      <c r="L19" s="52">
        <f>IFERROR(J19*1000000/('C9 GEG Lap Ops'!J18)/'C9 GEG Lap Ops'!J24,0)</f>
        <v/>
      </c>
      <c r="M19" s="52">
        <f>IFERROR(K19*1000000/('C9 GEG Lap Ops'!K18)/'C9 GEG Lap Ops'!K24,0)</f>
        <v/>
      </c>
      <c r="N19" s="53">
        <f>L19-M19</f>
        <v/>
      </c>
      <c r="O19" s="55">
        <f>IF(L19&lt;=M19,"Efisien","Di atas budget")</f>
        <v/>
      </c>
    </row>
    <row r="20">
      <c r="A20" s="10" t="inlineStr">
        <is>
          <t xml:space="preserve">   Royalti</t>
        </is>
      </c>
      <c r="B20" s="3" t="inlineStr">
        <is>
          <t>per ton jual</t>
        </is>
      </c>
      <c r="C20" s="28">
        <f>'C8 GEG Lap LR'!D32</f>
        <v/>
      </c>
      <c r="D20" s="28">
        <f>'C8 GEG Lap LR'!E32</f>
        <v/>
      </c>
      <c r="E20" s="39">
        <f>IFERROR(C20*1000000/('C9 GEG Lap Ops'!D18)/'C9 GEG Lap Ops'!D24,0)</f>
        <v/>
      </c>
      <c r="F20" s="39">
        <f>IFERROR(D20*1000000/('C9 GEG Lap Ops'!E18)/'C9 GEG Lap Ops'!E24,0)</f>
        <v/>
      </c>
      <c r="G20" s="47">
        <f>E20-F20</f>
        <v/>
      </c>
      <c r="H20" s="11">
        <f>IF(E20&lt;=F20,"Efisien","Di atas budget")</f>
        <v/>
      </c>
      <c r="J20" s="28">
        <f>'C8 GEG Lap LR'!J32</f>
        <v/>
      </c>
      <c r="K20" s="28">
        <f>'C8 GEG Lap LR'!K32</f>
        <v/>
      </c>
      <c r="L20" s="39">
        <f>IFERROR(J20*1000000/('C9 GEG Lap Ops'!J18)/'C9 GEG Lap Ops'!J24,0)</f>
        <v/>
      </c>
      <c r="M20" s="39">
        <f>IFERROR(K20*1000000/('C9 GEG Lap Ops'!K18)/'C9 GEG Lap Ops'!K24,0)</f>
        <v/>
      </c>
      <c r="N20" s="47">
        <f>L20-M20</f>
        <v/>
      </c>
      <c r="O20" s="11">
        <f>IF(L20&lt;=M20,"Efisien","Di atas budget")</f>
        <v/>
      </c>
    </row>
    <row r="21">
      <c r="A21" s="48" t="inlineStr">
        <is>
          <t>CASH COST FOB incl. royalti</t>
        </is>
      </c>
      <c r="B21" s="49" t="inlineStr">
        <is>
          <t>per ton jual</t>
        </is>
      </c>
      <c r="C21" s="50">
        <f>'C8 GEG Lap LR'!D24+'C8 GEG Lap LR'!D30+'C8 GEG Lap LR'!D40+'C8 GEG Lap LR'!D32</f>
        <v/>
      </c>
      <c r="D21" s="50">
        <f>'C8 GEG Lap LR'!E24+'C8 GEG Lap LR'!E30+'C8 GEG Lap LR'!E40+'C8 GEG Lap LR'!E32</f>
        <v/>
      </c>
      <c r="E21" s="52">
        <f>IFERROR(C21*1000000/('C9 GEG Lap Ops'!D18)/'C9 GEG Lap Ops'!D24,0)</f>
        <v/>
      </c>
      <c r="F21" s="52">
        <f>IFERROR(D21*1000000/('C9 GEG Lap Ops'!E18)/'C9 GEG Lap Ops'!E24,0)</f>
        <v/>
      </c>
      <c r="G21" s="53">
        <f>E21-F21</f>
        <v/>
      </c>
      <c r="H21" s="55">
        <f>IF(E21&lt;=F21,"Efisien","Di atas budget")</f>
        <v/>
      </c>
      <c r="I21" s="72" t="n"/>
      <c r="J21" s="50">
        <f>'C8 GEG Lap LR'!J24+'C8 GEG Lap LR'!J30+'C8 GEG Lap LR'!J40+'C8 GEG Lap LR'!J32</f>
        <v/>
      </c>
      <c r="K21" s="50">
        <f>'C8 GEG Lap LR'!K24+'C8 GEG Lap LR'!K30+'C8 GEG Lap LR'!K40+'C8 GEG Lap LR'!K32</f>
        <v/>
      </c>
      <c r="L21" s="52">
        <f>IFERROR(J21*1000000/('C9 GEG Lap Ops'!J18)/'C9 GEG Lap Ops'!J24,0)</f>
        <v/>
      </c>
      <c r="M21" s="52">
        <f>IFERROR(K21*1000000/('C9 GEG Lap Ops'!K18)/'C9 GEG Lap Ops'!K24,0)</f>
        <v/>
      </c>
      <c r="N21" s="53">
        <f>L21-M21</f>
        <v/>
      </c>
      <c r="O21" s="55">
        <f>IF(L21&lt;=M21,"Efisien","Di atas budget")</f>
        <v/>
      </c>
    </row>
    <row r="22">
      <c r="A22" s="10" t="inlineStr">
        <is>
          <t xml:space="preserve">   Beban penjualan</t>
        </is>
      </c>
      <c r="B22" s="3" t="inlineStr">
        <is>
          <t>per ton jual</t>
        </is>
      </c>
      <c r="C22" s="28">
        <f>'C8 GEG Lap LR'!D59</f>
        <v/>
      </c>
      <c r="D22" s="28">
        <f>'C8 GEG Lap LR'!E59</f>
        <v/>
      </c>
      <c r="E22" s="39">
        <f>IFERROR(C22*1000000/('C9 GEG Lap Ops'!D18)/'C9 GEG Lap Ops'!D24,0)</f>
        <v/>
      </c>
      <c r="F22" s="39">
        <f>IFERROR(D22*1000000/('C9 GEG Lap Ops'!E18)/'C9 GEG Lap Ops'!E24,0)</f>
        <v/>
      </c>
      <c r="G22" s="47">
        <f>E22-F22</f>
        <v/>
      </c>
      <c r="H22" s="11">
        <f>IF(E22&lt;=F22,"Efisien","Di atas budget")</f>
        <v/>
      </c>
      <c r="J22" s="28">
        <f>'C8 GEG Lap LR'!J59</f>
        <v/>
      </c>
      <c r="K22" s="28">
        <f>'C8 GEG Lap LR'!K59</f>
        <v/>
      </c>
      <c r="L22" s="39">
        <f>IFERROR(J22*1000000/('C9 GEG Lap Ops'!J18)/'C9 GEG Lap Ops'!J24,0)</f>
        <v/>
      </c>
      <c r="M22" s="39">
        <f>IFERROR(K22*1000000/('C9 GEG Lap Ops'!K18)/'C9 GEG Lap Ops'!K24,0)</f>
        <v/>
      </c>
      <c r="N22" s="47">
        <f>L22-M22</f>
        <v/>
      </c>
      <c r="O22" s="11">
        <f>IF(L22&lt;=M22,"Efisien","Di atas budget")</f>
        <v/>
      </c>
    </row>
    <row r="23">
      <c r="A23" s="10" t="inlineStr">
        <is>
          <t xml:space="preserve">   Beban umum &amp; administrasi (excl. penyusutan)</t>
        </is>
      </c>
      <c r="B23" s="3" t="inlineStr">
        <is>
          <t>per ton jual</t>
        </is>
      </c>
      <c r="C23" s="28">
        <f>'C8 GEG Lap LR'!D70-'C8 GEG Lap LR'!D68</f>
        <v/>
      </c>
      <c r="D23" s="28">
        <f>'C8 GEG Lap LR'!E70-'C8 GEG Lap LR'!E68</f>
        <v/>
      </c>
      <c r="E23" s="39">
        <f>IFERROR(C23*1000000/('C9 GEG Lap Ops'!D18)/'C9 GEG Lap Ops'!D24,0)</f>
        <v/>
      </c>
      <c r="F23" s="39">
        <f>IFERROR(D23*1000000/('C9 GEG Lap Ops'!E18)/'C9 GEG Lap Ops'!E24,0)</f>
        <v/>
      </c>
      <c r="G23" s="47">
        <f>E23-F23</f>
        <v/>
      </c>
      <c r="H23" s="11">
        <f>IF(E23&lt;=F23,"Efisien","Di atas budget")</f>
        <v/>
      </c>
      <c r="J23" s="28">
        <f>'C8 GEG Lap LR'!J70-'C8 GEG Lap LR'!J68</f>
        <v/>
      </c>
      <c r="K23" s="28">
        <f>'C8 GEG Lap LR'!K70-'C8 GEG Lap LR'!K68</f>
        <v/>
      </c>
      <c r="L23" s="39">
        <f>IFERROR(J23*1000000/('C9 GEG Lap Ops'!J18)/'C9 GEG Lap Ops'!J24,0)</f>
        <v/>
      </c>
      <c r="M23" s="39">
        <f>IFERROR(K23*1000000/('C9 GEG Lap Ops'!K18)/'C9 GEG Lap Ops'!K24,0)</f>
        <v/>
      </c>
      <c r="N23" s="47">
        <f>L23-M23</f>
        <v/>
      </c>
      <c r="O23" s="11">
        <f>IF(L23&lt;=M23,"Efisien","Di atas budget")</f>
        <v/>
      </c>
    </row>
    <row r="24">
      <c r="A24" s="48" t="inlineStr">
        <is>
          <t>TOTAL CASH COST</t>
        </is>
      </c>
      <c r="B24" s="49" t="inlineStr">
        <is>
          <t>per ton jual</t>
        </is>
      </c>
      <c r="C24" s="50">
        <f>'C8 GEG Lap LR'!D24+'C8 GEG Lap LR'!D30+'C8 GEG Lap LR'!D40+'C8 GEG Lap LR'!D32+'C8 GEG Lap LR'!D59+'C8 GEG Lap LR'!D70-'C8 GEG Lap LR'!D68</f>
        <v/>
      </c>
      <c r="D24" s="50">
        <f>'C8 GEG Lap LR'!E24+'C8 GEG Lap LR'!E30+'C8 GEG Lap LR'!E40+'C8 GEG Lap LR'!E32+'C8 GEG Lap LR'!E59+'C8 GEG Lap LR'!E70-'C8 GEG Lap LR'!E68</f>
        <v/>
      </c>
      <c r="E24" s="52">
        <f>IFERROR(C24*1000000/('C9 GEG Lap Ops'!D18)/'C9 GEG Lap Ops'!D24,0)</f>
        <v/>
      </c>
      <c r="F24" s="52">
        <f>IFERROR(D24*1000000/('C9 GEG Lap Ops'!E18)/'C9 GEG Lap Ops'!E24,0)</f>
        <v/>
      </c>
      <c r="G24" s="53">
        <f>E24-F24</f>
        <v/>
      </c>
      <c r="H24" s="55">
        <f>IF(E24&lt;=F24,"Efisien","Di atas budget")</f>
        <v/>
      </c>
      <c r="I24" s="72" t="n"/>
      <c r="J24" s="50">
        <f>'C8 GEG Lap LR'!J24+'C8 GEG Lap LR'!J30+'C8 GEG Lap LR'!J40+'C8 GEG Lap LR'!J32+'C8 GEG Lap LR'!J59+'C8 GEG Lap LR'!J70-'C8 GEG Lap LR'!J68</f>
        <v/>
      </c>
      <c r="K24" s="50">
        <f>'C8 GEG Lap LR'!K24+'C8 GEG Lap LR'!K30+'C8 GEG Lap LR'!K40+'C8 GEG Lap LR'!K32+'C8 GEG Lap LR'!K59+'C8 GEG Lap LR'!K70-'C8 GEG Lap LR'!K68</f>
        <v/>
      </c>
      <c r="L24" s="52">
        <f>IFERROR(J24*1000000/('C9 GEG Lap Ops'!J18)/'C9 GEG Lap Ops'!J24,0)</f>
        <v/>
      </c>
      <c r="M24" s="52">
        <f>IFERROR(K24*1000000/('C9 GEG Lap Ops'!K18)/'C9 GEG Lap Ops'!K24,0)</f>
        <v/>
      </c>
      <c r="N24" s="53">
        <f>L24-M24</f>
        <v/>
      </c>
      <c r="O24" s="55">
        <f>IF(L24&lt;=M24,"Efisien","Di atas budget")</f>
        <v/>
      </c>
    </row>
    <row r="25">
      <c r="A25" s="10" t="inlineStr">
        <is>
          <t xml:space="preserve">   Penyusutan &amp; amortisasi</t>
        </is>
      </c>
      <c r="B25" s="3" t="inlineStr">
        <is>
          <t>per ton jual</t>
        </is>
      </c>
      <c r="C25" s="28">
        <f>'C8 GEG Lap LR'!D45+'C8 GEG Lap LR'!D68</f>
        <v/>
      </c>
      <c r="D25" s="28">
        <f>'C8 GEG Lap LR'!E45+'C8 GEG Lap LR'!E68</f>
        <v/>
      </c>
      <c r="E25" s="39">
        <f>IFERROR(C25*1000000/('C9 GEG Lap Ops'!D18)/'C9 GEG Lap Ops'!D24,0)</f>
        <v/>
      </c>
      <c r="F25" s="39">
        <f>IFERROR(D25*1000000/('C9 GEG Lap Ops'!E18)/'C9 GEG Lap Ops'!E24,0)</f>
        <v/>
      </c>
      <c r="G25" s="47">
        <f>E25-F25</f>
        <v/>
      </c>
      <c r="H25" s="11">
        <f>IF(E25&lt;=F25,"Efisien","Di atas budget")</f>
        <v/>
      </c>
      <c r="J25" s="28">
        <f>'C8 GEG Lap LR'!J45+'C8 GEG Lap LR'!J68</f>
        <v/>
      </c>
      <c r="K25" s="28">
        <f>'C8 GEG Lap LR'!K45+'C8 GEG Lap LR'!K68</f>
        <v/>
      </c>
      <c r="L25" s="39">
        <f>IFERROR(J25*1000000/('C9 GEG Lap Ops'!J18)/'C9 GEG Lap Ops'!J24,0)</f>
        <v/>
      </c>
      <c r="M25" s="39">
        <f>IFERROR(K25*1000000/('C9 GEG Lap Ops'!K18)/'C9 GEG Lap Ops'!K24,0)</f>
        <v/>
      </c>
      <c r="N25" s="47">
        <f>L25-M25</f>
        <v/>
      </c>
      <c r="O25" s="11">
        <f>IF(L25&lt;=M25,"Efisien","Di atas budget")</f>
        <v/>
      </c>
    </row>
    <row r="26">
      <c r="A26" s="48" t="inlineStr">
        <is>
          <t>TOTAL COST (full cost)</t>
        </is>
      </c>
      <c r="B26" s="49" t="inlineStr">
        <is>
          <t>per ton jual</t>
        </is>
      </c>
      <c r="C26" s="50">
        <f>'C8 GEG Lap LR'!D24+'C8 GEG Lap LR'!D30+'C8 GEG Lap LR'!D40+'C8 GEG Lap LR'!D32+'C8 GEG Lap LR'!D59+'C8 GEG Lap LR'!D70+'C8 GEG Lap LR'!D45</f>
        <v/>
      </c>
      <c r="D26" s="50">
        <f>'C8 GEG Lap LR'!E24+'C8 GEG Lap LR'!E30+'C8 GEG Lap LR'!E40+'C8 GEG Lap LR'!E32+'C8 GEG Lap LR'!E59+'C8 GEG Lap LR'!E70+'C8 GEG Lap LR'!E45</f>
        <v/>
      </c>
      <c r="E26" s="52">
        <f>IFERROR(C26*1000000/('C9 GEG Lap Ops'!D18)/'C9 GEG Lap Ops'!D24,0)</f>
        <v/>
      </c>
      <c r="F26" s="52">
        <f>IFERROR(D26*1000000/('C9 GEG Lap Ops'!E18)/'C9 GEG Lap Ops'!E24,0)</f>
        <v/>
      </c>
      <c r="G26" s="53">
        <f>E26-F26</f>
        <v/>
      </c>
      <c r="H26" s="55">
        <f>IF(E26&lt;=F26,"Efisien","Di atas budget")</f>
        <v/>
      </c>
      <c r="I26" s="72" t="n"/>
      <c r="J26" s="50">
        <f>'C8 GEG Lap LR'!J24+'C8 GEG Lap LR'!J30+'C8 GEG Lap LR'!J40+'C8 GEG Lap LR'!J32+'C8 GEG Lap LR'!J59+'C8 GEG Lap LR'!J70+'C8 GEG Lap LR'!J45</f>
        <v/>
      </c>
      <c r="K26" s="50">
        <f>'C8 GEG Lap LR'!K24+'C8 GEG Lap LR'!K30+'C8 GEG Lap LR'!K40+'C8 GEG Lap LR'!K32+'C8 GEG Lap LR'!K59+'C8 GEG Lap LR'!K70+'C8 GEG Lap LR'!K45</f>
        <v/>
      </c>
      <c r="L26" s="52">
        <f>IFERROR(J26*1000000/('C9 GEG Lap Ops'!J18)/'C9 GEG Lap Ops'!J24,0)</f>
        <v/>
      </c>
      <c r="M26" s="52">
        <f>IFERROR(K26*1000000/('C9 GEG Lap Ops'!K18)/'C9 GEG Lap Ops'!K24,0)</f>
        <v/>
      </c>
      <c r="N26" s="53">
        <f>L26-M26</f>
        <v/>
      </c>
      <c r="O26" s="55">
        <f>IF(L26&lt;=M26,"Efisien","Di atas budget")</f>
        <v/>
      </c>
    </row>
    <row r="27">
      <c r="A27" s="48" t="inlineStr">
        <is>
          <t>Harga jual rata-rata (ASP), neto penalti</t>
        </is>
      </c>
      <c r="B27" s="49" t="inlineStr">
        <is>
          <t>per ton jual</t>
        </is>
      </c>
      <c r="C27" s="50">
        <f>'C8 GEG Lap LR'!D10+'C8 GEG Lap LR'!D11</f>
        <v/>
      </c>
      <c r="D27" s="50">
        <f>'C8 GEG Lap LR'!E10+'C8 GEG Lap LR'!E11</f>
        <v/>
      </c>
      <c r="E27" s="52">
        <f>IFERROR(C27*1000000/('C9 GEG Lap Ops'!D18)/'C9 GEG Lap Ops'!D24,0)</f>
        <v/>
      </c>
      <c r="F27" s="52">
        <f>IFERROR(D27*1000000/('C9 GEG Lap Ops'!E18)/'C9 GEG Lap Ops'!E24,0)</f>
        <v/>
      </c>
      <c r="G27" s="53">
        <f>E27-F27</f>
        <v/>
      </c>
      <c r="H27" s="55">
        <f>IF(E27&gt;=F27,"Di atas budget","Di bawah budget")</f>
        <v/>
      </c>
      <c r="I27" s="72" t="n"/>
      <c r="J27" s="50">
        <f>'C8 GEG Lap LR'!J10+'C8 GEG Lap LR'!J11</f>
        <v/>
      </c>
      <c r="K27" s="50">
        <f>'C8 GEG Lap LR'!K10+'C8 GEG Lap LR'!K11</f>
        <v/>
      </c>
      <c r="L27" s="52">
        <f>IFERROR(J27*1000000/('C9 GEG Lap Ops'!J18)/'C9 GEG Lap Ops'!J24,0)</f>
        <v/>
      </c>
      <c r="M27" s="52">
        <f>IFERROR(K27*1000000/('C9 GEG Lap Ops'!K18)/'C9 GEG Lap Ops'!K24,0)</f>
        <v/>
      </c>
      <c r="N27" s="53">
        <f>L27-M27</f>
        <v/>
      </c>
      <c r="O27" s="55">
        <f>IF(L27&gt;=M27,"Di atas budget","Di bawah budget")</f>
        <v/>
      </c>
    </row>
    <row r="28">
      <c r="A28" s="48" t="inlineStr">
        <is>
          <t>MARJIN KAS PER TON (ASP – total cash cost)</t>
        </is>
      </c>
      <c r="B28" s="49" t="inlineStr">
        <is>
          <t>per ton jual</t>
        </is>
      </c>
      <c r="C28" s="58">
        <f>C27-C24</f>
        <v/>
      </c>
      <c r="D28" s="58">
        <f>D27-D24</f>
        <v/>
      </c>
      <c r="E28" s="52">
        <f>IFERROR(C28*1000000/('C9 GEG Lap Ops'!D18)/'C9 GEG Lap Ops'!D24,0)</f>
        <v/>
      </c>
      <c r="F28" s="52">
        <f>IFERROR(D28*1000000/('C9 GEG Lap Ops'!E18)/'C9 GEG Lap Ops'!E24,0)</f>
        <v/>
      </c>
      <c r="G28" s="53">
        <f>E28-F28</f>
        <v/>
      </c>
      <c r="H28" s="55">
        <f>IF(E28&gt;=F28,"Di atas budget","Di bawah budget")</f>
        <v/>
      </c>
      <c r="I28" s="72" t="n"/>
      <c r="J28" s="58">
        <f>J27-J24</f>
        <v/>
      </c>
      <c r="K28" s="58">
        <f>K27-K24</f>
        <v/>
      </c>
      <c r="L28" s="52">
        <f>IFERROR(J28*1000000/('C9 GEG Lap Ops'!J18)/'C9 GEG Lap Ops'!J24,0)</f>
        <v/>
      </c>
      <c r="M28" s="52">
        <f>IFERROR(K28*1000000/('C9 GEG Lap Ops'!K18)/'C9 GEG Lap Ops'!K24,0)</f>
        <v/>
      </c>
      <c r="N28" s="53">
        <f>L28-M28</f>
        <v/>
      </c>
      <c r="O28" s="55">
        <f>IF(L28&gt;=M28,"Di atas budget","Di bawah budget")</f>
        <v/>
      </c>
    </row>
    <row r="29">
      <c r="A29" s="3" t="inlineStr">
        <is>
          <t>Status baris ASP/marjin: "Di atas budget" = baik. Status baris biaya: "Efisien" = biaya/unit ≤ budget.</t>
        </is>
      </c>
    </row>
  </sheetData>
  <conditionalFormatting sqref="H6:H28">
    <cfRule type="cellIs" priority="1" operator="equal" dxfId="0">
      <formula>"Efisien"</formula>
    </cfRule>
    <cfRule type="cellIs" priority="2" operator="equal" dxfId="1">
      <formula>"Di atas budget"</formula>
    </cfRule>
  </conditionalFormatting>
  <conditionalFormatting sqref="O6:O28">
    <cfRule type="cellIs" priority="3" operator="equal" dxfId="0">
      <formula>"Efisien"</formula>
    </cfRule>
    <cfRule type="cellIs" priority="4" operator="equal" dxfId="1">
      <formula>"Di atas budget"</formula>
    </cfRule>
  </conditionalFormatting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5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34" customWidth="1" min="3" max="3"/>
    <col width="36" customWidth="1" min="4" max="4"/>
    <col width="10" customWidth="1" min="5" max="5"/>
    <col width="10" customWidth="1" min="6" max="6"/>
    <col width="8" customWidth="1" min="7" max="7"/>
    <col width="14" customWidth="1" min="8" max="8"/>
    <col width="14" customWidth="1" min="9" max="9"/>
    <col width="11" customWidth="1" min="10" max="10"/>
    <col width="9" customWidth="1" min="11" max="11"/>
    <col width="11" customWidth="1" min="12" max="12"/>
    <col width="10" customWidth="1" min="13" max="13"/>
    <col width="15" customWidth="1" min="14" max="14"/>
    <col width="16" customWidth="1" min="15" max="15"/>
  </cols>
  <sheetData>
    <row r="1">
      <c r="A1" s="1" t="inlineStr">
        <is>
          <t>GEG – KPI Scorecard Manajemen (YTD)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>
        <f>"PT Global Energy Group | Periode: Jan – "&amp;'C1 GEG Setting'!$C$7&amp;" "&amp;'C1 GEG Setting'!$C$5&amp;" (YTD) | Target = Budget YTD kecuali ditandai input"</f>
        <v/>
      </c>
    </row>
    <row r="5" ht="30" customHeight="1">
      <c r="A5" s="16" t="inlineStr">
        <is>
          <t>No</t>
        </is>
      </c>
      <c r="B5" s="16" t="inlineStr">
        <is>
          <t>Perspektif</t>
        </is>
      </c>
      <c r="C5" s="16" t="inlineStr">
        <is>
          <t>KPI</t>
        </is>
      </c>
      <c r="D5" s="16" t="inlineStr">
        <is>
          <t>Definisi / rumus</t>
        </is>
      </c>
      <c r="E5" s="16" t="inlineStr">
        <is>
          <t>Satuan</t>
        </is>
      </c>
      <c r="F5" s="16" t="inlineStr">
        <is>
          <t>Polaritas</t>
        </is>
      </c>
      <c r="G5" s="16" t="inlineStr">
        <is>
          <t>Bobot</t>
        </is>
      </c>
      <c r="H5" s="16" t="inlineStr">
        <is>
          <t>Target</t>
        </is>
      </c>
      <c r="I5" s="16" t="inlineStr">
        <is>
          <t>Aktual</t>
        </is>
      </c>
      <c r="J5" s="16" t="inlineStr">
        <is>
          <t>Pencapaian</t>
        </is>
      </c>
      <c r="K5" s="16" t="inlineStr">
        <is>
          <t>Skor (1–5)</t>
        </is>
      </c>
      <c r="L5" s="16" t="inlineStr">
        <is>
          <t>Skor tertimbang</t>
        </is>
      </c>
      <c r="M5" s="16" t="inlineStr">
        <is>
          <t>Status</t>
        </is>
      </c>
      <c r="N5" s="16" t="inlineStr">
        <is>
          <t>PIC</t>
        </is>
      </c>
      <c r="O5" s="16" t="inlineStr">
        <is>
          <t>Sumber target</t>
        </is>
      </c>
    </row>
    <row r="6">
      <c r="A6" s="4" t="inlineStr">
        <is>
          <t>A. PENDAPATAN (25%)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61" t="n">
        <v>1</v>
      </c>
      <c r="B7" s="8" t="inlineStr">
        <is>
          <t>PENDAPATAN</t>
        </is>
      </c>
      <c r="C7" s="46" t="inlineStr">
        <is>
          <t>Pendapatan bersih</t>
        </is>
      </c>
      <c r="D7" s="3" t="inlineStr">
        <is>
          <t>Total pendapatan neto YTD</t>
        </is>
      </c>
      <c r="E7" s="45" t="inlineStr">
        <is>
          <t>Rp juta</t>
        </is>
      </c>
      <c r="F7" s="11" t="inlineStr">
        <is>
          <t>Higher</t>
        </is>
      </c>
      <c r="G7" s="25" t="n">
        <v>0.07000000000000001</v>
      </c>
      <c r="H7" s="28">
        <f>'C8 GEG Lap LR'!K13</f>
        <v/>
      </c>
      <c r="I7" s="28">
        <f>'C8 GEG Lap LR'!J13</f>
        <v/>
      </c>
      <c r="J7" s="42">
        <f>MIN('C1 GEG Setting'!$C$18,IF(F7="Lower",IF(I7&lt;=0,'C1 GEG Setting'!$C$18,IF(H7&lt;=0,0,H7/I7)),IFERROR(I7/H7,0)))</f>
        <v/>
      </c>
      <c r="K7" s="59">
        <f>IF(J7&gt;='C1 GEG Setting'!$C$12,5,IF(J7&gt;='C1 GEG Setting'!$C$13,4,IF(J7&gt;='C1 GEG Setting'!$C$14,3,IF(J7&gt;='C1 GEG Setting'!$C$15,2,1))))</f>
        <v/>
      </c>
      <c r="L7" s="47">
        <f>K7*G7</f>
        <v/>
      </c>
      <c r="M7" s="12">
        <f>IF(J7&gt;='C1 GEG Setting'!$C$16,"Hijau",IF(J7&gt;='C1 GEG Setting'!$C$17,"Kuning","Merah"))</f>
        <v/>
      </c>
      <c r="N7" s="8" t="inlineStr">
        <is>
          <t>Dir. Komersial</t>
        </is>
      </c>
      <c r="O7" s="3" t="inlineStr">
        <is>
          <t>Budget</t>
        </is>
      </c>
    </row>
    <row r="8">
      <c r="A8" s="61" t="n">
        <v>2</v>
      </c>
      <c r="B8" s="8" t="inlineStr">
        <is>
          <t>PENDAPATAN</t>
        </is>
      </c>
      <c r="C8" s="46" t="inlineStr">
        <is>
          <t>Volume penjualan</t>
        </is>
      </c>
      <c r="D8" s="3" t="inlineStr">
        <is>
          <t>Total ton terjual YTD</t>
        </is>
      </c>
      <c r="E8" s="45" t="inlineStr">
        <is>
          <t>ton</t>
        </is>
      </c>
      <c r="F8" s="11" t="inlineStr">
        <is>
          <t>Higher</t>
        </is>
      </c>
      <c r="G8" s="25" t="n">
        <v>0.05</v>
      </c>
      <c r="H8" s="28">
        <f>'C9 GEG Lap Ops'!K18</f>
        <v/>
      </c>
      <c r="I8" s="28">
        <f>'C9 GEG Lap Ops'!J18</f>
        <v/>
      </c>
      <c r="J8" s="42">
        <f>MIN('C1 GEG Setting'!$C$18,IF(F8="Lower",IF(I8&lt;=0,'C1 GEG Setting'!$C$18,IF(H8&lt;=0,0,H8/I8)),IFERROR(I8/H8,0)))</f>
        <v/>
      </c>
      <c r="K8" s="59">
        <f>IF(J8&gt;='C1 GEG Setting'!$C$12,5,IF(J8&gt;='C1 GEG Setting'!$C$13,4,IF(J8&gt;='C1 GEG Setting'!$C$14,3,IF(J8&gt;='C1 GEG Setting'!$C$15,2,1))))</f>
        <v/>
      </c>
      <c r="L8" s="47">
        <f>K8*G8</f>
        <v/>
      </c>
      <c r="M8" s="12">
        <f>IF(J8&gt;='C1 GEG Setting'!$C$16,"Hijau",IF(J8&gt;='C1 GEG Setting'!$C$17,"Kuning","Merah"))</f>
        <v/>
      </c>
      <c r="N8" s="8" t="inlineStr">
        <is>
          <t>Marketing</t>
        </is>
      </c>
      <c r="O8" s="3" t="inlineStr">
        <is>
          <t>Budget</t>
        </is>
      </c>
    </row>
    <row r="9">
      <c r="A9" s="61" t="n">
        <v>3</v>
      </c>
      <c r="B9" s="8" t="inlineStr">
        <is>
          <t>PENDAPATAN</t>
        </is>
      </c>
      <c r="C9" s="46" t="inlineStr">
        <is>
          <t>ASP rata-rata</t>
        </is>
      </c>
      <c r="D9" s="3" t="inlineStr">
        <is>
          <t>Pendapatan batubara neto ÷ ton ÷ kurs</t>
        </is>
      </c>
      <c r="E9" s="45" t="inlineStr">
        <is>
          <t>USD/t</t>
        </is>
      </c>
      <c r="F9" s="11" t="inlineStr">
        <is>
          <t>Higher</t>
        </is>
      </c>
      <c r="G9" s="25" t="n">
        <v>0.04</v>
      </c>
      <c r="H9" s="39">
        <f>'C10 GEG COP'!M27</f>
        <v/>
      </c>
      <c r="I9" s="39">
        <f>'C10 GEG COP'!L27</f>
        <v/>
      </c>
      <c r="J9" s="42">
        <f>MIN('C1 GEG Setting'!$C$18,IF(F9="Lower",IF(I9&lt;=0,'C1 GEG Setting'!$C$18,IF(H9&lt;=0,0,H9/I9)),IFERROR(I9/H9,0)))</f>
        <v/>
      </c>
      <c r="K9" s="59">
        <f>IF(J9&gt;='C1 GEG Setting'!$C$12,5,IF(J9&gt;='C1 GEG Setting'!$C$13,4,IF(J9&gt;='C1 GEG Setting'!$C$14,3,IF(J9&gt;='C1 GEG Setting'!$C$15,2,1))))</f>
        <v/>
      </c>
      <c r="L9" s="47">
        <f>K9*G9</f>
        <v/>
      </c>
      <c r="M9" s="12">
        <f>IF(J9&gt;='C1 GEG Setting'!$C$16,"Hijau",IF(J9&gt;='C1 GEG Setting'!$C$17,"Kuning","Merah"))</f>
        <v/>
      </c>
      <c r="N9" s="8" t="inlineStr">
        <is>
          <t>Marketing</t>
        </is>
      </c>
      <c r="O9" s="3" t="inlineStr">
        <is>
          <t>Budget</t>
        </is>
      </c>
    </row>
    <row r="10">
      <c r="A10" s="61" t="n">
        <v>4</v>
      </c>
      <c r="B10" s="8" t="inlineStr">
        <is>
          <t>PENDAPATAN</t>
        </is>
      </c>
      <c r="C10" s="46" t="inlineStr">
        <is>
          <t>Realisasi harga ekspor vs indeks</t>
        </is>
      </c>
      <c r="D10" s="3" t="inlineStr">
        <is>
          <t>ASP ekspor ÷ indeks acuan</t>
        </is>
      </c>
      <c r="E10" s="45" t="inlineStr">
        <is>
          <t>%</t>
        </is>
      </c>
      <c r="F10" s="11" t="inlineStr">
        <is>
          <t>Higher</t>
        </is>
      </c>
      <c r="G10" s="25" t="n">
        <v>0.03</v>
      </c>
      <c r="H10" s="25" t="n">
        <v>0.95</v>
      </c>
      <c r="I10" s="42">
        <f>IFERROR('C9 GEG Lap Ops'!J19/'C9 GEG Lap Ops'!J22,0)</f>
        <v/>
      </c>
      <c r="J10" s="42">
        <f>MIN('C1 GEG Setting'!$C$18,IF(F10="Lower",IF(I10&lt;=0,'C1 GEG Setting'!$C$18,IF(H10&lt;=0,0,H10/I10)),IFERROR(I10/H10,0)))</f>
        <v/>
      </c>
      <c r="K10" s="59">
        <f>IF(J10&gt;='C1 GEG Setting'!$C$12,5,IF(J10&gt;='C1 GEG Setting'!$C$13,4,IF(J10&gt;='C1 GEG Setting'!$C$14,3,IF(J10&gt;='C1 GEG Setting'!$C$15,2,1))))</f>
        <v/>
      </c>
      <c r="L10" s="47">
        <f>K10*G10</f>
        <v/>
      </c>
      <c r="M10" s="12">
        <f>IF(J10&gt;='C1 GEG Setting'!$C$16,"Hijau",IF(J10&gt;='C1 GEG Setting'!$C$17,"Kuning","Merah"))</f>
        <v/>
      </c>
      <c r="N10" s="8" t="inlineStr">
        <is>
          <t>Marketing</t>
        </is>
      </c>
      <c r="O10" s="3" t="inlineStr">
        <is>
          <t>Input</t>
        </is>
      </c>
    </row>
    <row r="11">
      <c r="A11" s="61" t="n">
        <v>5</v>
      </c>
      <c r="B11" s="8" t="inlineStr">
        <is>
          <t>PENDAPATAN</t>
        </is>
      </c>
      <c r="C11" s="46" t="inlineStr">
        <is>
          <t>Penalti kualitas thd penjualan</t>
        </is>
      </c>
      <c r="D11" s="3" t="inlineStr">
        <is>
          <t>|Penalti| ÷ penjualan batubara</t>
        </is>
      </c>
      <c r="E11" s="45" t="inlineStr">
        <is>
          <t>%</t>
        </is>
      </c>
      <c r="F11" s="11" t="inlineStr">
        <is>
          <t>Lower</t>
        </is>
      </c>
      <c r="G11" s="25" t="n">
        <v>0.03</v>
      </c>
      <c r="H11" s="90">
        <f>IFERROR(-'C8 GEG Lap LR'!K11/'C8 GEG Lap LR'!K10,0)</f>
        <v/>
      </c>
      <c r="I11" s="90">
        <f>IFERROR(-'C8 GEG Lap LR'!J11/'C8 GEG Lap LR'!J10,0)</f>
        <v/>
      </c>
      <c r="J11" s="42">
        <f>MIN('C1 GEG Setting'!$C$18,IF(F11="Lower",IF(I11&lt;=0,'C1 GEG Setting'!$C$18,IF(H11&lt;=0,0,H11/I11)),IFERROR(I11/H11,0)))</f>
        <v/>
      </c>
      <c r="K11" s="59">
        <f>IF(J11&gt;='C1 GEG Setting'!$C$12,5,IF(J11&gt;='C1 GEG Setting'!$C$13,4,IF(J11&gt;='C1 GEG Setting'!$C$14,3,IF(J11&gt;='C1 GEG Setting'!$C$15,2,1))))</f>
        <v/>
      </c>
      <c r="L11" s="47">
        <f>K11*G11</f>
        <v/>
      </c>
      <c r="M11" s="12">
        <f>IF(J11&gt;='C1 GEG Setting'!$C$16,"Hijau",IF(J11&gt;='C1 GEG Setting'!$C$17,"Kuning","Merah"))</f>
        <v/>
      </c>
      <c r="N11" s="8" t="inlineStr">
        <is>
          <t>QC</t>
        </is>
      </c>
      <c r="O11" s="3" t="inlineStr">
        <is>
          <t>Budget</t>
        </is>
      </c>
    </row>
    <row r="12">
      <c r="A12" s="61" t="n">
        <v>6</v>
      </c>
      <c r="B12" s="8" t="inlineStr">
        <is>
          <t>PENDAPATAN</t>
        </is>
      </c>
      <c r="C12" s="46" t="inlineStr">
        <is>
          <t>Kepatuhan DMO</t>
        </is>
      </c>
      <c r="D12" s="3" t="inlineStr">
        <is>
          <t>Ton DMO ÷ total penjualan</t>
        </is>
      </c>
      <c r="E12" s="45" t="inlineStr">
        <is>
          <t>%</t>
        </is>
      </c>
      <c r="F12" s="11" t="inlineStr">
        <is>
          <t>Higher</t>
        </is>
      </c>
      <c r="G12" s="25" t="n">
        <v>0.03</v>
      </c>
      <c r="H12" s="25" t="n">
        <v>0.25</v>
      </c>
      <c r="I12" s="42">
        <f>IFERROR('C9 GEG Lap Ops'!J16/'C9 GEG Lap Ops'!J18,0)</f>
        <v/>
      </c>
      <c r="J12" s="42">
        <f>MIN('C1 GEG Setting'!$C$18,IF(F12="Lower",IF(I12&lt;=0,'C1 GEG Setting'!$C$18,IF(H12&lt;=0,0,H12/I12)),IFERROR(I12/H12,0)))</f>
        <v/>
      </c>
      <c r="K12" s="59">
        <f>IF(J12&gt;='C1 GEG Setting'!$C$12,5,IF(J12&gt;='C1 GEG Setting'!$C$13,4,IF(J12&gt;='C1 GEG Setting'!$C$14,3,IF(J12&gt;='C1 GEG Setting'!$C$15,2,1))))</f>
        <v/>
      </c>
      <c r="L12" s="47">
        <f>K12*G12</f>
        <v/>
      </c>
      <c r="M12" s="12">
        <f>IF(J12&gt;='C1 GEG Setting'!$C$16,"Hijau",IF(J12&gt;='C1 GEG Setting'!$C$17,"Kuning","Merah"))</f>
        <v/>
      </c>
      <c r="N12" s="8" t="inlineStr">
        <is>
          <t>Marketing</t>
        </is>
      </c>
      <c r="O12" s="3" t="inlineStr">
        <is>
          <t>Regulasi</t>
        </is>
      </c>
    </row>
    <row r="13">
      <c r="A13" s="4" t="inlineStr">
        <is>
          <t>B. COST OF PRODUCTION (30%)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</row>
    <row r="14">
      <c r="A14" s="61" t="n">
        <v>7</v>
      </c>
      <c r="B14" s="8" t="inlineStr">
        <is>
          <t>COST OF PRODUCTION</t>
        </is>
      </c>
      <c r="C14" s="46" t="inlineStr">
        <is>
          <t>Stripping ratio</t>
        </is>
      </c>
      <c r="D14" s="3" t="inlineStr">
        <is>
          <t>OB bcm ÷ ton batubara</t>
        </is>
      </c>
      <c r="E14" s="45" t="inlineStr">
        <is>
          <t>bcm/t</t>
        </is>
      </c>
      <c r="F14" s="11" t="inlineStr">
        <is>
          <t>Lower</t>
        </is>
      </c>
      <c r="G14" s="25" t="n">
        <v>0.04</v>
      </c>
      <c r="H14" s="39">
        <f>'C9 GEG Lap Ops'!K9</f>
        <v/>
      </c>
      <c r="I14" s="39">
        <f>'C9 GEG Lap Ops'!J9</f>
        <v/>
      </c>
      <c r="J14" s="42">
        <f>MIN('C1 GEG Setting'!$C$18,IF(F14="Lower",IF(I14&lt;=0,'C1 GEG Setting'!$C$18,IF(H14&lt;=0,0,H14/I14)),IFERROR(I14/H14,0)))</f>
        <v/>
      </c>
      <c r="K14" s="59">
        <f>IF(J14&gt;='C1 GEG Setting'!$C$12,5,IF(J14&gt;='C1 GEG Setting'!$C$13,4,IF(J14&gt;='C1 GEG Setting'!$C$14,3,IF(J14&gt;='C1 GEG Setting'!$C$15,2,1))))</f>
        <v/>
      </c>
      <c r="L14" s="47">
        <f>K14*G14</f>
        <v/>
      </c>
      <c r="M14" s="12">
        <f>IF(J14&gt;='C1 GEG Setting'!$C$16,"Hijau",IF(J14&gt;='C1 GEG Setting'!$C$17,"Kuning","Merah"))</f>
        <v/>
      </c>
      <c r="N14" s="8" t="inlineStr">
        <is>
          <t>Mine Planning</t>
        </is>
      </c>
      <c r="O14" s="3" t="inlineStr">
        <is>
          <t>Budget</t>
        </is>
      </c>
    </row>
    <row r="15">
      <c r="A15" s="61" t="n">
        <v>8</v>
      </c>
      <c r="B15" s="8" t="inlineStr">
        <is>
          <t>COST OF PRODUCTION</t>
        </is>
      </c>
      <c r="C15" s="46" t="inlineStr">
        <is>
          <t>Biaya pengupasan OB</t>
        </is>
      </c>
      <c r="D15" s="3" t="inlineStr">
        <is>
          <t>(Kontraktor + BBM + peledakan) ÷ bcm</t>
        </is>
      </c>
      <c r="E15" s="45" t="inlineStr">
        <is>
          <t>USD/bcm</t>
        </is>
      </c>
      <c r="F15" s="11" t="inlineStr">
        <is>
          <t>Lower</t>
        </is>
      </c>
      <c r="G15" s="25" t="n">
        <v>0.05</v>
      </c>
      <c r="H15" s="39">
        <f>'C10 GEG COP'!M9</f>
        <v/>
      </c>
      <c r="I15" s="39">
        <f>'C10 GEG COP'!L9</f>
        <v/>
      </c>
      <c r="J15" s="42">
        <f>MIN('C1 GEG Setting'!$C$18,IF(F15="Lower",IF(I15&lt;=0,'C1 GEG Setting'!$C$18,IF(H15&lt;=0,0,H15/I15)),IFERROR(I15/H15,0)))</f>
        <v/>
      </c>
      <c r="K15" s="59">
        <f>IF(J15&gt;='C1 GEG Setting'!$C$12,5,IF(J15&gt;='C1 GEG Setting'!$C$13,4,IF(J15&gt;='C1 GEG Setting'!$C$14,3,IF(J15&gt;='C1 GEG Setting'!$C$15,2,1))))</f>
        <v/>
      </c>
      <c r="L15" s="47">
        <f>K15*G15</f>
        <v/>
      </c>
      <c r="M15" s="12">
        <f>IF(J15&gt;='C1 GEG Setting'!$C$16,"Hijau",IF(J15&gt;='C1 GEG Setting'!$C$17,"Kuning","Merah"))</f>
        <v/>
      </c>
      <c r="N15" s="8" t="inlineStr">
        <is>
          <t>Mining Ops</t>
        </is>
      </c>
      <c r="O15" s="3" t="inlineStr">
        <is>
          <t>Budget</t>
        </is>
      </c>
    </row>
    <row r="16">
      <c r="A16" s="61" t="n">
        <v>9</v>
      </c>
      <c r="B16" s="8" t="inlineStr">
        <is>
          <t>COST OF PRODUCTION</t>
        </is>
      </c>
      <c r="C16" s="46" t="inlineStr">
        <is>
          <t>Fuel ratio</t>
        </is>
      </c>
      <c r="D16" s="3" t="inlineStr">
        <is>
          <t>Liter BBM ÷ bcm OB</t>
        </is>
      </c>
      <c r="E16" s="45" t="inlineStr">
        <is>
          <t>L/bcm</t>
        </is>
      </c>
      <c r="F16" s="11" t="inlineStr">
        <is>
          <t>Lower</t>
        </is>
      </c>
      <c r="G16" s="25" t="n">
        <v>0.04</v>
      </c>
      <c r="H16" s="39">
        <f>'C9 GEG Lap Ops'!K27</f>
        <v/>
      </c>
      <c r="I16" s="39">
        <f>'C9 GEG Lap Ops'!J27</f>
        <v/>
      </c>
      <c r="J16" s="42">
        <f>MIN('C1 GEG Setting'!$C$18,IF(F16="Lower",IF(I16&lt;=0,'C1 GEG Setting'!$C$18,IF(H16&lt;=0,0,H16/I16)),IFERROR(I16/H16,0)))</f>
        <v/>
      </c>
      <c r="K16" s="59">
        <f>IF(J16&gt;='C1 GEG Setting'!$C$12,5,IF(J16&gt;='C1 GEG Setting'!$C$13,4,IF(J16&gt;='C1 GEG Setting'!$C$14,3,IF(J16&gt;='C1 GEG Setting'!$C$15,2,1))))</f>
        <v/>
      </c>
      <c r="L16" s="47">
        <f>K16*G16</f>
        <v/>
      </c>
      <c r="M16" s="12">
        <f>IF(J16&gt;='C1 GEG Setting'!$C$16,"Hijau",IF(J16&gt;='C1 GEG Setting'!$C$17,"Kuning","Merah"))</f>
        <v/>
      </c>
      <c r="N16" s="8" t="inlineStr">
        <is>
          <t>Mining Ops</t>
        </is>
      </c>
      <c r="O16" s="3" t="inlineStr">
        <is>
          <t>Budget</t>
        </is>
      </c>
    </row>
    <row r="17">
      <c r="A17" s="61" t="n">
        <v>10</v>
      </c>
      <c r="B17" s="8" t="inlineStr">
        <is>
          <t>COST OF PRODUCTION</t>
        </is>
      </c>
      <c r="C17" s="46" t="inlineStr">
        <is>
          <t>Biaya hauling per ton-km</t>
        </is>
      </c>
      <c r="D17" s="3" t="inlineStr">
        <is>
          <t>Biaya hauling ÷ (ton × km)</t>
        </is>
      </c>
      <c r="E17" s="45" t="inlineStr">
        <is>
          <t>USD/t-km</t>
        </is>
      </c>
      <c r="F17" s="11" t="inlineStr">
        <is>
          <t>Lower</t>
        </is>
      </c>
      <c r="G17" s="25" t="n">
        <v>0.03</v>
      </c>
      <c r="H17" s="56">
        <f>'C10 GEG COP'!M15</f>
        <v/>
      </c>
      <c r="I17" s="56">
        <f>'C10 GEG COP'!L15</f>
        <v/>
      </c>
      <c r="J17" s="42">
        <f>MIN('C1 GEG Setting'!$C$18,IF(F17="Lower",IF(I17&lt;=0,'C1 GEG Setting'!$C$18,IF(H17&lt;=0,0,H17/I17)),IFERROR(I17/H17,0)))</f>
        <v/>
      </c>
      <c r="K17" s="59">
        <f>IF(J17&gt;='C1 GEG Setting'!$C$12,5,IF(J17&gt;='C1 GEG Setting'!$C$13,4,IF(J17&gt;='C1 GEG Setting'!$C$14,3,IF(J17&gt;='C1 GEG Setting'!$C$15,2,1))))</f>
        <v/>
      </c>
      <c r="L17" s="47">
        <f>K17*G17</f>
        <v/>
      </c>
      <c r="M17" s="12">
        <f>IF(J17&gt;='C1 GEG Setting'!$C$16,"Hijau",IF(J17&gt;='C1 GEG Setting'!$C$17,"Kuning","Merah"))</f>
        <v/>
      </c>
      <c r="N17" s="8" t="inlineStr">
        <is>
          <t>Logistik</t>
        </is>
      </c>
      <c r="O17" s="3" t="inlineStr">
        <is>
          <t>Budget</t>
        </is>
      </c>
    </row>
    <row r="18">
      <c r="A18" s="61" t="n">
        <v>11</v>
      </c>
      <c r="B18" s="8" t="inlineStr">
        <is>
          <t>COST OF PRODUCTION</t>
        </is>
      </c>
      <c r="C18" s="46" t="inlineStr">
        <is>
          <t>Cash cost FOB excl. royalti</t>
        </is>
      </c>
      <c r="D18" s="3" t="inlineStr">
        <is>
          <t>Lihat C10</t>
        </is>
      </c>
      <c r="E18" s="45" t="inlineStr">
        <is>
          <t>USD/t</t>
        </is>
      </c>
      <c r="F18" s="11" t="inlineStr">
        <is>
          <t>Lower</t>
        </is>
      </c>
      <c r="G18" s="25" t="n">
        <v>0.08</v>
      </c>
      <c r="H18" s="39">
        <f>'C10 GEG COP'!M19</f>
        <v/>
      </c>
      <c r="I18" s="39">
        <f>'C10 GEG COP'!L19</f>
        <v/>
      </c>
      <c r="J18" s="42">
        <f>MIN('C1 GEG Setting'!$C$18,IF(F18="Lower",IF(I18&lt;=0,'C1 GEG Setting'!$C$18,IF(H18&lt;=0,0,H18/I18)),IFERROR(I18/H18,0)))</f>
        <v/>
      </c>
      <c r="K18" s="59">
        <f>IF(J18&gt;='C1 GEG Setting'!$C$12,5,IF(J18&gt;='C1 GEG Setting'!$C$13,4,IF(J18&gt;='C1 GEG Setting'!$C$14,3,IF(J18&gt;='C1 GEG Setting'!$C$15,2,1))))</f>
        <v/>
      </c>
      <c r="L18" s="47">
        <f>K18*G18</f>
        <v/>
      </c>
      <c r="M18" s="12">
        <f>IF(J18&gt;='C1 GEG Setting'!$C$16,"Hijau",IF(J18&gt;='C1 GEG Setting'!$C$17,"Kuning","Merah"))</f>
        <v/>
      </c>
      <c r="N18" s="8" t="inlineStr">
        <is>
          <t>Dir. Operasi</t>
        </is>
      </c>
      <c r="O18" s="3" t="inlineStr">
        <is>
          <t>Budget</t>
        </is>
      </c>
    </row>
    <row r="19">
      <c r="A19" s="61" t="n">
        <v>12</v>
      </c>
      <c r="B19" s="8" t="inlineStr">
        <is>
          <t>COST OF PRODUCTION</t>
        </is>
      </c>
      <c r="C19" s="46" t="inlineStr">
        <is>
          <t>Total cash cost</t>
        </is>
      </c>
      <c r="D19" s="3" t="inlineStr">
        <is>
          <t>Cash cost + royalti + penjualan + G&amp;A</t>
        </is>
      </c>
      <c r="E19" s="45" t="inlineStr">
        <is>
          <t>USD/t</t>
        </is>
      </c>
      <c r="F19" s="11" t="inlineStr">
        <is>
          <t>Lower</t>
        </is>
      </c>
      <c r="G19" s="25" t="n">
        <v>0.06</v>
      </c>
      <c r="H19" s="39">
        <f>'C10 GEG COP'!M24</f>
        <v/>
      </c>
      <c r="I19" s="39">
        <f>'C10 GEG COP'!L24</f>
        <v/>
      </c>
      <c r="J19" s="42">
        <f>MIN('C1 GEG Setting'!$C$18,IF(F19="Lower",IF(I19&lt;=0,'C1 GEG Setting'!$C$18,IF(H19&lt;=0,0,H19/I19)),IFERROR(I19/H19,0)))</f>
        <v/>
      </c>
      <c r="K19" s="59">
        <f>IF(J19&gt;='C1 GEG Setting'!$C$12,5,IF(J19&gt;='C1 GEG Setting'!$C$13,4,IF(J19&gt;='C1 GEG Setting'!$C$14,3,IF(J19&gt;='C1 GEG Setting'!$C$15,2,1))))</f>
        <v/>
      </c>
      <c r="L19" s="47">
        <f>K19*G19</f>
        <v/>
      </c>
      <c r="M19" s="12">
        <f>IF(J19&gt;='C1 GEG Setting'!$C$16,"Hijau",IF(J19&gt;='C1 GEG Setting'!$C$17,"Kuning","Merah"))</f>
        <v/>
      </c>
      <c r="N19" s="8" t="inlineStr">
        <is>
          <t>CFO</t>
        </is>
      </c>
      <c r="O19" s="3" t="inlineStr">
        <is>
          <t>Budget</t>
        </is>
      </c>
    </row>
    <row r="20">
      <c r="A20" s="4" t="inlineStr">
        <is>
          <t>C. PROFITABILITAS (20%)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</row>
    <row r="21">
      <c r="A21" s="61" t="n">
        <v>13</v>
      </c>
      <c r="B21" s="8" t="inlineStr">
        <is>
          <t>PROFITABILITAS</t>
        </is>
      </c>
      <c r="C21" s="46" t="inlineStr">
        <is>
          <t>Marjin laba kotor</t>
        </is>
      </c>
      <c r="D21" s="3" t="inlineStr">
        <is>
          <t>Laba kotor ÷ pendapatan</t>
        </is>
      </c>
      <c r="E21" s="45" t="inlineStr">
        <is>
          <t>%</t>
        </is>
      </c>
      <c r="F21" s="11" t="inlineStr">
        <is>
          <t>Higher</t>
        </is>
      </c>
      <c r="G21" s="25" t="n">
        <v>0.05</v>
      </c>
      <c r="H21" s="42">
        <f>'C8 GEG Lap LR'!K50</f>
        <v/>
      </c>
      <c r="I21" s="42">
        <f>'C8 GEG Lap LR'!J50</f>
        <v/>
      </c>
      <c r="J21" s="42">
        <f>MIN('C1 GEG Setting'!$C$18,IF(F21="Lower",IF(I21&lt;=0,'C1 GEG Setting'!$C$18,IF(H21&lt;=0,0,H21/I21)),IFERROR(I21/H21,0)))</f>
        <v/>
      </c>
      <c r="K21" s="59">
        <f>IF(J21&gt;='C1 GEG Setting'!$C$12,5,IF(J21&gt;='C1 GEG Setting'!$C$13,4,IF(J21&gt;='C1 GEG Setting'!$C$14,3,IF(J21&gt;='C1 GEG Setting'!$C$15,2,1))))</f>
        <v/>
      </c>
      <c r="L21" s="47">
        <f>K21*G21</f>
        <v/>
      </c>
      <c r="M21" s="12">
        <f>IF(J21&gt;='C1 GEG Setting'!$C$16,"Hijau",IF(J21&gt;='C1 GEG Setting'!$C$17,"Kuning","Merah"))</f>
        <v/>
      </c>
      <c r="N21" s="8" t="inlineStr">
        <is>
          <t>CFO</t>
        </is>
      </c>
      <c r="O21" s="3" t="inlineStr">
        <is>
          <t>Budget</t>
        </is>
      </c>
    </row>
    <row r="22">
      <c r="A22" s="61" t="n">
        <v>14</v>
      </c>
      <c r="B22" s="8" t="inlineStr">
        <is>
          <t>PROFITABILITAS</t>
        </is>
      </c>
      <c r="C22" s="46" t="inlineStr">
        <is>
          <t>EBITDA</t>
        </is>
      </c>
      <c r="D22" s="3" t="inlineStr">
        <is>
          <t>Laba usaha + D&amp;A</t>
        </is>
      </c>
      <c r="E22" s="45" t="inlineStr">
        <is>
          <t>Rp juta</t>
        </is>
      </c>
      <c r="F22" s="11" t="inlineStr">
        <is>
          <t>Higher</t>
        </is>
      </c>
      <c r="G22" s="25" t="n">
        <v>0.05</v>
      </c>
      <c r="H22" s="28">
        <f>'C8 GEG Lap LR'!K85</f>
        <v/>
      </c>
      <c r="I22" s="28">
        <f>'C8 GEG Lap LR'!J85</f>
        <v/>
      </c>
      <c r="J22" s="42">
        <f>MIN('C1 GEG Setting'!$C$18,IF(F22="Lower",IF(I22&lt;=0,'C1 GEG Setting'!$C$18,IF(H22&lt;=0,0,H22/I22)),IFERROR(I22/H22,0)))</f>
        <v/>
      </c>
      <c r="K22" s="59">
        <f>IF(J22&gt;='C1 GEG Setting'!$C$12,5,IF(J22&gt;='C1 GEG Setting'!$C$13,4,IF(J22&gt;='C1 GEG Setting'!$C$14,3,IF(J22&gt;='C1 GEG Setting'!$C$15,2,1))))</f>
        <v/>
      </c>
      <c r="L22" s="47">
        <f>K22*G22</f>
        <v/>
      </c>
      <c r="M22" s="12">
        <f>IF(J22&gt;='C1 GEG Setting'!$C$16,"Hijau",IF(J22&gt;='C1 GEG Setting'!$C$17,"Kuning","Merah"))</f>
        <v/>
      </c>
      <c r="N22" s="8" t="inlineStr">
        <is>
          <t>CEO</t>
        </is>
      </c>
      <c r="O22" s="3" t="inlineStr">
        <is>
          <t>Budget</t>
        </is>
      </c>
    </row>
    <row r="23">
      <c r="A23" s="61" t="n">
        <v>15</v>
      </c>
      <c r="B23" s="8" t="inlineStr">
        <is>
          <t>PROFITABILITAS</t>
        </is>
      </c>
      <c r="C23" s="46" t="inlineStr">
        <is>
          <t>Marjin EBITDA</t>
        </is>
      </c>
      <c r="D23" s="3" t="inlineStr">
        <is>
          <t>EBITDA ÷ pendapatan</t>
        </is>
      </c>
      <c r="E23" s="45" t="inlineStr">
        <is>
          <t>%</t>
        </is>
      </c>
      <c r="F23" s="11" t="inlineStr">
        <is>
          <t>Higher</t>
        </is>
      </c>
      <c r="G23" s="25" t="n">
        <v>0.04</v>
      </c>
      <c r="H23" s="42">
        <f>'C8 GEG Lap LR'!K86</f>
        <v/>
      </c>
      <c r="I23" s="42">
        <f>'C8 GEG Lap LR'!J86</f>
        <v/>
      </c>
      <c r="J23" s="42">
        <f>MIN('C1 GEG Setting'!$C$18,IF(F23="Lower",IF(I23&lt;=0,'C1 GEG Setting'!$C$18,IF(H23&lt;=0,0,H23/I23)),IFERROR(I23/H23,0)))</f>
        <v/>
      </c>
      <c r="K23" s="59">
        <f>IF(J23&gt;='C1 GEG Setting'!$C$12,5,IF(J23&gt;='C1 GEG Setting'!$C$13,4,IF(J23&gt;='C1 GEG Setting'!$C$14,3,IF(J23&gt;='C1 GEG Setting'!$C$15,2,1))))</f>
        <v/>
      </c>
      <c r="L23" s="47">
        <f>K23*G23</f>
        <v/>
      </c>
      <c r="M23" s="12">
        <f>IF(J23&gt;='C1 GEG Setting'!$C$16,"Hijau",IF(J23&gt;='C1 GEG Setting'!$C$17,"Kuning","Merah"))</f>
        <v/>
      </c>
      <c r="N23" s="8" t="inlineStr">
        <is>
          <t>CFO</t>
        </is>
      </c>
      <c r="O23" s="3" t="inlineStr">
        <is>
          <t>Budget</t>
        </is>
      </c>
    </row>
    <row r="24">
      <c r="A24" s="61" t="n">
        <v>16</v>
      </c>
      <c r="B24" s="8" t="inlineStr">
        <is>
          <t>PROFITABILITAS</t>
        </is>
      </c>
      <c r="C24" s="46" t="inlineStr">
        <is>
          <t>Marjin kas per ton</t>
        </is>
      </c>
      <c r="D24" s="3" t="inlineStr">
        <is>
          <t>ASP – total cash cost</t>
        </is>
      </c>
      <c r="E24" s="45" t="inlineStr">
        <is>
          <t>USD/t</t>
        </is>
      </c>
      <c r="F24" s="11" t="inlineStr">
        <is>
          <t>Higher</t>
        </is>
      </c>
      <c r="G24" s="25" t="n">
        <v>0.03</v>
      </c>
      <c r="H24" s="39">
        <f>'C10 GEG COP'!M28</f>
        <v/>
      </c>
      <c r="I24" s="39">
        <f>'C10 GEG COP'!L28</f>
        <v/>
      </c>
      <c r="J24" s="42">
        <f>MIN('C1 GEG Setting'!$C$18,IF(F24="Lower",IF(I24&lt;=0,'C1 GEG Setting'!$C$18,IF(H24&lt;=0,0,H24/I24)),IFERROR(I24/H24,0)))</f>
        <v/>
      </c>
      <c r="K24" s="59">
        <f>IF(J24&gt;='C1 GEG Setting'!$C$12,5,IF(J24&gt;='C1 GEG Setting'!$C$13,4,IF(J24&gt;='C1 GEG Setting'!$C$14,3,IF(J24&gt;='C1 GEG Setting'!$C$15,2,1))))</f>
        <v/>
      </c>
      <c r="L24" s="47">
        <f>K24*G24</f>
        <v/>
      </c>
      <c r="M24" s="12">
        <f>IF(J24&gt;='C1 GEG Setting'!$C$16,"Hijau",IF(J24&gt;='C1 GEG Setting'!$C$17,"Kuning","Merah"))</f>
        <v/>
      </c>
      <c r="N24" s="8" t="inlineStr">
        <is>
          <t>CFO</t>
        </is>
      </c>
      <c r="O24" s="3" t="inlineStr">
        <is>
          <t>Budget</t>
        </is>
      </c>
    </row>
    <row r="25">
      <c r="A25" s="61" t="n">
        <v>17</v>
      </c>
      <c r="B25" s="8" t="inlineStr">
        <is>
          <t>PROFITABILITAS</t>
        </is>
      </c>
      <c r="C25" s="46" t="inlineStr">
        <is>
          <t>Laba bersih</t>
        </is>
      </c>
      <c r="D25" s="3" t="inlineStr">
        <is>
          <t>Laba setelah pajak</t>
        </is>
      </c>
      <c r="E25" s="45" t="inlineStr">
        <is>
          <t>Rp juta</t>
        </is>
      </c>
      <c r="F25" s="11" t="inlineStr">
        <is>
          <t>Higher</t>
        </is>
      </c>
      <c r="G25" s="25" t="n">
        <v>0.03</v>
      </c>
      <c r="H25" s="28">
        <f>'C8 GEG Lap LR'!K82</f>
        <v/>
      </c>
      <c r="I25" s="28">
        <f>'C8 GEG Lap LR'!J82</f>
        <v/>
      </c>
      <c r="J25" s="42">
        <f>MIN('C1 GEG Setting'!$C$18,IF(F25="Lower",IF(I25&lt;=0,'C1 GEG Setting'!$C$18,IF(H25&lt;=0,0,H25/I25)),IFERROR(I25/H25,0)))</f>
        <v/>
      </c>
      <c r="K25" s="59">
        <f>IF(J25&gt;='C1 GEG Setting'!$C$12,5,IF(J25&gt;='C1 GEG Setting'!$C$13,4,IF(J25&gt;='C1 GEG Setting'!$C$14,3,IF(J25&gt;='C1 GEG Setting'!$C$15,2,1))))</f>
        <v/>
      </c>
      <c r="L25" s="47">
        <f>K25*G25</f>
        <v/>
      </c>
      <c r="M25" s="12">
        <f>IF(J25&gt;='C1 GEG Setting'!$C$16,"Hijau",IF(J25&gt;='C1 GEG Setting'!$C$17,"Kuning","Merah"))</f>
        <v/>
      </c>
      <c r="N25" s="8" t="inlineStr">
        <is>
          <t>CEO</t>
        </is>
      </c>
      <c r="O25" s="3" t="inlineStr">
        <is>
          <t>Budget</t>
        </is>
      </c>
    </row>
    <row r="26">
      <c r="A26" s="4" t="inlineStr">
        <is>
          <t>D. OPERASIONAL (15%)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61" t="n">
        <v>18</v>
      </c>
      <c r="B27" s="8" t="inlineStr">
        <is>
          <t>OPERASIONAL</t>
        </is>
      </c>
      <c r="C27" s="46" t="inlineStr">
        <is>
          <t>Produksi batubara</t>
        </is>
      </c>
      <c r="D27" s="3" t="inlineStr">
        <is>
          <t>Ton ROM YTD</t>
        </is>
      </c>
      <c r="E27" s="45" t="inlineStr">
        <is>
          <t>ton</t>
        </is>
      </c>
      <c r="F27" s="11" t="inlineStr">
        <is>
          <t>Higher</t>
        </is>
      </c>
      <c r="G27" s="25" t="n">
        <v>0.04</v>
      </c>
      <c r="H27" s="28">
        <f>'C9 GEG Lap Ops'!K8</f>
        <v/>
      </c>
      <c r="I27" s="28">
        <f>'C9 GEG Lap Ops'!J8</f>
        <v/>
      </c>
      <c r="J27" s="42">
        <f>MIN('C1 GEG Setting'!$C$18,IF(F27="Lower",IF(I27&lt;=0,'C1 GEG Setting'!$C$18,IF(H27&lt;=0,0,H27/I27)),IFERROR(I27/H27,0)))</f>
        <v/>
      </c>
      <c r="K27" s="59">
        <f>IF(J27&gt;='C1 GEG Setting'!$C$12,5,IF(J27&gt;='C1 GEG Setting'!$C$13,4,IF(J27&gt;='C1 GEG Setting'!$C$14,3,IF(J27&gt;='C1 GEG Setting'!$C$15,2,1))))</f>
        <v/>
      </c>
      <c r="L27" s="47">
        <f>K27*G27</f>
        <v/>
      </c>
      <c r="M27" s="12">
        <f>IF(J27&gt;='C1 GEG Setting'!$C$16,"Hijau",IF(J27&gt;='C1 GEG Setting'!$C$17,"Kuning","Merah"))</f>
        <v/>
      </c>
      <c r="N27" s="8" t="inlineStr">
        <is>
          <t>Mining Ops</t>
        </is>
      </c>
      <c r="O27" s="3" t="inlineStr">
        <is>
          <t>Budget</t>
        </is>
      </c>
    </row>
    <row r="28">
      <c r="A28" s="61" t="n">
        <v>19</v>
      </c>
      <c r="B28" s="8" t="inlineStr">
        <is>
          <t>OPERASIONAL</t>
        </is>
      </c>
      <c r="C28" s="46" t="inlineStr">
        <is>
          <t>OB removal</t>
        </is>
      </c>
      <c r="D28" s="3" t="inlineStr">
        <is>
          <t>bcm YTD</t>
        </is>
      </c>
      <c r="E28" s="45" t="inlineStr">
        <is>
          <t>bcm</t>
        </is>
      </c>
      <c r="F28" s="11" t="inlineStr">
        <is>
          <t>Higher</t>
        </is>
      </c>
      <c r="G28" s="25" t="n">
        <v>0.03</v>
      </c>
      <c r="H28" s="28">
        <f>'C9 GEG Lap Ops'!K7</f>
        <v/>
      </c>
      <c r="I28" s="28">
        <f>'C9 GEG Lap Ops'!J7</f>
        <v/>
      </c>
      <c r="J28" s="42">
        <f>MIN('C1 GEG Setting'!$C$18,IF(F28="Lower",IF(I28&lt;=0,'C1 GEG Setting'!$C$18,IF(H28&lt;=0,0,H28/I28)),IFERROR(I28/H28,0)))</f>
        <v/>
      </c>
      <c r="K28" s="59">
        <f>IF(J28&gt;='C1 GEG Setting'!$C$12,5,IF(J28&gt;='C1 GEG Setting'!$C$13,4,IF(J28&gt;='C1 GEG Setting'!$C$14,3,IF(J28&gt;='C1 GEG Setting'!$C$15,2,1))))</f>
        <v/>
      </c>
      <c r="L28" s="47">
        <f>K28*G28</f>
        <v/>
      </c>
      <c r="M28" s="12">
        <f>IF(J28&gt;='C1 GEG Setting'!$C$16,"Hijau",IF(J28&gt;='C1 GEG Setting'!$C$17,"Kuning","Merah"))</f>
        <v/>
      </c>
      <c r="N28" s="8" t="inlineStr">
        <is>
          <t>Mining Ops</t>
        </is>
      </c>
      <c r="O28" s="3" t="inlineStr">
        <is>
          <t>Budget</t>
        </is>
      </c>
    </row>
    <row r="29">
      <c r="A29" s="61" t="n">
        <v>20</v>
      </c>
      <c r="B29" s="8" t="inlineStr">
        <is>
          <t>OPERASIONAL</t>
        </is>
      </c>
      <c r="C29" s="46" t="inlineStr">
        <is>
          <t>Physical availability</t>
        </is>
      </c>
      <c r="D29" s="3" t="inlineStr">
        <is>
          <t>Rata-rata PA armada utama</t>
        </is>
      </c>
      <c r="E29" s="45" t="inlineStr">
        <is>
          <t>%</t>
        </is>
      </c>
      <c r="F29" s="11" t="inlineStr">
        <is>
          <t>Higher</t>
        </is>
      </c>
      <c r="G29" s="25" t="n">
        <v>0.02</v>
      </c>
      <c r="H29" s="42">
        <f>'C9 GEG Lap Ops'!K29</f>
        <v/>
      </c>
      <c r="I29" s="42">
        <f>'C9 GEG Lap Ops'!J29</f>
        <v/>
      </c>
      <c r="J29" s="42">
        <f>MIN('C1 GEG Setting'!$C$18,IF(F29="Lower",IF(I29&lt;=0,'C1 GEG Setting'!$C$18,IF(H29&lt;=0,0,H29/I29)),IFERROR(I29/H29,0)))</f>
        <v/>
      </c>
      <c r="K29" s="59">
        <f>IF(J29&gt;='C1 GEG Setting'!$C$12,5,IF(J29&gt;='C1 GEG Setting'!$C$13,4,IF(J29&gt;='C1 GEG Setting'!$C$14,3,IF(J29&gt;='C1 GEG Setting'!$C$15,2,1))))</f>
        <v/>
      </c>
      <c r="L29" s="47">
        <f>K29*G29</f>
        <v/>
      </c>
      <c r="M29" s="12">
        <f>IF(J29&gt;='C1 GEG Setting'!$C$16,"Hijau",IF(J29&gt;='C1 GEG Setting'!$C$17,"Kuning","Merah"))</f>
        <v/>
      </c>
      <c r="N29" s="8" t="inlineStr">
        <is>
          <t>Plant</t>
        </is>
      </c>
      <c r="O29" s="3" t="inlineStr">
        <is>
          <t>Budget</t>
        </is>
      </c>
    </row>
    <row r="30">
      <c r="A30" s="61" t="n">
        <v>21</v>
      </c>
      <c r="B30" s="8" t="inlineStr">
        <is>
          <t>OPERASIONAL</t>
        </is>
      </c>
      <c r="C30" s="46" t="inlineStr">
        <is>
          <t>Use of availability</t>
        </is>
      </c>
      <c r="D30" s="3" t="inlineStr">
        <is>
          <t>Rata-rata UA armada utama</t>
        </is>
      </c>
      <c r="E30" s="45" t="inlineStr">
        <is>
          <t>%</t>
        </is>
      </c>
      <c r="F30" s="11" t="inlineStr">
        <is>
          <t>Higher</t>
        </is>
      </c>
      <c r="G30" s="25" t="n">
        <v>0.02</v>
      </c>
      <c r="H30" s="42">
        <f>'C9 GEG Lap Ops'!K30</f>
        <v/>
      </c>
      <c r="I30" s="42">
        <f>'C9 GEG Lap Ops'!J30</f>
        <v/>
      </c>
      <c r="J30" s="42">
        <f>MIN('C1 GEG Setting'!$C$18,IF(F30="Lower",IF(I30&lt;=0,'C1 GEG Setting'!$C$18,IF(H30&lt;=0,0,H30/I30)),IFERROR(I30/H30,0)))</f>
        <v/>
      </c>
      <c r="K30" s="59">
        <f>IF(J30&gt;='C1 GEG Setting'!$C$12,5,IF(J30&gt;='C1 GEG Setting'!$C$13,4,IF(J30&gt;='C1 GEG Setting'!$C$14,3,IF(J30&gt;='C1 GEG Setting'!$C$15,2,1))))</f>
        <v/>
      </c>
      <c r="L30" s="47">
        <f>K30*G30</f>
        <v/>
      </c>
      <c r="M30" s="12">
        <f>IF(J30&gt;='C1 GEG Setting'!$C$16,"Hijau",IF(J30&gt;='C1 GEG Setting'!$C$17,"Kuning","Merah"))</f>
        <v/>
      </c>
      <c r="N30" s="8" t="inlineStr">
        <is>
          <t>Mining Ops</t>
        </is>
      </c>
      <c r="O30" s="3" t="inlineStr">
        <is>
          <t>Budget</t>
        </is>
      </c>
    </row>
    <row r="31">
      <c r="A31" s="61" t="n">
        <v>22</v>
      </c>
      <c r="B31" s="8" t="inlineStr">
        <is>
          <t>OPERASIONAL</t>
        </is>
      </c>
      <c r="C31" s="46" t="inlineStr">
        <is>
          <t>Barging</t>
        </is>
      </c>
      <c r="D31" s="3" t="inlineStr">
        <is>
          <t>Ton dimuat ke tongkang</t>
        </is>
      </c>
      <c r="E31" s="45" t="inlineStr">
        <is>
          <t>ton</t>
        </is>
      </c>
      <c r="F31" s="11" t="inlineStr">
        <is>
          <t>Higher</t>
        </is>
      </c>
      <c r="G31" s="25" t="n">
        <v>0.02</v>
      </c>
      <c r="H31" s="28">
        <f>'C9 GEG Lap Ops'!K12</f>
        <v/>
      </c>
      <c r="I31" s="28">
        <f>'C9 GEG Lap Ops'!J12</f>
        <v/>
      </c>
      <c r="J31" s="42">
        <f>MIN('C1 GEG Setting'!$C$18,IF(F31="Lower",IF(I31&lt;=0,'C1 GEG Setting'!$C$18,IF(H31&lt;=0,0,H31/I31)),IFERROR(I31/H31,0)))</f>
        <v/>
      </c>
      <c r="K31" s="59">
        <f>IF(J31&gt;='C1 GEG Setting'!$C$12,5,IF(J31&gt;='C1 GEG Setting'!$C$13,4,IF(J31&gt;='C1 GEG Setting'!$C$14,3,IF(J31&gt;='C1 GEG Setting'!$C$15,2,1))))</f>
        <v/>
      </c>
      <c r="L31" s="47">
        <f>K31*G31</f>
        <v/>
      </c>
      <c r="M31" s="12">
        <f>IF(J31&gt;='C1 GEG Setting'!$C$16,"Hijau",IF(J31&gt;='C1 GEG Setting'!$C$17,"Kuning","Merah"))</f>
        <v/>
      </c>
      <c r="N31" s="8" t="inlineStr">
        <is>
          <t>Logistik</t>
        </is>
      </c>
      <c r="O31" s="3" t="inlineStr">
        <is>
          <t>Budget</t>
        </is>
      </c>
    </row>
    <row r="32">
      <c r="A32" s="61" t="n">
        <v>23</v>
      </c>
      <c r="B32" s="8" t="inlineStr">
        <is>
          <t>OPERASIONAL</t>
        </is>
      </c>
      <c r="C32" s="46" t="inlineStr">
        <is>
          <t>Rasio beban usaha thd pendapatan</t>
        </is>
      </c>
      <c r="D32" s="3" t="inlineStr">
        <is>
          <t>(Penjualan + G&amp;A) ÷ pendapatan</t>
        </is>
      </c>
      <c r="E32" s="45" t="inlineStr">
        <is>
          <t>%</t>
        </is>
      </c>
      <c r="F32" s="11" t="inlineStr">
        <is>
          <t>Lower</t>
        </is>
      </c>
      <c r="G32" s="25" t="n">
        <v>0.02</v>
      </c>
      <c r="H32" s="42">
        <f>IFERROR('C8 GEG Lap LR'!K71/'C8 GEG Lap LR'!K13,0)</f>
        <v/>
      </c>
      <c r="I32" s="42">
        <f>IFERROR('C8 GEG Lap LR'!J71/'C8 GEG Lap LR'!J13,0)</f>
        <v/>
      </c>
      <c r="J32" s="42">
        <f>MIN('C1 GEG Setting'!$C$18,IF(F32="Lower",IF(I32&lt;=0,'C1 GEG Setting'!$C$18,IF(H32&lt;=0,0,H32/I32)),IFERROR(I32/H32,0)))</f>
        <v/>
      </c>
      <c r="K32" s="59">
        <f>IF(J32&gt;='C1 GEG Setting'!$C$12,5,IF(J32&gt;='C1 GEG Setting'!$C$13,4,IF(J32&gt;='C1 GEG Setting'!$C$14,3,IF(J32&gt;='C1 GEG Setting'!$C$15,2,1))))</f>
        <v/>
      </c>
      <c r="L32" s="47">
        <f>K32*G32</f>
        <v/>
      </c>
      <c r="M32" s="12">
        <f>IF(J32&gt;='C1 GEG Setting'!$C$16,"Hijau",IF(J32&gt;='C1 GEG Setting'!$C$17,"Kuning","Merah"))</f>
        <v/>
      </c>
      <c r="N32" s="8" t="inlineStr">
        <is>
          <t>CFO</t>
        </is>
      </c>
      <c r="O32" s="3" t="inlineStr">
        <is>
          <t>Budget</t>
        </is>
      </c>
    </row>
    <row r="33">
      <c r="A33" s="4" t="inlineStr">
        <is>
          <t>E. KEUANGAN &amp; K3L (10%)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</row>
    <row r="34">
      <c r="A34" s="61" t="n">
        <v>24</v>
      </c>
      <c r="B34" s="8" t="inlineStr">
        <is>
          <t>KEUANGAN &amp; K3L</t>
        </is>
      </c>
      <c r="C34" s="46" t="inlineStr">
        <is>
          <t>Hari piutang (DSO)</t>
        </is>
      </c>
      <c r="D34" s="3" t="inlineStr">
        <is>
          <t>Piutang akhir ÷ pendapatan YTD × hari</t>
        </is>
      </c>
      <c r="E34" s="45" t="inlineStr">
        <is>
          <t>hari</t>
        </is>
      </c>
      <c r="F34" s="11" t="inlineStr">
        <is>
          <t>Lower</t>
        </is>
      </c>
      <c r="G34" s="25" t="n">
        <v>0.03</v>
      </c>
      <c r="H34" s="79" t="n">
        <v>45</v>
      </c>
      <c r="I34" s="88">
        <f>IFERROR(INDEX('C6 GEG Neraca Aktual'!$D$9:$O$9,'C1 GEG Setting'!$C$6)/'C8 GEG Lap LR'!J13*'C1 GEG Setting'!$C$6*30,0)</f>
        <v/>
      </c>
      <c r="J34" s="42">
        <f>MIN('C1 GEG Setting'!$C$18,IF(F34="Lower",IF(I34&lt;=0,'C1 GEG Setting'!$C$18,IF(H34&lt;=0,0,H34/I34)),IFERROR(I34/H34,0)))</f>
        <v/>
      </c>
      <c r="K34" s="59">
        <f>IF(J34&gt;='C1 GEG Setting'!$C$12,5,IF(J34&gt;='C1 GEG Setting'!$C$13,4,IF(J34&gt;='C1 GEG Setting'!$C$14,3,IF(J34&gt;='C1 GEG Setting'!$C$15,2,1))))</f>
        <v/>
      </c>
      <c r="L34" s="47">
        <f>K34*G34</f>
        <v/>
      </c>
      <c r="M34" s="12">
        <f>IF(J34&gt;='C1 GEG Setting'!$C$16,"Hijau",IF(J34&gt;='C1 GEG Setting'!$C$17,"Kuning","Merah"))</f>
        <v/>
      </c>
      <c r="N34" s="8" t="inlineStr">
        <is>
          <t>Finance</t>
        </is>
      </c>
      <c r="O34" s="3" t="inlineStr">
        <is>
          <t>Input</t>
        </is>
      </c>
    </row>
    <row r="35">
      <c r="A35" s="61" t="n">
        <v>25</v>
      </c>
      <c r="B35" s="8" t="inlineStr">
        <is>
          <t>KEUANGAN &amp; K3L</t>
        </is>
      </c>
      <c r="C35" s="46" t="inlineStr">
        <is>
          <t>Current ratio</t>
        </is>
      </c>
      <c r="D35" s="3" t="inlineStr">
        <is>
          <t>Aset lancar ÷ liabilitas lancar</t>
        </is>
      </c>
      <c r="E35" s="45" t="inlineStr">
        <is>
          <t>x</t>
        </is>
      </c>
      <c r="F35" s="11" t="inlineStr">
        <is>
          <t>Higher</t>
        </is>
      </c>
      <c r="G35" s="25" t="n">
        <v>0.02</v>
      </c>
      <c r="H35" s="65" t="n">
        <v>1.2</v>
      </c>
      <c r="I35" s="64">
        <f>IFERROR(INDEX('C6 GEG Neraca Aktual'!$D$15:$O$15,'C1 GEG Setting'!$C$6)/INDEX('C6 GEG Neraca Aktual'!$D$33:$O$33,'C1 GEG Setting'!$C$6),0)</f>
        <v/>
      </c>
      <c r="J35" s="42">
        <f>MIN('C1 GEG Setting'!$C$18,IF(F35="Lower",IF(I35&lt;=0,'C1 GEG Setting'!$C$18,IF(H35&lt;=0,0,H35/I35)),IFERROR(I35/H35,0)))</f>
        <v/>
      </c>
      <c r="K35" s="59">
        <f>IF(J35&gt;='C1 GEG Setting'!$C$12,5,IF(J35&gt;='C1 GEG Setting'!$C$13,4,IF(J35&gt;='C1 GEG Setting'!$C$14,3,IF(J35&gt;='C1 GEG Setting'!$C$15,2,1))))</f>
        <v/>
      </c>
      <c r="L35" s="47">
        <f>K35*G35</f>
        <v/>
      </c>
      <c r="M35" s="12">
        <f>IF(J35&gt;='C1 GEG Setting'!$C$16,"Hijau",IF(J35&gt;='C1 GEG Setting'!$C$17,"Kuning","Merah"))</f>
        <v/>
      </c>
      <c r="N35" s="8" t="inlineStr">
        <is>
          <t>Finance</t>
        </is>
      </c>
      <c r="O35" s="3" t="inlineStr">
        <is>
          <t>Input</t>
        </is>
      </c>
    </row>
    <row r="36">
      <c r="A36" s="61" t="n">
        <v>26</v>
      </c>
      <c r="B36" s="8" t="inlineStr">
        <is>
          <t>KEUANGAN &amp; K3L</t>
        </is>
      </c>
      <c r="C36" s="46" t="inlineStr">
        <is>
          <t>Debt to equity</t>
        </is>
      </c>
      <c r="D36" s="3" t="inlineStr">
        <is>
          <t>Pinjaman ÷ ekuitas</t>
        </is>
      </c>
      <c r="E36" s="45" t="inlineStr">
        <is>
          <t>x</t>
        </is>
      </c>
      <c r="F36" s="11" t="inlineStr">
        <is>
          <t>Lower</t>
        </is>
      </c>
      <c r="G36" s="25" t="n">
        <v>0.02</v>
      </c>
      <c r="H36" s="65" t="n">
        <v>1</v>
      </c>
      <c r="I36" s="64">
        <f>IFERROR((INDEX('C6 GEG Neraca Aktual'!$D$31:$O$31,'C1 GEG Setting'!$C$6)+INDEX('C6 GEG Neraca Aktual'!$D$32:$O$32,'C1 GEG Setting'!$C$6)+INDEX('C6 GEG Neraca Aktual'!$D$35:$O$35,'C1 GEG Setting'!$C$6))/INDEX('C6 GEG Neraca Aktual'!$D$46:$O$46,'C1 GEG Setting'!$C$6),0)</f>
        <v/>
      </c>
      <c r="J36" s="42">
        <f>MIN('C1 GEG Setting'!$C$18,IF(F36="Lower",IF(I36&lt;=0,'C1 GEG Setting'!$C$18,IF(H36&lt;=0,0,H36/I36)),IFERROR(I36/H36,0)))</f>
        <v/>
      </c>
      <c r="K36" s="59">
        <f>IF(J36&gt;='C1 GEG Setting'!$C$12,5,IF(J36&gt;='C1 GEG Setting'!$C$13,4,IF(J36&gt;='C1 GEG Setting'!$C$14,3,IF(J36&gt;='C1 GEG Setting'!$C$15,2,1))))</f>
        <v/>
      </c>
      <c r="L36" s="47">
        <f>K36*G36</f>
        <v/>
      </c>
      <c r="M36" s="12">
        <f>IF(J36&gt;='C1 GEG Setting'!$C$16,"Hijau",IF(J36&gt;='C1 GEG Setting'!$C$17,"Kuning","Merah"))</f>
        <v/>
      </c>
      <c r="N36" s="8" t="inlineStr">
        <is>
          <t>Finance</t>
        </is>
      </c>
      <c r="O36" s="3" t="inlineStr">
        <is>
          <t>Input</t>
        </is>
      </c>
    </row>
    <row r="37">
      <c r="A37" s="61" t="n">
        <v>27</v>
      </c>
      <c r="B37" s="8" t="inlineStr">
        <is>
          <t>KEUANGAN &amp; K3L</t>
        </is>
      </c>
      <c r="C37" s="46" t="inlineStr">
        <is>
          <t>LTIFR</t>
        </is>
      </c>
      <c r="D37" s="3" t="inlineStr">
        <is>
          <t>LTI × 1 juta ÷ jam kerja</t>
        </is>
      </c>
      <c r="E37" s="45" t="inlineStr">
        <is>
          <t>rate</t>
        </is>
      </c>
      <c r="F37" s="11" t="inlineStr">
        <is>
          <t>Lower</t>
        </is>
      </c>
      <c r="G37" s="25" t="n">
        <v>0.02</v>
      </c>
      <c r="H37" s="18" t="n">
        <v>0</v>
      </c>
      <c r="I37" s="39">
        <f>'C9 GEG Lap Ops'!J35</f>
        <v/>
      </c>
      <c r="J37" s="42">
        <f>MIN('C1 GEG Setting'!$C$18,IF(F37="Lower",IF(I37&lt;=0,'C1 GEG Setting'!$C$18,IF(H37&lt;=0,0,H37/I37)),IFERROR(I37/H37,0)))</f>
        <v/>
      </c>
      <c r="K37" s="59">
        <f>IF(J37&gt;='C1 GEG Setting'!$C$12,5,IF(J37&gt;='C1 GEG Setting'!$C$13,4,IF(J37&gt;='C1 GEG Setting'!$C$14,3,IF(J37&gt;='C1 GEG Setting'!$C$15,2,1))))</f>
        <v/>
      </c>
      <c r="L37" s="47">
        <f>K37*G37</f>
        <v/>
      </c>
      <c r="M37" s="12">
        <f>IF(J37&gt;='C1 GEG Setting'!$C$16,"Hijau",IF(J37&gt;='C1 GEG Setting'!$C$17,"Kuning","Merah"))</f>
        <v/>
      </c>
      <c r="N37" s="8" t="inlineStr">
        <is>
          <t>HSE</t>
        </is>
      </c>
      <c r="O37" s="3" t="inlineStr">
        <is>
          <t>Input (zero harm)</t>
        </is>
      </c>
    </row>
    <row r="38">
      <c r="A38" s="61" t="n">
        <v>28</v>
      </c>
      <c r="B38" s="8" t="inlineStr">
        <is>
          <t>KEUANGAN &amp; K3L</t>
        </is>
      </c>
      <c r="C38" s="46" t="inlineStr">
        <is>
          <t>Reklamasi</t>
        </is>
      </c>
      <c r="D38" s="3" t="inlineStr">
        <is>
          <t>Luas reklamasi YTD</t>
        </is>
      </c>
      <c r="E38" s="45" t="inlineStr">
        <is>
          <t>ha</t>
        </is>
      </c>
      <c r="F38" s="11" t="inlineStr">
        <is>
          <t>Higher</t>
        </is>
      </c>
      <c r="G38" s="25" t="n">
        <v>0.01</v>
      </c>
      <c r="H38" s="88">
        <f>'C9 GEG Lap Ops'!K37</f>
        <v/>
      </c>
      <c r="I38" s="88">
        <f>'C9 GEG Lap Ops'!J37</f>
        <v/>
      </c>
      <c r="J38" s="42">
        <f>MIN('C1 GEG Setting'!$C$18,IF(F38="Lower",IF(I38&lt;=0,'C1 GEG Setting'!$C$18,IF(H38&lt;=0,0,H38/I38)),IFERROR(I38/H38,0)))</f>
        <v/>
      </c>
      <c r="K38" s="59">
        <f>IF(J38&gt;='C1 GEG Setting'!$C$12,5,IF(J38&gt;='C1 GEG Setting'!$C$13,4,IF(J38&gt;='C1 GEG Setting'!$C$14,3,IF(J38&gt;='C1 GEG Setting'!$C$15,2,1))))</f>
        <v/>
      </c>
      <c r="L38" s="47">
        <f>K38*G38</f>
        <v/>
      </c>
      <c r="M38" s="12">
        <f>IF(J38&gt;='C1 GEG Setting'!$C$16,"Hijau",IF(J38&gt;='C1 GEG Setting'!$C$17,"Kuning","Merah"))</f>
        <v/>
      </c>
      <c r="N38" s="8" t="inlineStr">
        <is>
          <t>Environment</t>
        </is>
      </c>
      <c r="O38" s="3" t="inlineStr">
        <is>
          <t>Budget</t>
        </is>
      </c>
    </row>
    <row r="40">
      <c r="A40" s="4" t="inlineStr">
        <is>
          <t>RINGKASAN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</row>
    <row r="41">
      <c r="C41" s="46" t="inlineStr">
        <is>
          <t>Total bobot (harus 100%)</t>
        </is>
      </c>
      <c r="G41" s="66">
        <f>SUM(G7:G38)</f>
        <v/>
      </c>
    </row>
    <row r="42">
      <c r="C42" s="46" t="inlineStr">
        <is>
          <t>SKOR TERTIMBANG TOTAL (1–5)</t>
        </is>
      </c>
      <c r="L42" s="91">
        <f>SUM(L7:L38)</f>
        <v/>
      </c>
    </row>
    <row r="43">
      <c r="C43" s="46" t="inlineStr">
        <is>
          <t>PREDIKAT KINERJA</t>
        </is>
      </c>
      <c r="L43" s="92">
        <f>IF(L42&gt;='C1 GEG Setting'!$A$23,'C1 GEG Setting'!$C$23,IF(L42&gt;='C1 GEG Setting'!$A$24,'C1 GEG Setting'!$C$24,IF(L42&gt;='C1 GEG Setting'!$A$25,'C1 GEG Setting'!$C$25,IF(L42&gt;='C1 GEG Setting'!$A$26,'C1 GEG Setting'!$C$26,'C1 GEG Setting'!$C$27))))</f>
        <v/>
      </c>
    </row>
    <row r="44">
      <c r="C44" s="46" t="inlineStr">
        <is>
          <t>Jumlah KPI Hijau / Kuning / Merah</t>
        </is>
      </c>
      <c r="K44" s="19">
        <f>COUNTIF(M7:M38,"Hijau")</f>
        <v/>
      </c>
      <c r="L44" s="19">
        <f>COUNTIF(M7:M38,"Kuning")</f>
        <v/>
      </c>
      <c r="M44" s="19">
        <f>COUNTIF(M7:M38,"Merah")</f>
        <v/>
      </c>
    </row>
    <row r="46">
      <c r="A46" s="4" t="inlineStr">
        <is>
          <t>SKOR PER PERSPEKTIF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>
      <c r="C47" s="10" t="inlineStr">
        <is>
          <t>PENDAPATAN</t>
        </is>
      </c>
      <c r="G47" s="24">
        <f>SUMIF($B$7:$B$38,C47,$G$7:$G$38)</f>
        <v/>
      </c>
      <c r="K47" s="47">
        <f>IFERROR(SUMIF($B$7:$B$38,C47,$L$7:$L$38)/G47,0)</f>
        <v/>
      </c>
      <c r="L47" s="3" t="inlineStr">
        <is>
          <t>rata-rata skor</t>
        </is>
      </c>
    </row>
    <row r="48">
      <c r="C48" s="10" t="inlineStr">
        <is>
          <t>COST OF PRODUCTION</t>
        </is>
      </c>
      <c r="G48" s="24">
        <f>SUMIF($B$7:$B$38,C48,$G$7:$G$38)</f>
        <v/>
      </c>
      <c r="K48" s="47">
        <f>IFERROR(SUMIF($B$7:$B$38,C48,$L$7:$L$38)/G48,0)</f>
        <v/>
      </c>
      <c r="L48" s="3" t="inlineStr">
        <is>
          <t>rata-rata skor</t>
        </is>
      </c>
    </row>
    <row r="49">
      <c r="C49" s="10" t="inlineStr">
        <is>
          <t>PROFITABILITAS</t>
        </is>
      </c>
      <c r="G49" s="24">
        <f>SUMIF($B$7:$B$38,C49,$G$7:$G$38)</f>
        <v/>
      </c>
      <c r="K49" s="47">
        <f>IFERROR(SUMIF($B$7:$B$38,C49,$L$7:$L$38)/G49,0)</f>
        <v/>
      </c>
      <c r="L49" s="3" t="inlineStr">
        <is>
          <t>rata-rata skor</t>
        </is>
      </c>
    </row>
    <row r="50">
      <c r="C50" s="10" t="inlineStr">
        <is>
          <t>OPERASIONAL</t>
        </is>
      </c>
      <c r="G50" s="24">
        <f>SUMIF($B$7:$B$38,C50,$G$7:$G$38)</f>
        <v/>
      </c>
      <c r="K50" s="47">
        <f>IFERROR(SUMIF($B$7:$B$38,C50,$L$7:$L$38)/G50,0)</f>
        <v/>
      </c>
      <c r="L50" s="3" t="inlineStr">
        <is>
          <t>rata-rata skor</t>
        </is>
      </c>
    </row>
    <row r="51">
      <c r="C51" s="10" t="inlineStr">
        <is>
          <t>KEUANGAN &amp; K3L</t>
        </is>
      </c>
      <c r="G51" s="24">
        <f>SUMIF($B$7:$B$38,C51,$G$7:$G$38)</f>
        <v/>
      </c>
      <c r="K51" s="47">
        <f>IFERROR(SUMIF($B$7:$B$38,C51,$L$7:$L$38)/G51,0)</f>
        <v/>
      </c>
      <c r="L51" s="3" t="inlineStr">
        <is>
          <t>rata-rata skor</t>
        </is>
      </c>
    </row>
    <row r="53">
      <c r="C53" s="3" t="inlineStr">
        <is>
          <t>Catatan: bobot &amp; target (sel kuning) disepakati Direksi di awal tahun; skala skor &amp; ambang status di sheet C1.</t>
        </is>
      </c>
    </row>
  </sheetData>
  <conditionalFormatting sqref="M7:M38">
    <cfRule type="cellIs" priority="1" operator="equal" dxfId="0">
      <formula>"Hijau"</formula>
    </cfRule>
    <cfRule type="cellIs" priority="2" operator="equal" dxfId="2">
      <formula>"Kuning"</formula>
    </cfRule>
    <cfRule type="cellIs" priority="3" operator="equal" dxfId="1">
      <formula>"Merah"</formula>
    </cfRule>
  </conditionalFormatting>
  <dataValidations count="1">
    <dataValidation sqref="F7:F38" showDropDown="0" showInputMessage="0" showErrorMessage="0" allowBlank="0" type="list">
      <formula1>"Higher,Lower"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2026-09-28T06:26:27Z</dcterms:created>
  <dcterms:modified xsi:type="dcterms:W3CDTF">2026-09-28T06:26:27Z</dcterms:modified>
</cp:coreProperties>
</file>